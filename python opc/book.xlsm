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160" tabRatio="851" firstSheet="0" activeTab="0" autoFilterDateGrouping="1"/>
  </bookViews>
  <sheets>
    <sheet xmlns:r="http://schemas.openxmlformats.org/officeDocument/2006/relationships" name="RPT1" sheetId="1" state="visible" r:id="rId1"/>
    <sheet xmlns:r="http://schemas.openxmlformats.org/officeDocument/2006/relationships" name="RPT2 " sheetId="2" state="visible" r:id="rId2"/>
    <sheet xmlns:r="http://schemas.openxmlformats.org/officeDocument/2006/relationships" name="RP3 " sheetId="3" state="visible" r:id="rId3"/>
    <sheet xmlns:r="http://schemas.openxmlformats.org/officeDocument/2006/relationships" name="RP5 " sheetId="4" state="visible" r:id="rId4"/>
    <sheet xmlns:r="http://schemas.openxmlformats.org/officeDocument/2006/relationships" name="RPTS " sheetId="5" state="visible" r:id="rId5"/>
    <sheet xmlns:r="http://schemas.openxmlformats.org/officeDocument/2006/relationships" name="CRIBLAGE " sheetId="6" state="visible" r:id="rId6"/>
    <sheet xmlns:r="http://schemas.openxmlformats.org/officeDocument/2006/relationships" name="Arrêt RPT1" sheetId="7" state="visible" r:id="rId7"/>
    <sheet xmlns:r="http://schemas.openxmlformats.org/officeDocument/2006/relationships" name="Arrêt RPT2" sheetId="8" state="visible" r:id="rId8"/>
    <sheet xmlns:r="http://schemas.openxmlformats.org/officeDocument/2006/relationships" name="Arrêt RP3" sheetId="9" state="visible" r:id="rId9"/>
    <sheet xmlns:r="http://schemas.openxmlformats.org/officeDocument/2006/relationships" name="Arrêt RP5" sheetId="10" state="visible" r:id="rId10"/>
    <sheet xmlns:r="http://schemas.openxmlformats.org/officeDocument/2006/relationships" name="Arrêt RPTS" sheetId="11" state="visible" r:id="rId11"/>
    <sheet xmlns:r="http://schemas.openxmlformats.org/officeDocument/2006/relationships" name="Arrêt CRIBLAGE" sheetId="12" state="visible" r:id="rId12"/>
    <sheet xmlns:r="http://schemas.openxmlformats.org/officeDocument/2006/relationships" name="organges" sheetId="13" state="hidden" r:id="rId13"/>
    <sheet xmlns:r="http://schemas.openxmlformats.org/officeDocument/2006/relationships" name="arrêts" sheetId="14" state="visible" r:id="rId14"/>
    <sheet xmlns:r="http://schemas.openxmlformats.org/officeDocument/2006/relationships" name="RPSC1" sheetId="15" state="hidden" r:id="rId15"/>
    <sheet xmlns:r="http://schemas.openxmlformats.org/officeDocument/2006/relationships" name="RPSC2" sheetId="16" state="hidden" r:id="rId16"/>
    <sheet xmlns:r="http://schemas.openxmlformats.org/officeDocument/2006/relationships" name="RP3" sheetId="17" state="hidden" r:id="rId17"/>
    <sheet xmlns:r="http://schemas.openxmlformats.org/officeDocument/2006/relationships" name="RP5" sheetId="18" state="hidden" r:id="rId18"/>
    <sheet xmlns:r="http://schemas.openxmlformats.org/officeDocument/2006/relationships" name="RPTS" sheetId="19" state="hidden" r:id="rId19"/>
    <sheet xmlns:r="http://schemas.openxmlformats.org/officeDocument/2006/relationships" name="CRIBLAGE" sheetId="20" state="hidden" r:id="rId20"/>
    <sheet xmlns:r="http://schemas.openxmlformats.org/officeDocument/2006/relationships" name="Parametre" sheetId="21" state="hidden" r:id="rId21"/>
    <sheet xmlns:r="http://schemas.openxmlformats.org/officeDocument/2006/relationships" name="base" sheetId="22" state="hidden" r:id="rId22"/>
    <sheet xmlns:r="http://schemas.openxmlformats.org/officeDocument/2006/relationships" name="QUALITE" sheetId="23" state="hidden" r:id="rId23"/>
    <sheet xmlns:r="http://schemas.openxmlformats.org/officeDocument/2006/relationships" name="destination" sheetId="24" state="hidden" r:id="rId24"/>
  </sheets>
  <externalReferences>
    <externalReference xmlns:r="http://schemas.openxmlformats.org/officeDocument/2006/relationships" r:id="rId25"/>
    <externalReference xmlns:r="http://schemas.openxmlformats.org/officeDocument/2006/relationships" r:id="rId26"/>
    <externalReference xmlns:r="http://schemas.openxmlformats.org/officeDocument/2006/relationships" r:id="rId27"/>
    <externalReference xmlns:r="http://schemas.openxmlformats.org/officeDocument/2006/relationships" r:id="rId28"/>
    <externalReference xmlns:r="http://schemas.openxmlformats.org/officeDocument/2006/relationships" r:id="rId29"/>
    <externalReference xmlns:r="http://schemas.openxmlformats.org/officeDocument/2006/relationships" r:id="rId30"/>
    <externalReference xmlns:r="http://schemas.openxmlformats.org/officeDocument/2006/relationships" r:id="rId31"/>
    <externalReference xmlns:r="http://schemas.openxmlformats.org/officeDocument/2006/relationships" r:id="rId32"/>
  </externalReferences>
  <definedNames>
    <definedName name="AXE_BENI_AMIR">organges!$J$2:$J$19</definedName>
    <definedName name="AXE_CRIBLAGE">organges!$H$2:$H$35</definedName>
    <definedName name="AXE_Laverie_UD">organges!$F$2:$F$40</definedName>
    <definedName name="AXE_RP3">organges!$C$2:$C$20</definedName>
    <definedName name="AXE_RP5">organges!$D$2:$D$20</definedName>
    <definedName name="AXE_UBI">organges!$E$2:$E$15</definedName>
    <definedName name="bascules">Parametre!$C$3:$C$5</definedName>
    <definedName name="combin_ad">[1]Base!$M$5:$M$200</definedName>
    <definedName name="déstinataire">Parametre!$B$3:$B$10</definedName>
    <definedName name="E_LAV">arrêts!$H$4:$H$201</definedName>
    <definedName name="E_MAN">arrêts!$B$4:$B$200</definedName>
    <definedName name="Equipements_ad">[1]Base!$T$22:$T$27</definedName>
    <definedName name="Heure">Parametre!#REF!</definedName>
    <definedName name="M_BDM">arrêts!$G$4:$G$10</definedName>
    <definedName name="M_ELE">arrêts!$C$5:$C$202</definedName>
    <definedName name="M_ELEC">arrêts!$C$5:$C$202</definedName>
    <definedName name="M_INS">arrêts!$E$4:$E$201</definedName>
    <definedName name="M_MEC">arrêts!$D$4:$D$200</definedName>
    <definedName name="M_REG">arrêts!$F$4:$F$50</definedName>
    <definedName name="Nature_d_arrêt_Ad">[1]Base!$L$4</definedName>
    <definedName name="RPSC1_LIAISON">organges!$B$2:$B$25</definedName>
    <definedName name="RPSC2_LIAISON">organges!$I$2:$I$29</definedName>
    <definedName name="RPTS_LIAISON">organges!$G$2:$G$15</definedName>
    <definedName name="ser">#REF!</definedName>
    <definedName name="SERVICE">arrêts!$B$3:$G$3</definedName>
    <definedName name="Services">[1]Base!$B$22:$B$30</definedName>
    <definedName name="Type_d_arrêt">[1]Base!$A$18:$A$19</definedName>
    <definedName name="X_EXT">arrêts!$K$4:$K$100</definedName>
    <definedName name="x_LBA">arrêts!$M$4:$M$100</definedName>
    <definedName name="X_LME">arrêts!$L$4:$L$10</definedName>
    <definedName name="X_UBI">arrêts!$J$4:$J$100</definedName>
    <definedName name="OLE_LINK1" localSheetId="0">'RPT1'!#REF!</definedName>
    <definedName name="_xlnm.Print_Area" localSheetId="0">'RPT1'!$A$8:$R$66</definedName>
    <definedName name="OLE_LINK1" localSheetId="1">'RPT2 '!#REF!</definedName>
    <definedName name="_xlnm.Print_Area" localSheetId="1">'RPT2 '!$A$8:$R$71</definedName>
    <definedName name="OLE_LINK1" localSheetId="2">'RP3 '!#REF!</definedName>
    <definedName name="_xlnm.Print_Area" localSheetId="2">'RP3 '!$A$8:$R$58</definedName>
    <definedName name="OLE_LINK1" localSheetId="3">'RP5 '!#REF!</definedName>
    <definedName name="_xlnm.Print_Area" localSheetId="3">'RP5 '!$A$8:$R$60</definedName>
    <definedName name="OLE_LINK1" localSheetId="4">'RPTS '!#REF!</definedName>
    <definedName name="_xlnm.Print_Area" localSheetId="4">'RPTS '!$A$8:$R$56</definedName>
    <definedName name="OLE_LINK1" localSheetId="5">'CRIBLAGE '!#REF!</definedName>
    <definedName name="_xlnm.Print_Area" localSheetId="5">'CRIBLAGE '!$A$8:$R$56</definedName>
    <definedName name="OLE_LINK1" localSheetId="6">'Arrêt RPT1'!#REF!</definedName>
    <definedName name="_xlnm.Print_Area" localSheetId="6">'Arrêt RPT1'!$A$1:$I$61</definedName>
    <definedName name="OLE_LINK1" localSheetId="7">'Arrêt RPT2'!#REF!</definedName>
    <definedName name="_xlnm.Print_Area" localSheetId="7">'Arrêt RPT2'!$A$1:$I$61</definedName>
    <definedName name="OLE_LINK1" localSheetId="8">'Arrêt RP3'!#REF!</definedName>
    <definedName name="_xlnm.Print_Area" localSheetId="8">'Arrêt RP3'!$A$1:$I$60</definedName>
    <definedName name="OLE_LINK1" localSheetId="9">'Arrêt RP5'!#REF!</definedName>
    <definedName name="_xlnm.Print_Area" localSheetId="9">'Arrêt RP5'!$A$1:$I$61</definedName>
    <definedName name="OLE_LINK1" localSheetId="10">'Arrêt RPTS'!#REF!</definedName>
    <definedName name="_xlnm.Print_Area" localSheetId="10">'Arrêt RPTS'!$A$1:$I$60</definedName>
    <definedName name="OLE_LINK1" localSheetId="11">'Arrêt CRIBLAGE'!#REF!</definedName>
    <definedName name="_xlnm.Print_Area" localSheetId="11">'Arrêt CRIBLAGE'!$A$1:$I$62</definedName>
    <definedName name="heure" localSheetId="20">Parametre!#REF!</definedName>
  </definedNames>
  <calcPr calcId="162913" fullCalcOnLoad="1"/>
</workbook>
</file>

<file path=xl/styles.xml><?xml version="1.0" encoding="utf-8"?>
<styleSheet xmlns="http://schemas.openxmlformats.org/spreadsheetml/2006/main">
  <numFmts count="4">
    <numFmt numFmtId="164" formatCode="h:mm;@"/>
    <numFmt numFmtId="165" formatCode="0.0"/>
    <numFmt numFmtId="166" formatCode="#,##0.0"/>
    <numFmt numFmtId="167" formatCode="[$-F400]h:mm:ss\ AM/PM"/>
  </numFmts>
  <fonts count="106">
    <font>
      <name val="Comic Sans MS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omic Sans MS"/>
      <family val="4"/>
      <sz val="10"/>
    </font>
    <font>
      <name val="Calibri"/>
      <family val="2"/>
      <b val="1"/>
      <color rgb="FF000000"/>
      <sz val="18"/>
    </font>
    <font>
      <name val="Comic Sans MS"/>
      <family val="4"/>
      <sz val="14"/>
    </font>
    <font>
      <name val="Calibri"/>
      <family val="2"/>
      <sz val="10"/>
      <scheme val="minor"/>
    </font>
    <font>
      <name val="Calibri"/>
      <family val="2"/>
      <b val="1"/>
      <sz val="12"/>
      <scheme val="minor"/>
    </font>
    <font>
      <name val="Calibri"/>
      <family val="2"/>
      <b val="1"/>
      <sz val="11"/>
      <u val="single"/>
      <scheme val="minor"/>
    </font>
    <font>
      <name val="Calibri"/>
      <family val="2"/>
      <b val="1"/>
      <sz val="20"/>
      <scheme val="minor"/>
    </font>
    <font>
      <name val="Calibri"/>
      <family val="2"/>
      <b val="1"/>
      <sz val="16"/>
      <scheme val="minor"/>
    </font>
    <font>
      <name val="Calibri"/>
      <family val="2"/>
      <b val="1"/>
      <sz val="18"/>
      <scheme val="minor"/>
    </font>
    <font>
      <name val="Calibri"/>
      <family val="2"/>
      <b val="1"/>
      <sz val="11"/>
      <scheme val="minor"/>
    </font>
    <font>
      <name val="Calibri"/>
      <family val="2"/>
      <sz val="24"/>
      <scheme val="minor"/>
    </font>
    <font>
      <name val="Calibri"/>
      <family val="2"/>
      <b val="1"/>
      <sz val="14"/>
      <scheme val="minor"/>
    </font>
    <font>
      <name val="Calibri"/>
      <family val="2"/>
      <b val="1"/>
      <sz val="10"/>
      <scheme val="minor"/>
    </font>
    <font>
      <name val="Calibri"/>
      <family val="2"/>
      <sz val="8"/>
      <scheme val="minor"/>
    </font>
    <font>
      <name val="Agency FB"/>
      <family val="2"/>
      <b val="1"/>
      <color theme="0"/>
      <sz val="36"/>
    </font>
    <font>
      <name val="Agency FB"/>
      <family val="2"/>
      <b val="1"/>
      <color theme="0"/>
      <sz val="20"/>
    </font>
    <font>
      <name val="Calibri"/>
      <family val="2"/>
      <color rgb="FFFFC000"/>
      <sz val="11"/>
      <scheme val="minor"/>
    </font>
    <font>
      <name val="Calibri"/>
      <family val="2"/>
      <b val="1"/>
      <color rgb="FFFFC000"/>
      <sz val="11"/>
      <scheme val="minor"/>
    </font>
    <font>
      <name val="Bahnschrift Light Condensed"/>
      <family val="2"/>
      <color theme="1"/>
      <sz val="8"/>
    </font>
    <font>
      <name val="Agency FB"/>
      <family val="2"/>
      <color theme="1"/>
      <sz val="8"/>
    </font>
    <font>
      <name val="Calibri"/>
      <family val="2"/>
      <color theme="1"/>
      <sz val="8"/>
      <scheme val="minor"/>
    </font>
    <font>
      <name val="Agency FB"/>
      <family val="2"/>
      <b val="1"/>
      <color rgb="FFFFC000"/>
      <sz val="11"/>
    </font>
    <font>
      <name val="Calibri"/>
      <family val="2"/>
      <b val="1"/>
      <color theme="1"/>
      <sz val="22"/>
      <scheme val="minor"/>
    </font>
    <font>
      <name val="Verdana"/>
      <family val="2"/>
      <sz val="16"/>
    </font>
    <font>
      <name val="Agency FB"/>
      <family val="2"/>
      <b val="1"/>
      <color rgb="FF000099"/>
      <sz val="48"/>
    </font>
    <font>
      <name val="Calibri"/>
      <family val="2"/>
      <b val="1"/>
      <color theme="1"/>
      <sz val="20"/>
      <scheme val="minor"/>
    </font>
    <font>
      <name val="Calibri"/>
      <family val="2"/>
      <b val="1"/>
      <color rgb="FFFF0000"/>
      <sz val="20"/>
      <scheme val="minor"/>
    </font>
    <font>
      <name val="Agency FB"/>
      <family val="2"/>
      <b val="1"/>
      <color theme="4"/>
      <sz val="28"/>
    </font>
    <font>
      <name val="Agency FB"/>
      <family val="2"/>
      <b val="1"/>
      <color theme="8" tint="-0.499984740745262"/>
      <sz val="22"/>
    </font>
    <font>
      <name val="Agency FB"/>
      <family val="2"/>
      <b val="1"/>
      <color theme="8" tint="-0.499984740745262"/>
      <sz val="26"/>
    </font>
    <font>
      <name val="Bahnschrift Light Condensed"/>
      <family val="2"/>
      <color theme="1"/>
      <sz val="9"/>
    </font>
    <font>
      <name val="Bahnschrift Light Condensed"/>
      <family val="2"/>
      <color theme="1"/>
      <sz val="10"/>
    </font>
    <font>
      <name val="Calibri"/>
      <family val="2"/>
      <sz val="22"/>
      <scheme val="minor"/>
    </font>
    <font>
      <name val="Calibri"/>
      <family val="2"/>
      <sz val="14"/>
      <scheme val="minor"/>
    </font>
    <font>
      <name val="Agency FB"/>
      <family val="2"/>
      <b val="1"/>
      <color theme="8" tint="-0.499984740745262"/>
      <sz val="14"/>
    </font>
    <font>
      <name val="Agency FB"/>
      <family val="2"/>
      <b val="1"/>
      <color rgb="FF000099"/>
      <sz val="36"/>
    </font>
    <font>
      <name val="Calibri"/>
      <family val="2"/>
      <color rgb="FFFF0000"/>
      <sz val="10"/>
      <scheme val="minor"/>
    </font>
    <font>
      <name val="Arial"/>
      <family val="2"/>
      <b val="1"/>
      <sz val="14"/>
    </font>
    <font>
      <name val="Arial"/>
      <family val="2"/>
      <color indexed="8"/>
      <sz val="10"/>
    </font>
    <font>
      <name val="Agency FB"/>
      <family val="2"/>
      <b val="1"/>
      <color rgb="FFFF0000"/>
      <sz val="14"/>
    </font>
    <font>
      <name val="Calibri"/>
      <family val="2"/>
      <b val="1"/>
      <color rgb="FFFF0000"/>
      <sz val="22"/>
      <scheme val="minor"/>
    </font>
    <font>
      <name val="Arial"/>
      <family val="2"/>
      <color rgb="FFFF0000"/>
      <sz val="10"/>
    </font>
    <font>
      <name val="Arial"/>
      <family val="2"/>
      <b val="1"/>
      <color rgb="FFFF0000"/>
      <sz val="14"/>
    </font>
    <font>
      <name val="Verdana"/>
      <family val="2"/>
      <sz val="24"/>
    </font>
    <font>
      <name val="Calibri"/>
      <family val="2"/>
      <sz val="26"/>
      <scheme val="minor"/>
    </font>
    <font>
      <name val="Arial"/>
      <family val="2"/>
      <color indexed="8"/>
      <sz val="8"/>
    </font>
    <font>
      <name val="Arial"/>
      <family val="2"/>
      <color rgb="FF000000"/>
      <sz val="8"/>
    </font>
    <font>
      <name val="Calibri"/>
      <family val="2"/>
      <sz val="16"/>
      <scheme val="minor"/>
    </font>
    <font>
      <name val="Arial"/>
      <family val="2"/>
      <color rgb="FF000000"/>
      <sz val="8"/>
    </font>
    <font>
      <name val="Comic Sans MS"/>
      <family val="4"/>
      <sz val="10"/>
    </font>
    <font>
      <name val="Calibri"/>
      <family val="2"/>
      <b val="1"/>
      <sz val="24"/>
      <scheme val="minor"/>
    </font>
    <font>
      <name val="Verdana"/>
      <family val="2"/>
      <b val="1"/>
      <sz val="24"/>
    </font>
    <font>
      <name val="Arial"/>
      <family val="2"/>
      <sz val="14"/>
    </font>
    <font>
      <name val="Arial"/>
      <family val="2"/>
      <color rgb="FF000000"/>
      <sz val="14"/>
    </font>
    <font>
      <name val="Calibri"/>
      <family val="2"/>
      <color theme="1"/>
      <sz val="14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color rgb="FF000000"/>
      <sz val="14"/>
      <scheme val="minor"/>
    </font>
    <font>
      <name val="Calibri"/>
      <family val="2"/>
      <color theme="9"/>
      <sz val="10"/>
      <scheme val="minor"/>
    </font>
    <font>
      <name val="Arial"/>
      <family val="2"/>
      <color theme="9"/>
      <sz val="10"/>
    </font>
    <font>
      <name val="Arial"/>
      <family val="2"/>
      <b val="1"/>
      <color theme="9"/>
      <sz val="14"/>
    </font>
    <font>
      <name val="Calibri"/>
      <family val="2"/>
      <b val="1"/>
      <sz val="26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theme="1"/>
      <sz val="26"/>
      <scheme val="minor"/>
    </font>
    <font>
      <name val="Arial"/>
      <family val="2"/>
      <b val="1"/>
      <sz val="26"/>
    </font>
    <font>
      <name val="Arial"/>
      <family val="2"/>
      <b val="1"/>
      <sz val="20"/>
    </font>
    <font>
      <name val="Agency FB"/>
      <family val="2"/>
      <b val="1"/>
      <color theme="8" tint="-0.499984740745262"/>
      <sz val="28"/>
    </font>
    <font>
      <name val="Verdana"/>
      <family val="2"/>
      <sz val="26"/>
    </font>
    <font>
      <name val="Calibri"/>
      <family val="2"/>
      <sz val="20"/>
      <scheme val="minor"/>
    </font>
    <font>
      <name val="Calibri"/>
      <family val="2"/>
      <b val="1"/>
      <color theme="3"/>
      <sz val="20"/>
      <scheme val="minor"/>
    </font>
    <font>
      <name val="Agency FB"/>
      <family val="2"/>
      <b val="1"/>
      <color theme="8" tint="-0.499984740745262"/>
      <sz val="30"/>
    </font>
    <font>
      <name val="Calibri"/>
      <family val="2"/>
      <b val="1"/>
      <sz val="36"/>
      <scheme val="minor"/>
    </font>
    <font>
      <name val="Calibri"/>
      <family val="2"/>
      <b val="1"/>
      <sz val="30"/>
      <scheme val="minor"/>
    </font>
    <font>
      <name val="Calibri"/>
      <family val="2"/>
      <b val="1"/>
      <color theme="1"/>
      <sz val="24"/>
      <scheme val="minor"/>
    </font>
    <font>
      <name val="Calibri"/>
      <family val="2"/>
      <b val="1"/>
      <color theme="1"/>
      <sz val="25"/>
      <scheme val="minor"/>
    </font>
    <font>
      <name val="Arial"/>
      <family val="2"/>
      <b val="1"/>
      <color theme="1"/>
      <sz val="16"/>
    </font>
    <font>
      <name val="Arial"/>
      <family val="2"/>
      <color theme="1"/>
      <sz val="16"/>
    </font>
    <font>
      <name val="Comic Sans MS"/>
      <family val="4"/>
      <color theme="1"/>
      <sz val="24"/>
    </font>
    <font>
      <name val="Arial"/>
      <family val="2"/>
      <color theme="1"/>
      <sz val="12"/>
    </font>
    <font>
      <name val="Calibri"/>
      <family val="2"/>
      <b val="1"/>
      <color rgb="FFFF0000"/>
      <sz val="24"/>
      <scheme val="minor"/>
    </font>
    <font>
      <name val="Calibri"/>
      <family val="2"/>
      <color rgb="FFFF0000"/>
      <sz val="26"/>
      <scheme val="minor"/>
    </font>
    <font>
      <name val="Calibri"/>
      <family val="2"/>
      <b val="1"/>
      <color rgb="FFFF0000"/>
      <sz val="26"/>
      <scheme val="minor"/>
    </font>
    <font>
      <name val="Calibri"/>
      <family val="2"/>
      <b val="1"/>
      <color rgb="FFFF0000"/>
      <sz val="25"/>
      <scheme val="minor"/>
    </font>
    <font>
      <name val="Arial"/>
      <family val="2"/>
      <color rgb="FFFF0000"/>
      <sz val="16"/>
    </font>
    <font>
      <name val="Arial"/>
      <family val="2"/>
      <color rgb="FFFF0000"/>
      <sz val="12"/>
    </font>
    <font>
      <name val="Calibri"/>
      <family val="2"/>
      <color theme="1"/>
      <sz val="10"/>
      <scheme val="minor"/>
    </font>
    <font>
      <name val="Calibri"/>
      <family val="2"/>
      <b val="1"/>
      <color theme="1"/>
      <sz val="10"/>
      <scheme val="minor"/>
    </font>
    <font>
      <name val="Arial"/>
      <family val="2"/>
      <color theme="1"/>
      <sz val="10"/>
    </font>
    <font>
      <name val="Arial"/>
      <family val="2"/>
      <b val="1"/>
      <color theme="1"/>
      <sz val="14"/>
    </font>
    <font>
      <name val="Calibri"/>
      <family val="2"/>
      <b val="1"/>
      <sz val="22"/>
      <scheme val="minor"/>
    </font>
    <font>
      <name val="Calibri"/>
      <family val="2"/>
      <color theme="1"/>
      <sz val="22"/>
      <scheme val="minor"/>
    </font>
    <font>
      <name val="Arial"/>
      <family val="2"/>
      <b val="1"/>
      <color rgb="FFFF0000"/>
      <sz val="16"/>
    </font>
    <font>
      <name val="Calibri"/>
      <family val="2"/>
      <b val="1"/>
      <sz val="25"/>
      <scheme val="minor"/>
    </font>
    <font>
      <name val="Arial"/>
      <family val="2"/>
      <sz val="16"/>
    </font>
    <font>
      <name val="Arial"/>
      <family val="2"/>
      <b val="1"/>
      <sz val="16"/>
    </font>
    <font>
      <name val="Arial"/>
      <family val="2"/>
      <sz val="12"/>
    </font>
    <font>
      <name val="Arial"/>
      <family val="2"/>
      <b val="1"/>
      <color theme="1"/>
      <sz val="12"/>
    </font>
    <font>
      <name val="Arial"/>
      <family val="2"/>
      <sz val="18"/>
    </font>
    <font>
      <name val="Arial"/>
      <family val="2"/>
      <color rgb="FFFFFF00"/>
      <sz val="16"/>
    </font>
    <font>
      <name val="Arial"/>
      <family val="2"/>
      <b val="1"/>
      <color theme="1"/>
      <sz val="18"/>
    </font>
    <font>
      <name val="Arial"/>
      <family val="2"/>
      <b val="1"/>
      <color rgb="FFFF0000"/>
      <sz val="18"/>
    </font>
    <font>
      <name val="Arial"/>
      <family val="2"/>
      <b val="1"/>
      <color rgb="FFFF0000"/>
      <sz val="12"/>
    </font>
    <font>
      <name val="Comic Sans MS"/>
      <family val="4"/>
      <color rgb="FFFF0000"/>
      <sz val="20"/>
    </font>
  </fonts>
  <fills count="12">
    <fill>
      <patternFill/>
    </fill>
    <fill>
      <patternFill patternType="gray125"/>
    </fill>
    <fill>
      <patternFill patternType="solid">
        <fgColor rgb="FFC4D79B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</fills>
  <borders count="10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/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otted">
        <color indexed="64"/>
      </right>
      <top style="dashed">
        <color indexed="64"/>
      </top>
      <bottom style="dotted">
        <color indexed="64"/>
      </bottom>
      <diagonal/>
    </border>
    <border>
      <left style="dott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hair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hair">
        <color indexed="64"/>
      </right>
      <top style="medium">
        <color indexed="64"/>
      </top>
      <bottom style="dashed">
        <color indexed="64"/>
      </bottom>
      <diagonal/>
    </border>
    <border>
      <left style="dotted">
        <color indexed="64"/>
      </left>
      <right style="hair">
        <color indexed="64"/>
      </right>
      <top style="dashed">
        <color indexed="64"/>
      </top>
      <bottom style="dashed">
        <color indexed="64"/>
      </bottom>
      <diagonal/>
    </border>
    <border>
      <left/>
      <right/>
      <top/>
      <bottom style="dott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ashed">
        <color indexed="64"/>
      </right>
      <top style="dotted">
        <color indexed="64"/>
      </top>
      <bottom style="medium">
        <color indexed="64"/>
      </bottom>
      <diagonal/>
    </border>
    <border>
      <left style="dash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ashed">
        <color indexed="64"/>
      </left>
      <right/>
      <top style="dotted">
        <color indexed="64"/>
      </top>
      <bottom style="dotted">
        <color indexed="64"/>
      </bottom>
      <diagonal/>
    </border>
    <border>
      <left style="hair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/>
      <diagonal/>
    </border>
    <border>
      <left/>
      <right style="dotted">
        <color indexed="64"/>
      </right>
      <top style="medium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dashed">
        <color indexed="64"/>
      </top>
      <bottom/>
      <diagonal/>
    </border>
    <border>
      <left/>
      <right style="hair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ash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3" fillId="0" borderId="0"/>
    <xf numFmtId="0" fontId="3" fillId="0" borderId="0"/>
    <xf numFmtId="0" fontId="53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9" fontId="53" fillId="0" borderId="0"/>
    <xf numFmtId="0" fontId="2" fillId="0" borderId="0"/>
    <xf numFmtId="0" fontId="2" fillId="0" borderId="0"/>
  </cellStyleXfs>
  <cellXfs count="897">
    <xf numFmtId="0" fontId="0" fillId="0" borderId="0" pivotButton="0" quotePrefix="0" xfId="0"/>
    <xf numFmtId="0" fontId="4" fillId="0" borderId="0" pivotButton="0" quotePrefix="0" xfId="0"/>
    <xf numFmtId="0" fontId="5" fillId="2" borderId="5" applyAlignment="1" pivotButton="0" quotePrefix="0" xfId="0">
      <alignment horizontal="center" vertical="center"/>
    </xf>
    <xf numFmtId="0" fontId="6" fillId="0" borderId="0" pivotButton="0" quotePrefix="0" xfId="0"/>
    <xf numFmtId="0" fontId="7" fillId="0" borderId="0" pivotButton="0" quotePrefix="0" xfId="0"/>
    <xf numFmtId="0" fontId="8" fillId="0" borderId="0" applyAlignment="1" pivotButton="0" quotePrefix="0" xfId="0">
      <alignment horizontal="center" vertical="center"/>
    </xf>
    <xf numFmtId="0" fontId="9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vertical="center"/>
    </xf>
    <xf numFmtId="0" fontId="13" fillId="0" borderId="0" applyAlignment="1" pivotButton="0" quotePrefix="0" xfId="0">
      <alignment horizontal="center" vertical="center" wrapText="1"/>
    </xf>
    <xf numFmtId="0" fontId="7" fillId="0" borderId="0" pivotButton="0" quotePrefix="0" xfId="0"/>
    <xf numFmtId="0" fontId="17" fillId="0" borderId="0" pivotButton="0" quotePrefix="0" xfId="0"/>
    <xf numFmtId="0" fontId="13" fillId="0" borderId="0" applyAlignment="1" pivotButton="0" quotePrefix="0" xfId="0">
      <alignment horizontal="center" vertical="center"/>
    </xf>
    <xf numFmtId="0" fontId="16" fillId="0" borderId="0" pivotButton="0" quotePrefix="0" xfId="0"/>
    <xf numFmtId="0" fontId="8" fillId="5" borderId="0" applyAlignment="1" pivotButton="0" quotePrefix="0" xfId="0">
      <alignment horizontal="center" vertical="center" wrapText="1"/>
    </xf>
    <xf numFmtId="0" fontId="13" fillId="5" borderId="0" applyAlignment="1" pivotButton="0" quotePrefix="0" xfId="0">
      <alignment horizontal="center" vertical="center" wrapText="1"/>
    </xf>
    <xf numFmtId="0" fontId="13" fillId="5" borderId="0" applyAlignment="1" pivotButton="0" quotePrefix="0" xfId="0">
      <alignment horizontal="left" vertical="center" wrapText="1" indent="1"/>
    </xf>
    <xf numFmtId="0" fontId="8" fillId="5" borderId="0" applyAlignment="1" pivotButton="0" quotePrefix="0" xfId="0">
      <alignment horizontal="left" vertical="center" wrapText="1" indent="1"/>
    </xf>
    <xf numFmtId="0" fontId="16" fillId="0" borderId="0" applyAlignment="1" pivotButton="0" quotePrefix="0" xfId="0">
      <alignment horizontal="left" vertical="center" wrapText="1" indent="1"/>
    </xf>
    <xf numFmtId="0" fontId="16" fillId="0" borderId="0" applyAlignment="1" pivotButton="0" quotePrefix="0" xfId="0">
      <alignment horizontal="center"/>
    </xf>
    <xf numFmtId="0" fontId="0" fillId="6" borderId="0" pivotButton="0" quotePrefix="0" xfId="0"/>
    <xf numFmtId="0" fontId="19" fillId="6" borderId="0" pivotButton="0" quotePrefix="0" xfId="0"/>
    <xf numFmtId="0" fontId="20" fillId="6" borderId="0" pivotButton="0" quotePrefix="0" xfId="0"/>
    <xf numFmtId="0" fontId="20" fillId="6" borderId="0" applyAlignment="1" pivotButton="0" quotePrefix="0" xfId="0">
      <alignment shrinkToFit="1"/>
    </xf>
    <xf numFmtId="0" fontId="21" fillId="6" borderId="0" applyAlignment="1" pivotButton="0" quotePrefix="0" xfId="0">
      <alignment horizontal="center" vertical="center" wrapText="1"/>
    </xf>
    <xf numFmtId="0" fontId="22" fillId="6" borderId="1" applyAlignment="1" applyProtection="1" pivotButton="0" quotePrefix="0" xfId="0">
      <alignment wrapText="1"/>
      <protection locked="1" hidden="1"/>
    </xf>
    <xf numFmtId="0" fontId="23" fillId="6" borderId="2" applyAlignment="1" applyProtection="1" pivotButton="0" quotePrefix="0" xfId="0">
      <alignment wrapText="1"/>
      <protection locked="1" hidden="1"/>
    </xf>
    <xf numFmtId="0" fontId="24" fillId="6" borderId="6" applyProtection="1" pivotButton="0" quotePrefix="0" xfId="0">
      <protection locked="1" hidden="1"/>
    </xf>
    <xf numFmtId="0" fontId="25" fillId="6" borderId="0" applyAlignment="1" pivotButton="0" quotePrefix="0" xfId="0">
      <alignment horizontal="center" vertical="center" wrapText="1"/>
    </xf>
    <xf numFmtId="0" fontId="19" fillId="5" borderId="0" applyAlignment="1" pivotButton="0" quotePrefix="0" xfId="0">
      <alignment horizontal="left" vertical="center"/>
    </xf>
    <xf numFmtId="0" fontId="25" fillId="5" borderId="0" applyAlignment="1" pivotButton="0" quotePrefix="0" xfId="0">
      <alignment vertical="center"/>
    </xf>
    <xf numFmtId="0" fontId="29" fillId="5" borderId="2" applyProtection="1" pivotButton="0" quotePrefix="0" xfId="0">
      <protection locked="1" hidden="1"/>
    </xf>
    <xf numFmtId="0" fontId="29" fillId="5" borderId="2" pivotButton="0" quotePrefix="0" xfId="0"/>
    <xf numFmtId="0" fontId="26" fillId="5" borderId="2" applyProtection="1" pivotButton="0" quotePrefix="0" xfId="0">
      <protection locked="1" hidden="1"/>
    </xf>
    <xf numFmtId="14" fontId="31" fillId="5" borderId="0" applyAlignment="1" pivotButton="0" quotePrefix="0" xfId="0">
      <alignment horizontal="center"/>
    </xf>
    <xf numFmtId="0" fontId="31" fillId="5" borderId="0" applyAlignment="1" pivotButton="0" quotePrefix="0" xfId="0">
      <alignment horizontal="center"/>
    </xf>
    <xf numFmtId="0" fontId="26" fillId="5" borderId="0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14" fontId="29" fillId="5" borderId="13" applyAlignment="1" pivotButton="0" quotePrefix="0" xfId="0">
      <alignment horizontal="center" vertical="center"/>
    </xf>
    <xf numFmtId="0" fontId="29" fillId="5" borderId="13" applyAlignment="1" pivotButton="0" quotePrefix="0" xfId="0">
      <alignment vertical="center"/>
    </xf>
    <xf numFmtId="0" fontId="36" fillId="0" borderId="0" pivotButton="0" quotePrefix="0" xfId="0"/>
    <xf numFmtId="0" fontId="37" fillId="0" borderId="0" pivotButton="0" quotePrefix="0" xfId="0"/>
    <xf numFmtId="0" fontId="15" fillId="0" borderId="0" applyAlignment="1" pivotButton="0" quotePrefix="0" xfId="0">
      <alignment horizontal="center" vertical="center" wrapText="1"/>
    </xf>
    <xf numFmtId="0" fontId="25" fillId="6" borderId="0" applyAlignment="1" pivotButton="0" quotePrefix="0" xfId="0">
      <alignment vertical="center" wrapText="1"/>
    </xf>
    <xf numFmtId="0" fontId="32" fillId="5" borderId="13" applyAlignment="1" pivotButton="0" quotePrefix="0" xfId="0">
      <alignment horizontal="center" vertical="center" wrapText="1"/>
    </xf>
    <xf numFmtId="0" fontId="4" fillId="0" borderId="0" pivotButton="0" quotePrefix="1" xfId="0"/>
    <xf numFmtId="0" fontId="40" fillId="0" borderId="0" pivotButton="0" quotePrefix="0" xfId="0"/>
    <xf numFmtId="0" fontId="40" fillId="0" borderId="0" pivotButton="0" quotePrefix="0" xfId="0"/>
    <xf numFmtId="0" fontId="8" fillId="0" borderId="0" applyAlignment="1" pivotButton="0" quotePrefix="0" xfId="0">
      <alignment vertical="center" wrapText="1" readingOrder="1"/>
    </xf>
    <xf numFmtId="0" fontId="3" fillId="5" borderId="0" applyAlignment="1" pivotButton="0" quotePrefix="0" xfId="0">
      <alignment vertical="center"/>
    </xf>
    <xf numFmtId="3" fontId="3" fillId="5" borderId="0" applyAlignment="1" pivotButton="0" quotePrefix="0" xfId="0">
      <alignment horizontal="center" vertical="center"/>
    </xf>
    <xf numFmtId="20" fontId="3" fillId="5" borderId="0" applyAlignment="1" pivotButton="0" quotePrefix="0" xfId="0">
      <alignment vertical="center"/>
    </xf>
    <xf numFmtId="3" fontId="42" fillId="5" borderId="0" applyAlignment="1" pivotButton="0" quotePrefix="0" xfId="0">
      <alignment horizontal="center" vertical="center"/>
    </xf>
    <xf numFmtId="0" fontId="3" fillId="8" borderId="33" applyAlignment="1" pivotButton="0" quotePrefix="0" xfId="0">
      <alignment horizontal="center" vertical="center"/>
    </xf>
    <xf numFmtId="2" fontId="41" fillId="0" borderId="33" applyAlignment="1" pivotButton="0" quotePrefix="0" xfId="0">
      <alignment horizontal="center" vertical="center"/>
    </xf>
    <xf numFmtId="0" fontId="16" fillId="9" borderId="33" applyAlignment="1" pivotButton="0" quotePrefix="0" xfId="0">
      <alignment horizontal="center" vertical="center"/>
    </xf>
    <xf numFmtId="14" fontId="31" fillId="5" borderId="0" applyAlignment="1" pivotButton="0" quotePrefix="0" xfId="0">
      <alignment horizontal="center"/>
    </xf>
    <xf numFmtId="0" fontId="25" fillId="6" borderId="0" applyAlignment="1" pivotButton="0" quotePrefix="0" xfId="0">
      <alignment horizontal="center" vertical="center" wrapText="1"/>
    </xf>
    <xf numFmtId="0" fontId="7" fillId="0" borderId="0" applyAlignment="1" pivotButton="0" quotePrefix="0" xfId="0">
      <alignment horizontal="center"/>
    </xf>
    <xf numFmtId="0" fontId="16" fillId="0" borderId="0" applyAlignment="1" pivotButton="0" quotePrefix="0" xfId="0">
      <alignment horizontal="center"/>
    </xf>
    <xf numFmtId="0" fontId="38" fillId="5" borderId="25" applyAlignment="1" pivotButton="0" quotePrefix="0" xfId="0">
      <alignment horizontal="center" vertical="center" wrapText="1"/>
    </xf>
    <xf numFmtId="0" fontId="38" fillId="5" borderId="26" applyAlignment="1" pivotButton="0" quotePrefix="0" xfId="0">
      <alignment horizontal="center" vertical="center" wrapText="1"/>
    </xf>
    <xf numFmtId="0" fontId="38" fillId="5" borderId="27" applyAlignment="1" pivotButton="0" quotePrefix="0" xfId="0">
      <alignment horizontal="center" vertical="center" wrapText="1"/>
    </xf>
    <xf numFmtId="0" fontId="38" fillId="0" borderId="0" applyAlignment="1" pivotButton="0" quotePrefix="0" xfId="0">
      <alignment horizontal="center" vertical="center" wrapText="1"/>
    </xf>
    <xf numFmtId="0" fontId="11" fillId="0" borderId="0" applyAlignment="1" pivotButton="0" quotePrefix="0" xfId="0">
      <alignment horizontal="center" vertical="center"/>
    </xf>
    <xf numFmtId="0" fontId="43" fillId="5" borderId="36" applyAlignment="1" pivotButton="0" quotePrefix="0" xfId="0">
      <alignment horizontal="center" vertical="center" wrapText="1"/>
    </xf>
    <xf numFmtId="0" fontId="43" fillId="5" borderId="19" applyAlignment="1" pivotButton="0" quotePrefix="0" xfId="0">
      <alignment horizontal="center" vertical="center" wrapText="1"/>
    </xf>
    <xf numFmtId="0" fontId="43" fillId="5" borderId="28" applyAlignment="1" pivotButton="0" quotePrefix="0" xfId="0">
      <alignment horizontal="center" vertical="center" wrapText="1"/>
    </xf>
    <xf numFmtId="0" fontId="38" fillId="5" borderId="35" applyAlignment="1" pivotButton="0" quotePrefix="0" xfId="0">
      <alignment horizontal="center" vertical="center" wrapText="1"/>
    </xf>
    <xf numFmtId="0" fontId="38" fillId="5" borderId="38" applyAlignment="1" pivotButton="0" quotePrefix="0" xfId="0">
      <alignment horizontal="center" vertical="center" wrapText="1"/>
    </xf>
    <xf numFmtId="0" fontId="38" fillId="5" borderId="39" applyAlignment="1" pivotButton="0" quotePrefix="0" xfId="0">
      <alignment horizontal="center" vertical="center" wrapText="1"/>
    </xf>
    <xf numFmtId="0" fontId="44" fillId="5" borderId="0" applyAlignment="1" pivotButton="0" quotePrefix="0" xfId="0">
      <alignment horizontal="center" vertical="center"/>
    </xf>
    <xf numFmtId="0" fontId="7" fillId="0" borderId="33" pivotButton="0" quotePrefix="0" xfId="0"/>
    <xf numFmtId="0" fontId="40" fillId="0" borderId="33" pivotButton="0" quotePrefix="0" xfId="0"/>
    <xf numFmtId="0" fontId="45" fillId="8" borderId="33" applyAlignment="1" pivotButton="0" quotePrefix="0" xfId="0">
      <alignment horizontal="center" vertical="center"/>
    </xf>
    <xf numFmtId="2" fontId="46" fillId="0" borderId="33" applyAlignment="1" pivotButton="0" quotePrefix="0" xfId="0">
      <alignment horizontal="center" vertical="center"/>
    </xf>
    <xf numFmtId="0" fontId="7" fillId="0" borderId="0" pivotButton="0" quotePrefix="0" xfId="0"/>
    <xf numFmtId="0" fontId="3" fillId="0" borderId="0" applyAlignment="1" pivotButton="0" quotePrefix="0" xfId="0">
      <alignment horizontal="center" vertical="center"/>
    </xf>
    <xf numFmtId="2" fontId="41" fillId="0" borderId="0" applyAlignment="1" pivotButton="0" quotePrefix="0" xfId="0">
      <alignment horizontal="center" vertical="center"/>
    </xf>
    <xf numFmtId="164" fontId="27" fillId="0" borderId="12" applyAlignment="1" applyProtection="1" pivotButton="0" quotePrefix="0" xfId="2">
      <alignment horizontal="center" vertical="center"/>
      <protection locked="0" hidden="0"/>
    </xf>
    <xf numFmtId="0" fontId="16" fillId="0" borderId="0" applyAlignment="1" pivotButton="0" quotePrefix="0" xfId="0">
      <alignment horizontal="center"/>
    </xf>
    <xf numFmtId="0" fontId="7" fillId="0" borderId="0" applyAlignment="1" pivotButton="0" quotePrefix="0" xfId="0">
      <alignment horizontal="center"/>
    </xf>
    <xf numFmtId="0" fontId="25" fillId="6" borderId="0" applyAlignment="1" pivotButton="0" quotePrefix="0" xfId="0">
      <alignment horizontal="center" vertical="center" wrapText="1"/>
    </xf>
    <xf numFmtId="0" fontId="38" fillId="0" borderId="35" applyAlignment="1" pivotButton="0" quotePrefix="0" xfId="0">
      <alignment horizontal="center" vertical="center" wrapText="1"/>
    </xf>
    <xf numFmtId="0" fontId="38" fillId="0" borderId="38" applyAlignment="1" pivotButton="0" quotePrefix="0" xfId="0">
      <alignment horizontal="center" vertical="center" wrapText="1"/>
    </xf>
    <xf numFmtId="0" fontId="38" fillId="0" borderId="39" applyAlignment="1" pivotButton="0" quotePrefix="0" xfId="0">
      <alignment horizontal="center" vertical="center" wrapText="1"/>
    </xf>
    <xf numFmtId="164" fontId="47" fillId="0" borderId="12" applyAlignment="1" applyProtection="1" pivotButton="0" quotePrefix="0" xfId="2">
      <alignment horizontal="center" vertical="center"/>
      <protection locked="0" hidden="0"/>
    </xf>
    <xf numFmtId="0" fontId="14" fillId="0" borderId="0" pivotButton="0" quotePrefix="0" xfId="0"/>
    <xf numFmtId="0" fontId="14" fillId="0" borderId="0" pivotButton="0" quotePrefix="0" xfId="0"/>
    <xf numFmtId="0" fontId="4" fillId="0" borderId="0" pivotButton="0" quotePrefix="0" xfId="3"/>
    <xf numFmtId="0" fontId="49" fillId="10" borderId="47" applyAlignment="1" pivotButton="0" quotePrefix="0" xfId="4">
      <alignment horizontal="center"/>
    </xf>
    <xf numFmtId="0" fontId="49" fillId="0" borderId="48" applyAlignment="1" pivotButton="0" quotePrefix="0" xfId="4">
      <alignment wrapText="1"/>
    </xf>
    <xf numFmtId="0" fontId="49" fillId="10" borderId="47" applyAlignment="1" pivotButton="0" quotePrefix="0" xfId="5">
      <alignment horizontal="center"/>
    </xf>
    <xf numFmtId="0" fontId="49" fillId="0" borderId="48" applyAlignment="1" pivotButton="0" quotePrefix="0" xfId="5">
      <alignment wrapText="1"/>
    </xf>
    <xf numFmtId="0" fontId="49" fillId="10" borderId="47" applyAlignment="1" pivotButton="0" quotePrefix="0" xfId="6">
      <alignment horizontal="center"/>
    </xf>
    <xf numFmtId="0" fontId="49" fillId="0" borderId="48" applyAlignment="1" pivotButton="0" quotePrefix="0" xfId="6">
      <alignment wrapText="1"/>
    </xf>
    <xf numFmtId="0" fontId="49" fillId="10" borderId="47" applyAlignment="1" pivotButton="0" quotePrefix="0" xfId="7">
      <alignment horizontal="center"/>
    </xf>
    <xf numFmtId="0" fontId="49" fillId="0" borderId="48" applyAlignment="1" pivotButton="0" quotePrefix="0" xfId="7">
      <alignment wrapText="1"/>
    </xf>
    <xf numFmtId="0" fontId="50" fillId="0" borderId="40" applyAlignment="1" pivotButton="0" quotePrefix="0" xfId="0">
      <alignment vertical="center" wrapText="1"/>
    </xf>
    <xf numFmtId="0" fontId="52" fillId="0" borderId="40" applyAlignment="1" pivotButton="0" quotePrefix="0" xfId="0">
      <alignment vertical="center" wrapText="1"/>
    </xf>
    <xf numFmtId="0" fontId="16" fillId="0" borderId="0" applyAlignment="1" pivotButton="0" quotePrefix="0" xfId="0">
      <alignment horizontal="center"/>
    </xf>
    <xf numFmtId="164" fontId="7" fillId="0" borderId="0" pivotButton="0" quotePrefix="0" xfId="0"/>
    <xf numFmtId="164" fontId="54" fillId="0" borderId="13" applyAlignment="1" pivotButton="0" quotePrefix="0" xfId="0">
      <alignment horizontal="center" vertical="center" wrapText="1"/>
    </xf>
    <xf numFmtId="9" fontId="54" fillId="0" borderId="13" applyAlignment="1" pivotButton="0" quotePrefix="0" xfId="8">
      <alignment horizontal="center" vertical="center"/>
    </xf>
    <xf numFmtId="9" fontId="54" fillId="5" borderId="13" applyAlignment="1" pivotButton="0" quotePrefix="0" xfId="8">
      <alignment horizontal="center" vertical="center"/>
    </xf>
    <xf numFmtId="164" fontId="47" fillId="5" borderId="13" applyAlignment="1" applyProtection="1" pivotButton="0" quotePrefix="0" xfId="0">
      <alignment horizontal="center" vertical="center"/>
      <protection locked="1" hidden="1"/>
    </xf>
    <xf numFmtId="164" fontId="55" fillId="0" borderId="13" applyAlignment="1" pivotButton="0" quotePrefix="0" xfId="0">
      <alignment horizontal="center" vertical="center" wrapText="1"/>
    </xf>
    <xf numFmtId="9" fontId="55" fillId="0" borderId="13" applyAlignment="1" pivotButton="0" quotePrefix="0" xfId="8">
      <alignment horizontal="center" vertical="center"/>
    </xf>
    <xf numFmtId="9" fontId="55" fillId="5" borderId="13" applyAlignment="1" pivotButton="0" quotePrefix="0" xfId="8">
      <alignment horizontal="center" vertical="center"/>
    </xf>
    <xf numFmtId="0" fontId="47" fillId="0" borderId="0" pivotButton="0" quotePrefix="0" xfId="0"/>
    <xf numFmtId="0" fontId="32" fillId="5" borderId="13" applyAlignment="1" pivotButton="0" quotePrefix="0" xfId="0">
      <alignment horizontal="center" vertical="center" wrapText="1"/>
    </xf>
    <xf numFmtId="0" fontId="32" fillId="5" borderId="13" applyAlignment="1" pivotButton="0" quotePrefix="0" xfId="0">
      <alignment horizontal="center" vertical="center" wrapText="1"/>
    </xf>
    <xf numFmtId="0" fontId="56" fillId="0" borderId="0" pivotButton="0" quotePrefix="0" xfId="0"/>
    <xf numFmtId="0" fontId="56" fillId="0" borderId="49" applyAlignment="1" pivotButton="0" quotePrefix="0" xfId="0">
      <alignment horizontal="center" vertical="center"/>
    </xf>
    <xf numFmtId="0" fontId="56" fillId="11" borderId="49" applyAlignment="1" pivotButton="0" quotePrefix="0" xfId="0">
      <alignment horizontal="center" vertical="center"/>
    </xf>
    <xf numFmtId="0" fontId="57" fillId="11" borderId="49" applyAlignment="1" pivotButton="0" quotePrefix="0" xfId="0">
      <alignment horizontal="center" vertical="center" wrapText="1"/>
    </xf>
    <xf numFmtId="0" fontId="56" fillId="7" borderId="49" pivotButton="0" quotePrefix="0" xfId="0"/>
    <xf numFmtId="0" fontId="57" fillId="7" borderId="49" applyAlignment="1" pivotButton="0" quotePrefix="0" xfId="0">
      <alignment vertical="center" wrapText="1"/>
    </xf>
    <xf numFmtId="0" fontId="57" fillId="0" borderId="49" applyAlignment="1" pivotButton="0" quotePrefix="0" xfId="9">
      <alignment horizontal="center" vertical="center" wrapText="1"/>
    </xf>
    <xf numFmtId="0" fontId="56" fillId="0" borderId="49" applyAlignment="1" pivotButton="0" quotePrefix="0" xfId="0">
      <alignment horizontal="left" vertical="center"/>
    </xf>
    <xf numFmtId="0" fontId="51" fillId="5" borderId="51" applyAlignment="1" pivotButton="0" quotePrefix="0" xfId="0">
      <alignment horizontal="center" vertical="center"/>
    </xf>
    <xf numFmtId="164" fontId="27" fillId="0" borderId="51" applyAlignment="1" applyProtection="1" pivotButton="0" quotePrefix="0" xfId="2">
      <alignment horizontal="center" vertical="center"/>
      <protection locked="0" hidden="0"/>
    </xf>
    <xf numFmtId="0" fontId="33" fillId="5" borderId="13" applyAlignment="1" pivotButton="0" quotePrefix="0" xfId="0">
      <alignment horizontal="center" vertical="center" wrapText="1"/>
    </xf>
    <xf numFmtId="0" fontId="58" fillId="7" borderId="49" applyAlignment="1" pivotButton="0" quotePrefix="0" xfId="10">
      <alignment horizontal="left" vertical="center"/>
    </xf>
    <xf numFmtId="0" fontId="59" fillId="7" borderId="49" applyAlignment="1" pivotButton="0" quotePrefix="0" xfId="10">
      <alignment horizontal="center" vertical="center"/>
    </xf>
    <xf numFmtId="0" fontId="58" fillId="0" borderId="0" applyAlignment="1" pivotButton="0" quotePrefix="0" xfId="10">
      <alignment horizontal="left"/>
    </xf>
    <xf numFmtId="0" fontId="58" fillId="0" borderId="49" applyAlignment="1" pivotButton="0" quotePrefix="0" xfId="10">
      <alignment horizontal="left" vertical="center"/>
    </xf>
    <xf numFmtId="0" fontId="60" fillId="0" borderId="49" applyAlignment="1" pivotButton="0" quotePrefix="0" xfId="10">
      <alignment horizontal="left" vertical="center" wrapText="1"/>
    </xf>
    <xf numFmtId="0" fontId="60" fillId="0" borderId="40" applyAlignment="1" pivotButton="0" quotePrefix="0" xfId="10">
      <alignment horizontal="left" vertical="center" wrapText="1"/>
    </xf>
    <xf numFmtId="0" fontId="38" fillId="5" borderId="13" applyAlignment="1" pivotButton="0" quotePrefix="0" xfId="0">
      <alignment horizontal="center" vertical="center" wrapText="1"/>
    </xf>
    <xf numFmtId="164" fontId="0" fillId="0" borderId="0" pivotButton="0" quotePrefix="0" xfId="0"/>
    <xf numFmtId="0" fontId="33" fillId="5" borderId="13" applyAlignment="1" pivotButton="0" quotePrefix="0" xfId="0">
      <alignment horizontal="center" vertical="center" wrapText="1"/>
    </xf>
    <xf numFmtId="0" fontId="65" fillId="0" borderId="14" applyAlignment="1" pivotButton="0" quotePrefix="0" xfId="0">
      <alignment horizontal="center"/>
    </xf>
    <xf numFmtId="0" fontId="66" fillId="0" borderId="15" applyAlignment="1" pivotButton="0" quotePrefix="0" xfId="0">
      <alignment horizontal="center"/>
    </xf>
    <xf numFmtId="0" fontId="66" fillId="0" borderId="23" applyAlignment="1" pivotButton="0" quotePrefix="0" xfId="0">
      <alignment horizontal="center"/>
    </xf>
    <xf numFmtId="49" fontId="67" fillId="0" borderId="14" applyAlignment="1" pivotButton="0" quotePrefix="0" xfId="0">
      <alignment horizontal="center" vertical="center"/>
    </xf>
    <xf numFmtId="165" fontId="67" fillId="0" borderId="16" applyAlignment="1" pivotButton="0" quotePrefix="0" xfId="0">
      <alignment horizontal="center" vertical="center"/>
    </xf>
    <xf numFmtId="49" fontId="67" fillId="0" borderId="23" applyAlignment="1" pivotButton="0" quotePrefix="0" xfId="0">
      <alignment horizontal="center" vertical="center"/>
    </xf>
    <xf numFmtId="165" fontId="67" fillId="0" borderId="32" applyAlignment="1" pivotButton="0" quotePrefix="0" xfId="0">
      <alignment horizontal="center" vertical="center"/>
    </xf>
    <xf numFmtId="49" fontId="64" fillId="0" borderId="14" applyAlignment="1" pivotButton="0" quotePrefix="0" xfId="0">
      <alignment horizontal="center" vertical="center"/>
    </xf>
    <xf numFmtId="165" fontId="64" fillId="0" borderId="16" applyAlignment="1" pivotButton="0" quotePrefix="0" xfId="0">
      <alignment horizontal="center" vertical="center"/>
    </xf>
    <xf numFmtId="49" fontId="64" fillId="0" borderId="23" applyAlignment="1" pivotButton="0" quotePrefix="0" xfId="0">
      <alignment horizontal="center" vertical="center"/>
    </xf>
    <xf numFmtId="165" fontId="64" fillId="0" borderId="32" applyAlignment="1" pivotButton="0" quotePrefix="0" xfId="0">
      <alignment horizontal="center" vertical="center"/>
    </xf>
    <xf numFmtId="0" fontId="66" fillId="0" borderId="46" applyAlignment="1" pivotButton="0" quotePrefix="0" xfId="0">
      <alignment horizontal="center"/>
    </xf>
    <xf numFmtId="49" fontId="65" fillId="0" borderId="14" applyAlignment="1" pivotButton="0" quotePrefix="0" xfId="0">
      <alignment horizontal="center"/>
    </xf>
    <xf numFmtId="49" fontId="65" fillId="0" borderId="15" applyAlignment="1" pivotButton="0" quotePrefix="0" xfId="0">
      <alignment horizontal="center"/>
    </xf>
    <xf numFmtId="0" fontId="48" fillId="5" borderId="50" applyAlignment="1" pivotButton="0" quotePrefix="0" xfId="0">
      <alignment horizontal="center" vertical="center"/>
    </xf>
    <xf numFmtId="164" fontId="70" fillId="0" borderId="50" applyAlignment="1" applyProtection="1" pivotButton="0" quotePrefix="0" xfId="2">
      <alignment horizontal="center" vertical="center"/>
      <protection locked="0" hidden="0"/>
    </xf>
    <xf numFmtId="164" fontId="70" fillId="5" borderId="50" applyAlignment="1" applyProtection="1" pivotButton="0" quotePrefix="0" xfId="0">
      <alignment horizontal="center" vertical="center"/>
      <protection locked="1" hidden="1"/>
    </xf>
    <xf numFmtId="0" fontId="48" fillId="5" borderId="51" applyAlignment="1" pivotButton="0" quotePrefix="0" xfId="0">
      <alignment horizontal="center" vertical="center"/>
    </xf>
    <xf numFmtId="164" fontId="70" fillId="0" borderId="51" applyAlignment="1" applyProtection="1" pivotButton="0" quotePrefix="0" xfId="2">
      <alignment horizontal="center" vertical="center"/>
      <protection locked="0" hidden="0"/>
    </xf>
    <xf numFmtId="0" fontId="71" fillId="5" borderId="50" applyAlignment="1" pivotButton="0" quotePrefix="0" xfId="0">
      <alignment horizontal="center" vertical="center"/>
    </xf>
    <xf numFmtId="0" fontId="71" fillId="5" borderId="51" applyAlignment="1" pivotButton="0" quotePrefix="0" xfId="0">
      <alignment horizontal="center" vertical="center"/>
    </xf>
    <xf numFmtId="0" fontId="10" fillId="0" borderId="13" applyAlignment="1" pivotButton="0" quotePrefix="0" xfId="0">
      <alignment horizontal="center" vertical="center"/>
    </xf>
    <xf numFmtId="1" fontId="47" fillId="5" borderId="13" applyAlignment="1" applyProtection="1" pivotButton="0" quotePrefix="0" xfId="0">
      <alignment horizontal="center" vertical="center"/>
      <protection locked="1" hidden="1"/>
    </xf>
    <xf numFmtId="0" fontId="72" fillId="7" borderId="13" applyAlignment="1" pivotButton="0" quotePrefix="0" xfId="0">
      <alignment horizontal="center" vertical="center"/>
    </xf>
    <xf numFmtId="49" fontId="67" fillId="0" borderId="13" applyAlignment="1" pivotButton="0" quotePrefix="0" xfId="0">
      <alignment horizontal="center" vertical="center"/>
    </xf>
    <xf numFmtId="165" fontId="67" fillId="0" borderId="13" applyAlignment="1" pivotButton="0" quotePrefix="0" xfId="0">
      <alignment horizontal="center" vertical="center"/>
    </xf>
    <xf numFmtId="0" fontId="33" fillId="0" borderId="13" applyAlignment="1" pivotButton="0" quotePrefix="0" xfId="0">
      <alignment horizontal="center" vertical="center" wrapText="1"/>
    </xf>
    <xf numFmtId="0" fontId="33" fillId="5" borderId="11" applyAlignment="1" pivotButton="0" quotePrefix="0" xfId="0">
      <alignment horizontal="center" vertical="center" wrapText="1"/>
    </xf>
    <xf numFmtId="49" fontId="68" fillId="0" borderId="11" applyAlignment="1" pivotButton="0" quotePrefix="0" xfId="0">
      <alignment horizontal="center" vertical="center"/>
    </xf>
    <xf numFmtId="49" fontId="67" fillId="0" borderId="11" applyAlignment="1" pivotButton="0" quotePrefix="0" xfId="0">
      <alignment horizontal="center" vertical="center"/>
    </xf>
    <xf numFmtId="0" fontId="10" fillId="7" borderId="0" applyAlignment="1" pivotButton="0" quotePrefix="0" xfId="0">
      <alignment horizontal="center" vertical="center"/>
    </xf>
    <xf numFmtId="0" fontId="15" fillId="0" borderId="13" applyAlignment="1" pivotButton="0" quotePrefix="0" xfId="0">
      <alignment horizontal="center" vertical="center"/>
    </xf>
    <xf numFmtId="165" fontId="10" fillId="0" borderId="13" applyAlignment="1" pivotButton="0" quotePrefix="0" xfId="0">
      <alignment horizontal="center" vertical="center"/>
    </xf>
    <xf numFmtId="165" fontId="67" fillId="7" borderId="13" applyAlignment="1" pivotButton="0" quotePrefix="0" xfId="0">
      <alignment horizontal="center" vertical="center"/>
    </xf>
    <xf numFmtId="0" fontId="7" fillId="0" borderId="0" pivotButton="0" quotePrefix="0" xfId="0"/>
    <xf numFmtId="0" fontId="74" fillId="0" borderId="0" applyAlignment="1" pivotButton="0" quotePrefix="0" xfId="0">
      <alignment vertical="center"/>
    </xf>
    <xf numFmtId="0" fontId="75" fillId="0" borderId="0" applyAlignment="1" pivotButton="0" quotePrefix="0" xfId="0">
      <alignment vertical="center"/>
    </xf>
    <xf numFmtId="3" fontId="11" fillId="7" borderId="37" applyAlignment="1" pivotButton="0" quotePrefix="0" xfId="0">
      <alignment horizontal="center" vertical="center"/>
    </xf>
    <xf numFmtId="3" fontId="11" fillId="7" borderId="30" applyAlignment="1" pivotButton="0" quotePrefix="0" xfId="0">
      <alignment horizontal="center" vertical="center"/>
    </xf>
    <xf numFmtId="3" fontId="11" fillId="3" borderId="19" applyAlignment="1" pivotButton="0" quotePrefix="0" xfId="0">
      <alignment horizontal="center" vertical="center"/>
    </xf>
    <xf numFmtId="3" fontId="11" fillId="3" borderId="21" applyAlignment="1" pivotButton="0" quotePrefix="0" xfId="0">
      <alignment horizontal="center" vertical="center"/>
    </xf>
    <xf numFmtId="3" fontId="11" fillId="4" borderId="28" applyAlignment="1" pivotButton="0" quotePrefix="0" xfId="0">
      <alignment horizontal="center" vertical="center"/>
    </xf>
    <xf numFmtId="3" fontId="11" fillId="4" borderId="24" applyAlignment="1" pivotButton="0" quotePrefix="0" xfId="0">
      <alignment horizontal="center" vertical="center"/>
    </xf>
    <xf numFmtId="166" fontId="11" fillId="7" borderId="30" applyAlignment="1" pivotButton="0" quotePrefix="0" xfId="0">
      <alignment horizontal="center" vertical="center"/>
    </xf>
    <xf numFmtId="166" fontId="11" fillId="3" borderId="21" applyAlignment="1" pivotButton="0" quotePrefix="0" xfId="0">
      <alignment horizontal="center" vertical="center"/>
    </xf>
    <xf numFmtId="166" fontId="11" fillId="4" borderId="24" applyAlignment="1" pivotButton="0" quotePrefix="0" xfId="0">
      <alignment horizontal="center" vertical="center"/>
    </xf>
    <xf numFmtId="3" fontId="65" fillId="0" borderId="14" applyAlignment="1" pivotButton="0" quotePrefix="0" xfId="0">
      <alignment horizontal="center"/>
    </xf>
    <xf numFmtId="3" fontId="77" fillId="0" borderId="14" applyAlignment="1" pivotButton="0" quotePrefix="0" xfId="0">
      <alignment horizontal="center"/>
    </xf>
    <xf numFmtId="3" fontId="77" fillId="0" borderId="14" applyAlignment="1" pivotButton="0" quotePrefix="0" xfId="0">
      <alignment horizontal="center"/>
    </xf>
    <xf numFmtId="3" fontId="77" fillId="7" borderId="14" applyAlignment="1" pivotButton="0" quotePrefix="0" xfId="0">
      <alignment horizontal="center"/>
    </xf>
    <xf numFmtId="3" fontId="77" fillId="0" borderId="23" applyAlignment="1" pivotButton="0" quotePrefix="0" xfId="0">
      <alignment horizontal="center"/>
    </xf>
    <xf numFmtId="1" fontId="77" fillId="0" borderId="15" applyAlignment="1" pivotButton="0" quotePrefix="0" xfId="0">
      <alignment horizontal="center"/>
    </xf>
    <xf numFmtId="1" fontId="77" fillId="0" borderId="14" applyAlignment="1" pivotButton="0" quotePrefix="0" xfId="0">
      <alignment horizontal="center"/>
    </xf>
    <xf numFmtId="3" fontId="77" fillId="0" borderId="14" applyAlignment="1" pivotButton="0" quotePrefix="0" xfId="0">
      <alignment horizontal="center"/>
    </xf>
    <xf numFmtId="1" fontId="77" fillId="0" borderId="14" applyAlignment="1" pivotButton="0" quotePrefix="0" xfId="0">
      <alignment horizontal="center"/>
    </xf>
    <xf numFmtId="166" fontId="77" fillId="0" borderId="14" applyAlignment="1" pivotButton="0" quotePrefix="0" xfId="0">
      <alignment horizontal="center"/>
    </xf>
    <xf numFmtId="166" fontId="77" fillId="0" borderId="14" applyAlignment="1" pivotButton="0" quotePrefix="0" xfId="0">
      <alignment horizontal="center"/>
    </xf>
    <xf numFmtId="166" fontId="77" fillId="0" borderId="14" applyAlignment="1" pivotButton="0" quotePrefix="0" xfId="0">
      <alignment horizontal="center"/>
    </xf>
    <xf numFmtId="164" fontId="77" fillId="0" borderId="20" applyAlignment="1" pivotButton="0" quotePrefix="0" xfId="0">
      <alignment horizontal="center" vertical="center"/>
    </xf>
    <xf numFmtId="0" fontId="66" fillId="0" borderId="15" applyAlignment="1" pivotButton="0" quotePrefix="0" xfId="0">
      <alignment horizontal="center"/>
    </xf>
    <xf numFmtId="0" fontId="76" fillId="0" borderId="15" applyAlignment="1" pivotButton="0" quotePrefix="0" xfId="0">
      <alignment horizontal="center"/>
    </xf>
    <xf numFmtId="49" fontId="65" fillId="0" borderId="15" applyAlignment="1" pivotButton="0" quotePrefix="0" xfId="0">
      <alignment horizontal="center"/>
    </xf>
    <xf numFmtId="0" fontId="65" fillId="0" borderId="15" applyAlignment="1" pivotButton="0" quotePrefix="0" xfId="0">
      <alignment horizontal="center"/>
    </xf>
    <xf numFmtId="165" fontId="65" fillId="0" borderId="14" applyAlignment="1" pivotButton="0" quotePrefix="0" xfId="0">
      <alignment horizontal="center"/>
    </xf>
    <xf numFmtId="1" fontId="65" fillId="0" borderId="14" applyAlignment="1" pivotButton="0" quotePrefix="0" xfId="0">
      <alignment horizontal="center"/>
    </xf>
    <xf numFmtId="164" fontId="77" fillId="0" borderId="20" applyAlignment="1" pivotButton="0" quotePrefix="0" xfId="0">
      <alignment horizontal="center" vertical="center"/>
    </xf>
    <xf numFmtId="0" fontId="65" fillId="0" borderId="15" applyAlignment="1" pivotButton="0" quotePrefix="0" xfId="0">
      <alignment horizontal="center"/>
    </xf>
    <xf numFmtId="0" fontId="76" fillId="0" borderId="14" applyAlignment="1" pivotButton="0" quotePrefix="0" xfId="0">
      <alignment horizontal="center"/>
    </xf>
    <xf numFmtId="164" fontId="77" fillId="7" borderId="20" applyAlignment="1" pivotButton="0" quotePrefix="0" xfId="0">
      <alignment horizontal="center" vertical="center"/>
    </xf>
    <xf numFmtId="0" fontId="66" fillId="7" borderId="14" applyAlignment="1" pivotButton="0" quotePrefix="0" xfId="0">
      <alignment horizontal="center"/>
    </xf>
    <xf numFmtId="0" fontId="76" fillId="7" borderId="14" applyAlignment="1" pivotButton="0" quotePrefix="0" xfId="0">
      <alignment horizontal="center" vertical="center"/>
    </xf>
    <xf numFmtId="0" fontId="80" fillId="7" borderId="0" pivotButton="0" quotePrefix="0" xfId="0"/>
    <xf numFmtId="0" fontId="65" fillId="7" borderId="15" applyAlignment="1" pivotButton="0" quotePrefix="0" xfId="0">
      <alignment horizontal="center"/>
    </xf>
    <xf numFmtId="0" fontId="65" fillId="7" borderId="14" applyAlignment="1" pivotButton="0" quotePrefix="0" xfId="0">
      <alignment horizontal="center"/>
    </xf>
    <xf numFmtId="1" fontId="77" fillId="7" borderId="14" applyAlignment="1" pivotButton="0" quotePrefix="0" xfId="0">
      <alignment horizontal="center"/>
    </xf>
    <xf numFmtId="0" fontId="66" fillId="5" borderId="15" applyAlignment="1" pivotButton="0" quotePrefix="0" xfId="0">
      <alignment horizontal="center"/>
    </xf>
    <xf numFmtId="164" fontId="77" fillId="0" borderId="22" applyAlignment="1" pivotButton="0" quotePrefix="0" xfId="0">
      <alignment horizontal="center" vertical="center"/>
    </xf>
    <xf numFmtId="0" fontId="76" fillId="0" borderId="23" applyAlignment="1" pivotButton="0" quotePrefix="0" xfId="0">
      <alignment horizontal="center"/>
    </xf>
    <xf numFmtId="49" fontId="65" fillId="0" borderId="23" applyAlignment="1" pivotButton="0" quotePrefix="0" xfId="0">
      <alignment horizontal="center"/>
    </xf>
    <xf numFmtId="0" fontId="65" fillId="0" borderId="23" applyAlignment="1" pivotButton="0" quotePrefix="0" xfId="0">
      <alignment horizontal="center"/>
    </xf>
    <xf numFmtId="3" fontId="65" fillId="0" borderId="23" applyAlignment="1" pivotButton="0" quotePrefix="0" xfId="0">
      <alignment horizontal="center"/>
    </xf>
    <xf numFmtId="165" fontId="65" fillId="0" borderId="23" applyAlignment="1" pivotButton="0" quotePrefix="0" xfId="0">
      <alignment horizontal="center"/>
    </xf>
    <xf numFmtId="1" fontId="77" fillId="0" borderId="23" applyAlignment="1" pivotButton="0" quotePrefix="0" xfId="0">
      <alignment horizontal="center"/>
    </xf>
    <xf numFmtId="0" fontId="65" fillId="0" borderId="23" applyAlignment="1" pivotButton="0" quotePrefix="0" xfId="0">
      <alignment horizontal="center"/>
    </xf>
    <xf numFmtId="0" fontId="66" fillId="0" borderId="52" applyAlignment="1" pivotButton="0" quotePrefix="0" xfId="0">
      <alignment horizontal="center"/>
    </xf>
    <xf numFmtId="1" fontId="65" fillId="0" borderId="52" applyAlignment="1" pivotButton="0" quotePrefix="0" xfId="0">
      <alignment horizontal="center"/>
    </xf>
    <xf numFmtId="164" fontId="77" fillId="0" borderId="55" applyAlignment="1" pivotButton="0" quotePrefix="0" xfId="0">
      <alignment horizontal="center" vertical="center"/>
    </xf>
    <xf numFmtId="164" fontId="77" fillId="7" borderId="20" applyAlignment="1" pivotButton="0" quotePrefix="0" xfId="0">
      <alignment horizontal="center" vertical="center"/>
    </xf>
    <xf numFmtId="0" fontId="66" fillId="7" borderId="52" applyAlignment="1" pivotButton="0" quotePrefix="0" xfId="0">
      <alignment horizontal="center"/>
    </xf>
    <xf numFmtId="49" fontId="65" fillId="7" borderId="52" applyAlignment="1" pivotButton="0" quotePrefix="0" xfId="0">
      <alignment horizontal="center"/>
    </xf>
    <xf numFmtId="0" fontId="26" fillId="7" borderId="14" applyAlignment="1" pivotButton="0" quotePrefix="0" xfId="0">
      <alignment horizontal="center"/>
    </xf>
    <xf numFmtId="164" fontId="77" fillId="0" borderId="20" applyAlignment="1" pivotButton="0" quotePrefix="0" xfId="0">
      <alignment horizontal="center" vertical="center"/>
    </xf>
    <xf numFmtId="0" fontId="65" fillId="0" borderId="14" applyAlignment="1" pivotButton="0" quotePrefix="0" xfId="0">
      <alignment horizontal="center"/>
    </xf>
    <xf numFmtId="0" fontId="26" fillId="0" borderId="14" applyAlignment="1" pivotButton="0" quotePrefix="0" xfId="0">
      <alignment horizontal="center"/>
    </xf>
    <xf numFmtId="164" fontId="77" fillId="0" borderId="22" applyAlignment="1" pivotButton="0" quotePrefix="0" xfId="0">
      <alignment horizontal="center" vertical="center"/>
    </xf>
    <xf numFmtId="0" fontId="26" fillId="0" borderId="23" applyAlignment="1" pivotButton="0" quotePrefix="0" xfId="0">
      <alignment horizontal="center"/>
    </xf>
    <xf numFmtId="1" fontId="77" fillId="0" borderId="14" applyAlignment="1" pivotButton="0" quotePrefix="0" xfId="0">
      <alignment horizontal="center"/>
    </xf>
    <xf numFmtId="0" fontId="76" fillId="0" borderId="14" applyAlignment="1" pivotButton="0" quotePrefix="0" xfId="0">
      <alignment horizontal="center"/>
    </xf>
    <xf numFmtId="0" fontId="65" fillId="0" borderId="14" applyAlignment="1" pivotButton="0" quotePrefix="0" xfId="0">
      <alignment horizontal="center"/>
    </xf>
    <xf numFmtId="164" fontId="77" fillId="0" borderId="20" applyAlignment="1" pivotButton="0" quotePrefix="0" xfId="0">
      <alignment horizontal="center" vertical="center"/>
    </xf>
    <xf numFmtId="0" fontId="76" fillId="0" borderId="14" applyAlignment="1" pivotButton="0" quotePrefix="0" xfId="0">
      <alignment horizontal="center"/>
    </xf>
    <xf numFmtId="0" fontId="81" fillId="0" borderId="16" applyAlignment="1" pivotButton="0" quotePrefix="0" xfId="0">
      <alignment horizontal="left"/>
    </xf>
    <xf numFmtId="0" fontId="81" fillId="0" borderId="17" applyAlignment="1" pivotButton="0" quotePrefix="0" xfId="0">
      <alignment horizontal="left"/>
    </xf>
    <xf numFmtId="0" fontId="81" fillId="0" borderId="19" applyAlignment="1" pivotButton="0" quotePrefix="0" xfId="0">
      <alignment horizontal="left"/>
    </xf>
    <xf numFmtId="1" fontId="77" fillId="0" borderId="23" applyAlignment="1" pivotButton="0" quotePrefix="0" xfId="0">
      <alignment horizontal="center"/>
    </xf>
    <xf numFmtId="165" fontId="77" fillId="0" borderId="14" applyAlignment="1" pivotButton="0" quotePrefix="0" xfId="0">
      <alignment horizontal="center"/>
    </xf>
    <xf numFmtId="0" fontId="65" fillId="0" borderId="14" applyAlignment="1" pivotButton="0" quotePrefix="0" xfId="0">
      <alignment horizontal="center" vertical="center"/>
    </xf>
    <xf numFmtId="165" fontId="77" fillId="0" borderId="23" applyAlignment="1" pivotButton="0" quotePrefix="0" xfId="0">
      <alignment horizontal="center"/>
    </xf>
    <xf numFmtId="1" fontId="65" fillId="0" borderId="23" applyAlignment="1" pivotButton="0" quotePrefix="0" xfId="0">
      <alignment horizontal="center"/>
    </xf>
    <xf numFmtId="3" fontId="77" fillId="0" borderId="23" applyAlignment="1" pivotButton="0" quotePrefix="0" xfId="0">
      <alignment horizontal="center"/>
    </xf>
    <xf numFmtId="0" fontId="66" fillId="0" borderId="14" applyAlignment="1" pivotButton="0" quotePrefix="0" xfId="0">
      <alignment horizontal="center"/>
    </xf>
    <xf numFmtId="0" fontId="36" fillId="5" borderId="50" applyAlignment="1" pivotButton="0" quotePrefix="0" xfId="0">
      <alignment horizontal="center" vertical="center"/>
    </xf>
    <xf numFmtId="0" fontId="36" fillId="5" borderId="51" applyAlignment="1" pivotButton="0" quotePrefix="0" xfId="0">
      <alignment horizontal="center" vertical="center"/>
    </xf>
    <xf numFmtId="0" fontId="65" fillId="0" borderId="14" applyAlignment="1" pivotButton="0" quotePrefix="0" xfId="0">
      <alignment horizontal="center"/>
    </xf>
    <xf numFmtId="166" fontId="77" fillId="0" borderId="23" applyAlignment="1" pivotButton="0" quotePrefix="0" xfId="0">
      <alignment horizontal="center"/>
    </xf>
    <xf numFmtId="0" fontId="88" fillId="0" borderId="0" pivotButton="0" quotePrefix="0" xfId="0"/>
    <xf numFmtId="0" fontId="88" fillId="0" borderId="0" pivotButton="0" quotePrefix="0" xfId="0"/>
    <xf numFmtId="0" fontId="90" fillId="0" borderId="0" applyAlignment="1" pivotButton="0" quotePrefix="0" xfId="0">
      <alignment horizontal="center" vertical="center"/>
    </xf>
    <xf numFmtId="2" fontId="91" fillId="0" borderId="0" applyAlignment="1" pivotButton="0" quotePrefix="0" xfId="0">
      <alignment horizontal="center" vertical="center"/>
    </xf>
    <xf numFmtId="1" fontId="65" fillId="7" borderId="52" applyAlignment="1" pivotButton="0" quotePrefix="0" xfId="0">
      <alignment horizontal="center"/>
    </xf>
    <xf numFmtId="0" fontId="82" fillId="0" borderId="52" applyAlignment="1" pivotButton="0" quotePrefix="0" xfId="0">
      <alignment horizontal="center"/>
    </xf>
    <xf numFmtId="0" fontId="36" fillId="5" borderId="63" applyAlignment="1" pivotButton="0" quotePrefix="0" xfId="0">
      <alignment horizontal="center" vertical="center"/>
    </xf>
    <xf numFmtId="49" fontId="67" fillId="0" borderId="15" applyAlignment="1" pivotButton="0" quotePrefix="0" xfId="0">
      <alignment horizontal="center" vertical="center"/>
    </xf>
    <xf numFmtId="165" fontId="67" fillId="0" borderId="41" applyAlignment="1" pivotButton="0" quotePrefix="0" xfId="0">
      <alignment horizontal="center" vertical="center"/>
    </xf>
    <xf numFmtId="0" fontId="73" fillId="5" borderId="38" applyAlignment="1" pivotButton="0" quotePrefix="0" xfId="0">
      <alignment horizontal="center" vertical="center" wrapText="1"/>
    </xf>
    <xf numFmtId="49" fontId="64" fillId="0" borderId="15" applyAlignment="1" pivotButton="0" quotePrefix="0" xfId="0">
      <alignment horizontal="center" vertical="center"/>
    </xf>
    <xf numFmtId="165" fontId="64" fillId="0" borderId="41" applyAlignment="1" pivotButton="0" quotePrefix="0" xfId="0">
      <alignment horizontal="center" vertical="center"/>
    </xf>
    <xf numFmtId="0" fontId="69" fillId="5" borderId="38" applyAlignment="1" pivotButton="0" quotePrefix="0" xfId="0">
      <alignment horizontal="center" vertical="center" wrapText="1"/>
    </xf>
    <xf numFmtId="0" fontId="69" fillId="0" borderId="38" applyAlignment="1" pivotButton="0" quotePrefix="0" xfId="0">
      <alignment horizontal="center" vertical="center" wrapText="1"/>
    </xf>
    <xf numFmtId="0" fontId="78" fillId="0" borderId="67" pivotButton="0" quotePrefix="0" xfId="0"/>
    <xf numFmtId="0" fontId="78" fillId="7" borderId="67" pivotButton="0" quotePrefix="0" xfId="0"/>
    <xf numFmtId="0" fontId="78" fillId="0" borderId="70" pivotButton="0" quotePrefix="0" xfId="0"/>
    <xf numFmtId="0" fontId="79" fillId="0" borderId="67" pivotButton="0" quotePrefix="0" xfId="0"/>
    <xf numFmtId="0" fontId="79" fillId="7" borderId="74" pivotButton="0" quotePrefix="0" xfId="0"/>
    <xf numFmtId="0" fontId="79" fillId="0" borderId="70" pivotButton="0" quotePrefix="0" xfId="0"/>
    <xf numFmtId="0" fontId="65" fillId="0" borderId="16" applyAlignment="1" pivotButton="0" quotePrefix="0" xfId="0">
      <alignment horizontal="center" wrapText="1"/>
    </xf>
    <xf numFmtId="0" fontId="65" fillId="0" borderId="18" applyAlignment="1" pivotButton="0" quotePrefix="0" xfId="0">
      <alignment horizontal="center" wrapText="1"/>
    </xf>
    <xf numFmtId="0" fontId="79" fillId="0" borderId="68" applyAlignment="1" pivotButton="0" quotePrefix="0" xfId="0">
      <alignment horizontal="center"/>
    </xf>
    <xf numFmtId="0" fontId="79" fillId="0" borderId="69" applyAlignment="1" pivotButton="0" quotePrefix="0" xfId="0">
      <alignment horizontal="center"/>
    </xf>
    <xf numFmtId="0" fontId="82" fillId="0" borderId="15" applyAlignment="1" pivotButton="0" quotePrefix="0" xfId="0">
      <alignment horizontal="center"/>
    </xf>
    <xf numFmtId="0" fontId="7" fillId="5" borderId="0" pivotButton="0" quotePrefix="0" xfId="0"/>
    <xf numFmtId="0" fontId="84" fillId="0" borderId="15" applyAlignment="1" pivotButton="0" quotePrefix="0" xfId="0">
      <alignment horizontal="center"/>
    </xf>
    <xf numFmtId="0" fontId="76" fillId="0" borderId="53" applyAlignment="1" pivotButton="0" quotePrefix="0" xfId="0">
      <alignment horizontal="center"/>
    </xf>
    <xf numFmtId="0" fontId="76" fillId="0" borderId="53" applyAlignment="1" pivotButton="0" quotePrefix="0" xfId="0">
      <alignment horizontal="center"/>
    </xf>
    <xf numFmtId="0" fontId="26" fillId="0" borderId="53" applyAlignment="1" pivotButton="0" quotePrefix="0" xfId="0">
      <alignment horizontal="center"/>
    </xf>
    <xf numFmtId="3" fontId="77" fillId="0" borderId="53" applyAlignment="1" pivotButton="0" quotePrefix="0" xfId="0">
      <alignment horizontal="center"/>
    </xf>
    <xf numFmtId="1" fontId="77" fillId="0" borderId="53" applyAlignment="1" pivotButton="0" quotePrefix="0" xfId="0">
      <alignment horizontal="center"/>
    </xf>
    <xf numFmtId="164" fontId="95" fillId="0" borderId="20" applyAlignment="1" pivotButton="0" quotePrefix="0" xfId="0">
      <alignment horizontal="center" vertical="center"/>
    </xf>
    <xf numFmtId="0" fontId="48" fillId="0" borderId="15" applyAlignment="1" pivotButton="0" quotePrefix="0" xfId="0">
      <alignment horizontal="center"/>
    </xf>
    <xf numFmtId="0" fontId="54" fillId="0" borderId="14" applyAlignment="1" pivotButton="0" quotePrefix="0" xfId="0">
      <alignment horizontal="center"/>
    </xf>
    <xf numFmtId="3" fontId="95" fillId="0" borderId="14" applyAlignment="1" pivotButton="0" quotePrefix="0" xfId="0">
      <alignment horizontal="center"/>
    </xf>
    <xf numFmtId="0" fontId="66" fillId="0" borderId="62" applyAlignment="1" pivotButton="0" quotePrefix="0" xfId="0">
      <alignment horizontal="center"/>
    </xf>
    <xf numFmtId="0" fontId="65" fillId="0" borderId="14" applyAlignment="1" pivotButton="0" quotePrefix="0" xfId="0">
      <alignment horizontal="center"/>
    </xf>
    <xf numFmtId="0" fontId="79" fillId="0" borderId="68" applyAlignment="1" pivotButton="0" quotePrefix="0" xfId="0">
      <alignment horizontal="center"/>
    </xf>
    <xf numFmtId="0" fontId="79" fillId="0" borderId="69" applyAlignment="1" pivotButton="0" quotePrefix="0" xfId="0">
      <alignment horizontal="center"/>
    </xf>
    <xf numFmtId="0" fontId="65" fillId="0" borderId="14" applyAlignment="1" pivotButton="0" quotePrefix="0" xfId="0">
      <alignment horizontal="center"/>
    </xf>
    <xf numFmtId="3" fontId="64" fillId="0" borderId="14" applyAlignment="1" pivotButton="0" quotePrefix="0" xfId="0">
      <alignment horizontal="center"/>
    </xf>
    <xf numFmtId="165" fontId="64" fillId="0" borderId="14" applyAlignment="1" pivotButton="0" quotePrefix="0" xfId="0">
      <alignment horizontal="center"/>
    </xf>
    <xf numFmtId="49" fontId="64" fillId="0" borderId="15" applyAlignment="1" pivotButton="0" quotePrefix="0" xfId="0">
      <alignment horizontal="center"/>
    </xf>
    <xf numFmtId="166" fontId="95" fillId="0" borderId="14" applyAlignment="1" pivotButton="0" quotePrefix="0" xfId="0">
      <alignment horizontal="center"/>
    </xf>
    <xf numFmtId="0" fontId="97" fillId="0" borderId="67" pivotButton="0" quotePrefix="0" xfId="0"/>
    <xf numFmtId="1" fontId="95" fillId="0" borderId="14" applyAlignment="1" pivotButton="0" quotePrefix="0" xfId="0">
      <alignment horizontal="center"/>
    </xf>
    <xf numFmtId="1" fontId="64" fillId="0" borderId="14" applyAlignment="1" pivotButton="0" quotePrefix="0" xfId="0">
      <alignment horizontal="center"/>
    </xf>
    <xf numFmtId="0" fontId="54" fillId="0" borderId="15" applyAlignment="1" pivotButton="0" quotePrefix="0" xfId="0">
      <alignment horizontal="center"/>
    </xf>
    <xf numFmtId="0" fontId="65" fillId="0" borderId="14" applyAlignment="1" pivotButton="0" quotePrefix="0" xfId="0">
      <alignment horizontal="center"/>
    </xf>
    <xf numFmtId="0" fontId="7" fillId="9" borderId="0" pivotButton="0" quotePrefix="0" xfId="0"/>
    <xf numFmtId="164" fontId="95" fillId="5" borderId="20" applyAlignment="1" pivotButton="0" quotePrefix="0" xfId="0">
      <alignment horizontal="center" vertical="center"/>
    </xf>
    <xf numFmtId="0" fontId="54" fillId="7" borderId="14" applyAlignment="1" pivotButton="0" quotePrefix="0" xfId="0">
      <alignment horizontal="center" vertical="center"/>
    </xf>
    <xf numFmtId="3" fontId="64" fillId="5" borderId="14" applyAlignment="1" pivotButton="0" quotePrefix="0" xfId="0">
      <alignment horizontal="center"/>
    </xf>
    <xf numFmtId="165" fontId="64" fillId="5" borderId="14" applyAlignment="1" pivotButton="0" quotePrefix="0" xfId="0">
      <alignment horizontal="center"/>
    </xf>
    <xf numFmtId="1" fontId="64" fillId="0" borderId="52" applyAlignment="1" pivotButton="0" quotePrefix="0" xfId="0">
      <alignment horizontal="center"/>
    </xf>
    <xf numFmtId="49" fontId="84" fillId="0" borderId="15" applyAlignment="1" pivotButton="0" quotePrefix="0" xfId="0">
      <alignment horizontal="center"/>
    </xf>
    <xf numFmtId="0" fontId="96" fillId="0" borderId="67" pivotButton="0" quotePrefix="0" xfId="0"/>
    <xf numFmtId="0" fontId="64" fillId="0" borderId="15" applyAlignment="1" pivotButton="0" quotePrefix="0" xfId="0">
      <alignment horizontal="center"/>
    </xf>
    <xf numFmtId="3" fontId="95" fillId="0" borderId="52" applyAlignment="1" pivotButton="0" quotePrefix="0" xfId="0">
      <alignment horizontal="center"/>
    </xf>
    <xf numFmtId="164" fontId="77" fillId="0" borderId="22" applyAlignment="1" pivotButton="0" quotePrefix="0" xfId="0">
      <alignment horizontal="center" vertical="center"/>
    </xf>
    <xf numFmtId="0" fontId="66" fillId="0" borderId="46" applyAlignment="1" pivotButton="0" quotePrefix="0" xfId="0">
      <alignment horizontal="center"/>
    </xf>
    <xf numFmtId="0" fontId="76" fillId="0" borderId="23" applyAlignment="1" pivotButton="0" quotePrefix="0" xfId="0">
      <alignment horizontal="center"/>
    </xf>
    <xf numFmtId="0" fontId="40" fillId="0" borderId="0" pivotButton="0" quotePrefix="0" xfId="0"/>
    <xf numFmtId="0" fontId="40" fillId="0" borderId="0" pivotButton="0" quotePrefix="0" xfId="0"/>
    <xf numFmtId="0" fontId="45" fillId="0" borderId="0" applyAlignment="1" pivotButton="0" quotePrefix="0" xfId="0">
      <alignment horizontal="center" vertical="center"/>
    </xf>
    <xf numFmtId="2" fontId="46" fillId="0" borderId="0" applyAlignment="1" pivotButton="0" quotePrefix="0" xfId="0">
      <alignment horizontal="center" vertical="center"/>
    </xf>
    <xf numFmtId="1" fontId="77" fillId="5" borderId="14" applyAlignment="1" pivotButton="0" quotePrefix="0" xfId="0">
      <alignment horizontal="center"/>
    </xf>
    <xf numFmtId="3" fontId="77" fillId="5" borderId="14" applyAlignment="1" pivotButton="0" quotePrefix="0" xfId="0">
      <alignment horizontal="center"/>
    </xf>
    <xf numFmtId="164" fontId="85" fillId="5" borderId="20" applyAlignment="1" pivotButton="0" quotePrefix="0" xfId="0">
      <alignment horizontal="center" vertical="center"/>
    </xf>
    <xf numFmtId="164" fontId="77" fillId="5" borderId="20" applyAlignment="1" pivotButton="0" quotePrefix="0" xfId="0">
      <alignment horizontal="center" vertical="center"/>
    </xf>
    <xf numFmtId="0" fontId="65" fillId="5" borderId="15" applyAlignment="1" pivotButton="0" quotePrefix="0" xfId="0">
      <alignment horizontal="center"/>
    </xf>
    <xf numFmtId="0" fontId="78" fillId="5" borderId="67" pivotButton="0" quotePrefix="0" xfId="0"/>
    <xf numFmtId="1" fontId="65" fillId="5" borderId="14" applyAlignment="1" pivotButton="0" quotePrefix="0" xfId="0">
      <alignment horizontal="center"/>
    </xf>
    <xf numFmtId="0" fontId="79" fillId="0" borderId="68" applyAlignment="1" pivotButton="0" quotePrefix="0" xfId="0">
      <alignment horizontal="center"/>
    </xf>
    <xf numFmtId="0" fontId="79" fillId="0" borderId="69" applyAlignment="1" pivotButton="0" quotePrefix="0" xfId="0">
      <alignment horizontal="center"/>
    </xf>
    <xf numFmtId="164" fontId="85" fillId="0" borderId="20" applyAlignment="1" pivotButton="0" quotePrefix="0" xfId="0">
      <alignment horizontal="center" vertical="center"/>
    </xf>
    <xf numFmtId="0" fontId="83" fillId="0" borderId="15" applyAlignment="1" pivotButton="0" quotePrefix="0" xfId="0">
      <alignment horizontal="center"/>
    </xf>
    <xf numFmtId="49" fontId="84" fillId="0" borderId="15" applyAlignment="1" pivotButton="0" quotePrefix="0" xfId="0">
      <alignment horizontal="center"/>
    </xf>
    <xf numFmtId="3" fontId="85" fillId="0" borderId="14" applyAlignment="1" pivotButton="0" quotePrefix="0" xfId="0">
      <alignment horizontal="center"/>
    </xf>
    <xf numFmtId="1" fontId="84" fillId="0" borderId="52" applyAlignment="1" pivotButton="0" quotePrefix="0" xfId="0">
      <alignment horizontal="center"/>
    </xf>
    <xf numFmtId="0" fontId="94" fillId="0" borderId="67" pivotButton="0" quotePrefix="0" xfId="0"/>
    <xf numFmtId="1" fontId="85" fillId="0" borderId="14" applyAlignment="1" pivotButton="0" quotePrefix="0" xfId="0">
      <alignment horizontal="center"/>
    </xf>
    <xf numFmtId="49" fontId="92" fillId="0" borderId="15" applyAlignment="1" pivotButton="0" quotePrefix="0" xfId="0">
      <alignment horizontal="center" vertical="center"/>
    </xf>
    <xf numFmtId="3" fontId="95" fillId="5" borderId="14" applyAlignment="1" pivotButton="0" quotePrefix="0" xfId="0">
      <alignment horizontal="center"/>
    </xf>
    <xf numFmtId="166" fontId="95" fillId="5" borderId="14" applyAlignment="1" pivotButton="0" quotePrefix="0" xfId="0">
      <alignment horizontal="center"/>
    </xf>
    <xf numFmtId="0" fontId="7" fillId="5" borderId="0" pivotButton="0" quotePrefix="0" xfId="0"/>
    <xf numFmtId="0" fontId="3" fillId="5" borderId="0" applyAlignment="1" pivotButton="0" quotePrefix="0" xfId="0">
      <alignment horizontal="center" vertical="center"/>
    </xf>
    <xf numFmtId="2" fontId="41" fillId="5" borderId="0" applyAlignment="1" pivotButton="0" quotePrefix="0" xfId="0">
      <alignment horizontal="center" vertical="center"/>
    </xf>
    <xf numFmtId="49" fontId="64" fillId="5" borderId="59" applyAlignment="1" pivotButton="0" quotePrefix="0" xfId="0">
      <alignment horizontal="center"/>
    </xf>
    <xf numFmtId="0" fontId="48" fillId="5" borderId="15" applyAlignment="1" pivotButton="0" quotePrefix="0" xfId="0">
      <alignment horizontal="center"/>
    </xf>
    <xf numFmtId="0" fontId="64" fillId="5" borderId="15" applyAlignment="1" pivotButton="0" quotePrefix="0" xfId="0">
      <alignment horizontal="center"/>
    </xf>
    <xf numFmtId="0" fontId="54" fillId="5" borderId="15" applyAlignment="1" pivotButton="0" quotePrefix="0" xfId="0">
      <alignment horizontal="center"/>
    </xf>
    <xf numFmtId="0" fontId="97" fillId="5" borderId="67" pivotButton="0" quotePrefix="0" xfId="0"/>
    <xf numFmtId="0" fontId="96" fillId="5" borderId="68" applyAlignment="1" pivotButton="0" quotePrefix="0" xfId="0">
      <alignment horizontal="center"/>
    </xf>
    <xf numFmtId="0" fontId="40" fillId="5" borderId="0" pivotButton="0" quotePrefix="0" xfId="0"/>
    <xf numFmtId="49" fontId="64" fillId="5" borderId="14" applyAlignment="1" pivotButton="0" quotePrefix="0" xfId="0">
      <alignment horizontal="center"/>
    </xf>
    <xf numFmtId="1" fontId="95" fillId="5" borderId="14" applyAlignment="1" pivotButton="0" quotePrefix="0" xfId="0">
      <alignment horizontal="center"/>
    </xf>
    <xf numFmtId="1" fontId="64" fillId="5" borderId="52" applyAlignment="1" pivotButton="0" quotePrefix="0" xfId="0">
      <alignment horizontal="center"/>
    </xf>
    <xf numFmtId="0" fontId="96" fillId="5" borderId="69" applyAlignment="1" pivotButton="0" quotePrefix="0" xfId="0">
      <alignment horizontal="center"/>
    </xf>
    <xf numFmtId="49" fontId="84" fillId="5" borderId="15" applyAlignment="1" pivotButton="0" quotePrefix="0" xfId="0">
      <alignment horizontal="center"/>
    </xf>
    <xf numFmtId="0" fontId="40" fillId="5" borderId="0" pivotButton="0" quotePrefix="0" xfId="0"/>
    <xf numFmtId="0" fontId="45" fillId="5" borderId="0" applyAlignment="1" pivotButton="0" quotePrefix="0" xfId="0">
      <alignment horizontal="center" vertical="center"/>
    </xf>
    <xf numFmtId="2" fontId="46" fillId="5" borderId="0" applyAlignment="1" pivotButton="0" quotePrefix="0" xfId="0">
      <alignment horizontal="center" vertical="center"/>
    </xf>
    <xf numFmtId="0" fontId="61" fillId="5" borderId="0" pivotButton="0" quotePrefix="0" xfId="0"/>
    <xf numFmtId="0" fontId="61" fillId="5" borderId="0" pivotButton="0" quotePrefix="0" xfId="0"/>
    <xf numFmtId="0" fontId="62" fillId="5" borderId="0" applyAlignment="1" pivotButton="0" quotePrefix="0" xfId="0">
      <alignment horizontal="center" vertical="center"/>
    </xf>
    <xf numFmtId="2" fontId="63" fillId="5" borderId="0" applyAlignment="1" pivotButton="0" quotePrefix="0" xfId="0">
      <alignment horizontal="center" vertical="center"/>
    </xf>
    <xf numFmtId="0" fontId="16" fillId="5" borderId="0" applyAlignment="1" pivotButton="0" quotePrefix="0" xfId="0">
      <alignment horizontal="center" vertical="center"/>
    </xf>
    <xf numFmtId="1" fontId="65" fillId="0" borderId="62" applyAlignment="1" pivotButton="0" quotePrefix="0" xfId="0">
      <alignment horizontal="center"/>
    </xf>
    <xf numFmtId="164" fontId="70" fillId="5" borderId="51" applyAlignment="1" applyProtection="1" pivotButton="0" quotePrefix="0" xfId="0">
      <alignment horizontal="center" vertical="center"/>
      <protection locked="1" hidden="1"/>
    </xf>
    <xf numFmtId="0" fontId="66" fillId="0" borderId="23" applyAlignment="1" pivotButton="0" quotePrefix="0" xfId="0">
      <alignment horizontal="center"/>
    </xf>
    <xf numFmtId="166" fontId="95" fillId="0" borderId="14" applyAlignment="1" pivotButton="0" quotePrefix="0" xfId="0">
      <alignment horizontal="center"/>
    </xf>
    <xf numFmtId="3" fontId="64" fillId="7" borderId="14" applyAlignment="1" pivotButton="0" quotePrefix="0" xfId="0">
      <alignment horizontal="center"/>
    </xf>
    <xf numFmtId="3" fontId="95" fillId="7" borderId="14" applyAlignment="1" pivotButton="0" quotePrefix="0" xfId="0">
      <alignment horizontal="center"/>
    </xf>
    <xf numFmtId="165" fontId="64" fillId="7" borderId="14" applyAlignment="1" pivotButton="0" quotePrefix="0" xfId="0">
      <alignment horizontal="center"/>
    </xf>
    <xf numFmtId="3" fontId="95" fillId="0" borderId="14" applyAlignment="1" pivotButton="0" quotePrefix="0" xfId="0">
      <alignment horizontal="center"/>
    </xf>
    <xf numFmtId="3" fontId="64" fillId="0" borderId="23" applyAlignment="1" pivotButton="0" quotePrefix="0" xfId="0">
      <alignment horizontal="center"/>
    </xf>
    <xf numFmtId="3" fontId="95" fillId="0" borderId="23" applyAlignment="1" pivotButton="0" quotePrefix="0" xfId="0">
      <alignment horizontal="center"/>
    </xf>
    <xf numFmtId="165" fontId="64" fillId="0" borderId="23" applyAlignment="1" pivotButton="0" quotePrefix="0" xfId="0">
      <alignment horizontal="center"/>
    </xf>
    <xf numFmtId="166" fontId="95" fillId="0" borderId="52" applyAlignment="1" pivotButton="0" quotePrefix="0" xfId="0">
      <alignment horizontal="center"/>
    </xf>
    <xf numFmtId="166" fontId="95" fillId="7" borderId="52" applyAlignment="1" pivotButton="0" quotePrefix="0" xfId="0">
      <alignment horizontal="center"/>
    </xf>
    <xf numFmtId="3" fontId="64" fillId="0" borderId="79" applyAlignment="1" pivotButton="0" quotePrefix="0" xfId="0">
      <alignment horizontal="center"/>
    </xf>
    <xf numFmtId="166" fontId="95" fillId="0" borderId="62" applyAlignment="1" pivotButton="0" quotePrefix="0" xfId="0">
      <alignment horizontal="center"/>
    </xf>
    <xf numFmtId="165" fontId="64" fillId="0" borderId="80" applyAlignment="1" pivotButton="0" quotePrefix="0" xfId="0">
      <alignment horizontal="center"/>
    </xf>
    <xf numFmtId="166" fontId="95" fillId="0" borderId="23" applyAlignment="1" pivotButton="0" quotePrefix="0" xfId="0">
      <alignment horizontal="center"/>
    </xf>
    <xf numFmtId="166" fontId="95" fillId="0" borderId="23" applyAlignment="1" pivotButton="0" quotePrefix="0" xfId="0">
      <alignment horizontal="center"/>
    </xf>
    <xf numFmtId="0" fontId="38" fillId="5" borderId="7" applyAlignment="1" pivotButton="0" quotePrefix="0" xfId="0">
      <alignment horizontal="center" vertical="center" wrapText="1"/>
    </xf>
    <xf numFmtId="3" fontId="95" fillId="0" borderId="14" applyAlignment="1" pivotButton="0" quotePrefix="0" xfId="0">
      <alignment horizontal="center"/>
    </xf>
    <xf numFmtId="1" fontId="95" fillId="0" borderId="15" applyAlignment="1" pivotButton="0" quotePrefix="0" xfId="0">
      <alignment horizontal="center"/>
    </xf>
    <xf numFmtId="166" fontId="54" fillId="7" borderId="13" applyAlignment="1" pivotButton="0" quotePrefix="0" xfId="0">
      <alignment horizontal="center" vertical="center"/>
    </xf>
    <xf numFmtId="0" fontId="43" fillId="5" borderId="11" applyAlignment="1" pivotButton="0" quotePrefix="0" xfId="0">
      <alignment horizontal="center" vertical="center" wrapText="1"/>
    </xf>
    <xf numFmtId="0" fontId="7" fillId="0" borderId="0" pivotButton="0" quotePrefix="0" xfId="0"/>
    <xf numFmtId="2" fontId="41" fillId="0" borderId="49" applyAlignment="1" pivotButton="0" quotePrefix="0" xfId="0">
      <alignment horizontal="center" vertical="center"/>
    </xf>
    <xf numFmtId="2" fontId="46" fillId="0" borderId="49" applyAlignment="1" pivotButton="0" quotePrefix="0" xfId="0">
      <alignment horizontal="center" vertical="center"/>
    </xf>
    <xf numFmtId="0" fontId="3" fillId="8" borderId="49" applyAlignment="1" pivotButton="0" quotePrefix="0" xfId="0">
      <alignment horizontal="center" vertical="center"/>
    </xf>
    <xf numFmtId="0" fontId="45" fillId="8" borderId="49" applyAlignment="1" pivotButton="0" quotePrefix="0" xfId="0">
      <alignment horizontal="center" vertical="center"/>
    </xf>
    <xf numFmtId="0" fontId="83" fillId="0" borderId="52" applyAlignment="1" pivotButton="0" quotePrefix="0" xfId="0">
      <alignment horizontal="center"/>
    </xf>
    <xf numFmtId="0" fontId="44" fillId="0" borderId="52" applyAlignment="1" pivotButton="0" quotePrefix="0" xfId="0">
      <alignment horizontal="center"/>
    </xf>
    <xf numFmtId="0" fontId="86" fillId="0" borderId="67" pivotButton="0" quotePrefix="0" xfId="0"/>
    <xf numFmtId="164" fontId="77" fillId="0" borderId="54" applyAlignment="1" pivotButton="0" quotePrefix="0" xfId="0">
      <alignment horizontal="center" vertical="center"/>
    </xf>
    <xf numFmtId="0" fontId="54" fillId="0" borderId="52" applyAlignment="1" pivotButton="0" quotePrefix="0" xfId="0">
      <alignment horizontal="center"/>
    </xf>
    <xf numFmtId="0" fontId="92" fillId="0" borderId="52" applyAlignment="1" pivotButton="0" quotePrefix="0" xfId="0">
      <alignment horizontal="center"/>
    </xf>
    <xf numFmtId="49" fontId="65" fillId="0" borderId="23" applyAlignment="1" pivotButton="0" quotePrefix="0" xfId="0">
      <alignment horizontal="center"/>
    </xf>
    <xf numFmtId="0" fontId="65" fillId="0" borderId="14" applyAlignment="1" pivotButton="0" quotePrefix="0" xfId="0">
      <alignment horizontal="center"/>
    </xf>
    <xf numFmtId="20" fontId="8" fillId="0" borderId="0" applyAlignment="1" pivotButton="0" quotePrefix="0" xfId="0">
      <alignment horizontal="center" vertical="center"/>
    </xf>
    <xf numFmtId="0" fontId="65" fillId="5" borderId="14" applyAlignment="1" pivotButton="0" quotePrefix="0" xfId="0">
      <alignment horizontal="center"/>
    </xf>
    <xf numFmtId="0" fontId="88" fillId="5" borderId="0" pivotButton="0" quotePrefix="0" xfId="0"/>
    <xf numFmtId="0" fontId="89" fillId="5" borderId="0" applyAlignment="1" pivotButton="0" quotePrefix="0" xfId="0">
      <alignment horizontal="center" vertical="center"/>
    </xf>
    <xf numFmtId="3" fontId="65" fillId="5" borderId="14" applyAlignment="1" pivotButton="0" quotePrefix="0" xfId="0">
      <alignment horizontal="center"/>
    </xf>
    <xf numFmtId="166" fontId="77" fillId="5" borderId="14" applyAlignment="1" pivotButton="0" quotePrefix="0" xfId="0">
      <alignment horizontal="center"/>
    </xf>
    <xf numFmtId="165" fontId="65" fillId="5" borderId="14" applyAlignment="1" pivotButton="0" quotePrefix="0" xfId="0">
      <alignment horizontal="center"/>
    </xf>
    <xf numFmtId="0" fontId="83" fillId="9" borderId="15" applyAlignment="1" pivotButton="0" quotePrefix="0" xfId="0">
      <alignment horizontal="center"/>
    </xf>
    <xf numFmtId="0" fontId="84" fillId="9" borderId="15" applyAlignment="1" pivotButton="0" quotePrefix="0" xfId="0">
      <alignment horizontal="center"/>
    </xf>
    <xf numFmtId="164" fontId="85" fillId="9" borderId="20" applyAlignment="1" pivotButton="0" quotePrefix="0" xfId="0">
      <alignment horizontal="center" vertical="center"/>
    </xf>
    <xf numFmtId="3" fontId="85" fillId="9" borderId="14" applyAlignment="1" pivotButton="0" quotePrefix="0" xfId="0">
      <alignment horizontal="center"/>
    </xf>
    <xf numFmtId="165" fontId="84" fillId="9" borderId="14" applyAlignment="1" pivotButton="0" quotePrefix="0" xfId="0">
      <alignment horizontal="center"/>
    </xf>
    <xf numFmtId="1" fontId="85" fillId="9" borderId="14" applyAlignment="1" pivotButton="0" quotePrefix="0" xfId="0">
      <alignment horizontal="center"/>
    </xf>
    <xf numFmtId="0" fontId="84" fillId="9" borderId="14" applyAlignment="1" pivotButton="0" quotePrefix="0" xfId="0">
      <alignment horizontal="center"/>
    </xf>
    <xf numFmtId="3" fontId="84" fillId="9" borderId="14" applyAlignment="1" pivotButton="0" quotePrefix="0" xfId="0">
      <alignment horizontal="center"/>
    </xf>
    <xf numFmtId="166" fontId="85" fillId="9" borderId="14" applyAlignment="1" pivotButton="0" quotePrefix="0" xfId="0">
      <alignment horizontal="center"/>
    </xf>
    <xf numFmtId="1" fontId="84" fillId="9" borderId="14" applyAlignment="1" pivotButton="0" quotePrefix="0" xfId="0">
      <alignment horizontal="center"/>
    </xf>
    <xf numFmtId="49" fontId="84" fillId="9" borderId="15" applyAlignment="1" pivotButton="0" quotePrefix="0" xfId="0">
      <alignment horizontal="center"/>
    </xf>
    <xf numFmtId="1" fontId="85" fillId="9" borderId="14" applyAlignment="1" pivotButton="0" quotePrefix="0" xfId="0">
      <alignment horizontal="center"/>
    </xf>
    <xf numFmtId="0" fontId="56" fillId="0" borderId="0" applyAlignment="1" pivotButton="0" quotePrefix="0" xfId="0">
      <alignment horizontal="center"/>
    </xf>
    <xf numFmtId="0" fontId="94" fillId="0" borderId="77" pivotButton="0" quotePrefix="0" xfId="0"/>
    <xf numFmtId="0" fontId="94" fillId="0" borderId="78" pivotButton="0" quotePrefix="0" xfId="0"/>
    <xf numFmtId="0" fontId="94" fillId="0" borderId="58" pivotButton="0" quotePrefix="0" xfId="0"/>
    <xf numFmtId="0" fontId="97" fillId="0" borderId="78" pivotButton="0" quotePrefix="0" xfId="0"/>
    <xf numFmtId="0" fontId="97" fillId="0" borderId="58" pivotButton="0" quotePrefix="0" xfId="0"/>
    <xf numFmtId="0" fontId="83" fillId="0" borderId="14" applyAlignment="1" pivotButton="0" quotePrefix="0" xfId="0">
      <alignment horizontal="center"/>
    </xf>
    <xf numFmtId="49" fontId="64" fillId="0" borderId="59" applyAlignment="1" pivotButton="0" quotePrefix="0" xfId="0">
      <alignment horizontal="center"/>
    </xf>
    <xf numFmtId="3" fontId="85" fillId="0" borderId="14" applyAlignment="1" pivotButton="0" quotePrefix="0" xfId="0">
      <alignment horizontal="center"/>
    </xf>
    <xf numFmtId="0" fontId="82" fillId="0" borderId="56" applyAlignment="1" pivotButton="0" quotePrefix="0" xfId="0">
      <alignment horizontal="center"/>
    </xf>
    <xf numFmtId="49" fontId="64" fillId="0" borderId="14" applyAlignment="1" pivotButton="0" quotePrefix="0" xfId="0">
      <alignment horizontal="center"/>
    </xf>
    <xf numFmtId="0" fontId="82" fillId="0" borderId="14" applyAlignment="1" pivotButton="0" quotePrefix="0" xfId="0">
      <alignment horizontal="center"/>
    </xf>
    <xf numFmtId="0" fontId="65" fillId="0" borderId="14" applyAlignment="1" pivotButton="0" quotePrefix="0" xfId="0">
      <alignment horizontal="center"/>
    </xf>
    <xf numFmtId="1" fontId="85" fillId="0" borderId="14" applyAlignment="1" pivotButton="0" quotePrefix="0" xfId="0">
      <alignment horizontal="center"/>
    </xf>
    <xf numFmtId="164" fontId="95" fillId="0" borderId="55" applyAlignment="1" pivotButton="0" quotePrefix="0" xfId="0">
      <alignment horizontal="center" vertical="center"/>
    </xf>
    <xf numFmtId="0" fontId="48" fillId="0" borderId="52" applyAlignment="1" pivotButton="0" quotePrefix="0" xfId="0">
      <alignment horizontal="center"/>
    </xf>
    <xf numFmtId="0" fontId="92" fillId="0" borderId="52" applyAlignment="1" pivotButton="0" quotePrefix="0" xfId="0">
      <alignment horizontal="center"/>
    </xf>
    <xf numFmtId="3" fontId="77" fillId="0" borderId="52" applyAlignment="1" pivotButton="0" quotePrefix="0" xfId="0">
      <alignment horizontal="center"/>
    </xf>
    <xf numFmtId="166" fontId="77" fillId="0" borderId="52" applyAlignment="1" pivotButton="0" quotePrefix="0" xfId="0">
      <alignment horizontal="center"/>
    </xf>
    <xf numFmtId="1" fontId="77" fillId="0" borderId="52" applyAlignment="1" pivotButton="0" quotePrefix="0" xfId="0">
      <alignment horizontal="center"/>
    </xf>
    <xf numFmtId="1" fontId="77" fillId="0" borderId="52" applyAlignment="1" pivotButton="0" quotePrefix="0" xfId="0">
      <alignment horizontal="center"/>
    </xf>
    <xf numFmtId="3" fontId="77" fillId="0" borderId="52" applyAlignment="1" pivotButton="0" quotePrefix="0" xfId="0">
      <alignment horizontal="center"/>
    </xf>
    <xf numFmtId="1" fontId="84" fillId="0" borderId="14" applyAlignment="1" pivotButton="0" quotePrefix="0" xfId="0">
      <alignment horizontal="center"/>
    </xf>
    <xf numFmtId="0" fontId="76" fillId="0" borderId="56" applyAlignment="1" pivotButton="0" quotePrefix="0" xfId="0">
      <alignment horizontal="center"/>
    </xf>
    <xf numFmtId="0" fontId="82" fillId="0" borderId="42" applyAlignment="1" pivotButton="0" quotePrefix="0" xfId="0">
      <alignment horizontal="center"/>
    </xf>
    <xf numFmtId="0" fontId="76" fillId="0" borderId="18" applyAlignment="1" pivotButton="0" quotePrefix="0" xfId="0">
      <alignment horizontal="center"/>
    </xf>
    <xf numFmtId="0" fontId="96" fillId="0" borderId="68" applyAlignment="1" pivotButton="0" quotePrefix="0" xfId="0">
      <alignment horizontal="center"/>
    </xf>
    <xf numFmtId="0" fontId="96" fillId="0" borderId="69" applyAlignment="1" pivotButton="0" quotePrefix="0" xfId="0">
      <alignment horizontal="center"/>
    </xf>
    <xf numFmtId="0" fontId="87" fillId="0" borderId="17" applyAlignment="1" pivotButton="0" quotePrefix="0" xfId="0">
      <alignment horizontal="left"/>
    </xf>
    <xf numFmtId="0" fontId="87" fillId="0" borderId="19" applyAlignment="1" pivotButton="0" quotePrefix="0" xfId="0">
      <alignment horizontal="left"/>
    </xf>
    <xf numFmtId="0" fontId="98" fillId="0" borderId="16" applyAlignment="1" pivotButton="0" quotePrefix="0" xfId="0">
      <alignment horizontal="left"/>
    </xf>
    <xf numFmtId="0" fontId="65" fillId="0" borderId="14" applyAlignment="1" pivotButton="0" quotePrefix="0" xfId="0">
      <alignment horizontal="center"/>
    </xf>
    <xf numFmtId="0" fontId="82" fillId="9" borderId="15" applyAlignment="1" pivotButton="0" quotePrefix="0" xfId="0">
      <alignment horizontal="center"/>
    </xf>
    <xf numFmtId="1" fontId="84" fillId="9" borderId="52" applyAlignment="1" pivotButton="0" quotePrefix="0" xfId="0">
      <alignment horizontal="center"/>
    </xf>
    <xf numFmtId="164" fontId="85" fillId="9" borderId="54" applyAlignment="1" pivotButton="0" quotePrefix="0" xfId="0">
      <alignment horizontal="center" vertical="center"/>
    </xf>
    <xf numFmtId="0" fontId="83" fillId="9" borderId="52" applyAlignment="1" pivotButton="0" quotePrefix="0" xfId="0">
      <alignment horizontal="center"/>
    </xf>
    <xf numFmtId="0" fontId="82" fillId="9" borderId="52" applyAlignment="1" pivotButton="0" quotePrefix="0" xfId="0">
      <alignment horizontal="center"/>
    </xf>
    <xf numFmtId="0" fontId="44" fillId="9" borderId="52" applyAlignment="1" pivotButton="0" quotePrefix="0" xfId="0">
      <alignment horizontal="center"/>
    </xf>
    <xf numFmtId="1" fontId="85" fillId="9" borderId="52" applyAlignment="1" pivotButton="0" quotePrefix="0" xfId="0">
      <alignment horizontal="center"/>
    </xf>
    <xf numFmtId="166" fontId="85" fillId="9" borderId="52" applyAlignment="1" pivotButton="0" quotePrefix="0" xfId="0">
      <alignment horizontal="center"/>
    </xf>
    <xf numFmtId="0" fontId="82" fillId="9" borderId="14" applyAlignment="1" pivotButton="0" quotePrefix="0" xfId="0">
      <alignment horizontal="center"/>
    </xf>
    <xf numFmtId="166" fontId="85" fillId="9" borderId="14" applyAlignment="1" pivotButton="0" quotePrefix="0" xfId="0">
      <alignment horizontal="center"/>
    </xf>
    <xf numFmtId="17" fontId="8" fillId="0" borderId="0" applyAlignment="1" pivotButton="0" quotePrefix="0" xfId="0">
      <alignment horizontal="center" vertical="center"/>
    </xf>
    <xf numFmtId="0" fontId="88" fillId="9" borderId="0" pivotButton="0" quotePrefix="0" xfId="0"/>
    <xf numFmtId="0" fontId="86" fillId="9" borderId="73" pivotButton="0" quotePrefix="0" xfId="0"/>
    <xf numFmtId="1" fontId="95" fillId="0" borderId="52" applyAlignment="1" pivotButton="0" quotePrefix="0" xfId="0">
      <alignment horizontal="center"/>
    </xf>
    <xf numFmtId="0" fontId="54" fillId="0" borderId="57" applyAlignment="1" pivotButton="0" quotePrefix="0" xfId="0">
      <alignment horizontal="center"/>
    </xf>
    <xf numFmtId="0" fontId="92" fillId="0" borderId="57" applyAlignment="1" pivotButton="0" quotePrefix="0" xfId="0">
      <alignment horizontal="center"/>
    </xf>
    <xf numFmtId="3" fontId="95" fillId="0" borderId="57" applyAlignment="1" pivotButton="0" quotePrefix="0" xfId="0">
      <alignment horizontal="center"/>
    </xf>
    <xf numFmtId="1" fontId="95" fillId="0" borderId="57" applyAlignment="1" pivotButton="0" quotePrefix="0" xfId="0">
      <alignment horizontal="center"/>
    </xf>
    <xf numFmtId="0" fontId="54" fillId="0" borderId="75" applyAlignment="1" pivotButton="0" quotePrefix="0" xfId="0">
      <alignment horizontal="center"/>
    </xf>
    <xf numFmtId="0" fontId="87" fillId="9" borderId="61" applyAlignment="1" pivotButton="0" quotePrefix="0" xfId="0">
      <alignment horizontal="left"/>
    </xf>
    <xf numFmtId="0" fontId="87" fillId="9" borderId="60" applyAlignment="1" pivotButton="0" quotePrefix="0" xfId="0">
      <alignment horizontal="left"/>
    </xf>
    <xf numFmtId="0" fontId="87" fillId="9" borderId="36" applyAlignment="1" pivotButton="0" quotePrefix="0" xfId="0">
      <alignment horizontal="left"/>
    </xf>
    <xf numFmtId="0" fontId="84" fillId="0" borderId="14" applyAlignment="1" pivotButton="0" quotePrefix="0" xfId="0">
      <alignment horizontal="center"/>
    </xf>
    <xf numFmtId="164" fontId="95" fillId="0" borderId="20" applyAlignment="1" pivotButton="0" quotePrefix="0" xfId="0">
      <alignment horizontal="center" vertical="center"/>
    </xf>
    <xf numFmtId="0" fontId="83" fillId="9" borderId="14" applyAlignment="1" pivotButton="0" quotePrefix="0" xfId="0">
      <alignment horizontal="center"/>
    </xf>
    <xf numFmtId="0" fontId="82" fillId="9" borderId="18" applyAlignment="1" pivotButton="0" quotePrefix="0" xfId="0">
      <alignment horizontal="center"/>
    </xf>
    <xf numFmtId="49" fontId="84" fillId="9" borderId="14" applyAlignment="1" pivotButton="0" quotePrefix="0" xfId="0">
      <alignment horizontal="center"/>
    </xf>
    <xf numFmtId="0" fontId="65" fillId="0" borderId="14" applyAlignment="1" pivotButton="0" quotePrefix="0" xfId="0">
      <alignment horizontal="center"/>
    </xf>
    <xf numFmtId="0" fontId="84" fillId="9" borderId="14" applyAlignment="1" pivotButton="0" quotePrefix="0" xfId="0">
      <alignment horizontal="center"/>
    </xf>
    <xf numFmtId="0" fontId="96" fillId="0" borderId="69" applyAlignment="1" pivotButton="0" quotePrefix="0" xfId="0">
      <alignment horizontal="center"/>
    </xf>
    <xf numFmtId="0" fontId="96" fillId="0" borderId="68" applyAlignment="1" pivotButton="0" quotePrefix="0" xfId="0">
      <alignment horizontal="center"/>
    </xf>
    <xf numFmtId="0" fontId="81" fillId="0" borderId="16" applyAlignment="1" pivotButton="0" quotePrefix="0" xfId="0">
      <alignment horizontal="left"/>
    </xf>
    <xf numFmtId="0" fontId="81" fillId="0" borderId="17" applyAlignment="1" pivotButton="0" quotePrefix="0" xfId="0">
      <alignment horizontal="left"/>
    </xf>
    <xf numFmtId="0" fontId="81" fillId="0" borderId="19" applyAlignment="1" pivotButton="0" quotePrefix="0" xfId="0">
      <alignment horizontal="left"/>
    </xf>
    <xf numFmtId="0" fontId="65" fillId="0" borderId="14" applyAlignment="1" pivotButton="0" quotePrefix="0" xfId="0">
      <alignment horizontal="center"/>
    </xf>
    <xf numFmtId="0" fontId="65" fillId="0" borderId="14" applyAlignment="1" pivotButton="0" quotePrefix="0" xfId="0">
      <alignment horizontal="center"/>
    </xf>
    <xf numFmtId="3" fontId="85" fillId="9" borderId="0" applyAlignment="1" pivotButton="0" quotePrefix="0" xfId="0">
      <alignment horizontal="center"/>
    </xf>
    <xf numFmtId="0" fontId="86" fillId="9" borderId="74" applyAlignment="1" pivotButton="0" quotePrefix="0" xfId="0">
      <alignment horizontal="left"/>
    </xf>
    <xf numFmtId="0" fontId="48" fillId="0" borderId="15" applyAlignment="1" pivotButton="0" quotePrefix="0" xfId="0">
      <alignment horizontal="center"/>
    </xf>
    <xf numFmtId="0" fontId="64" fillId="5" borderId="14" applyAlignment="1" pivotButton="0" quotePrefix="0" xfId="0">
      <alignment horizontal="center"/>
    </xf>
    <xf numFmtId="49" fontId="64" fillId="0" borderId="15" applyAlignment="1" pivotButton="0" quotePrefix="0" xfId="0">
      <alignment horizontal="center"/>
    </xf>
    <xf numFmtId="3" fontId="95" fillId="0" borderId="14" applyAlignment="1" pivotButton="0" quotePrefix="0" xfId="0">
      <alignment horizontal="center"/>
    </xf>
    <xf numFmtId="166" fontId="95" fillId="0" borderId="14" applyAlignment="1" pivotButton="0" quotePrefix="0" xfId="0">
      <alignment horizontal="center"/>
    </xf>
    <xf numFmtId="0" fontId="64" fillId="5" borderId="14" applyAlignment="1" pivotButton="0" quotePrefix="0" xfId="0">
      <alignment horizontal="center"/>
    </xf>
    <xf numFmtId="166" fontId="95" fillId="0" borderId="14" applyAlignment="1" pivotButton="0" quotePrefix="0" xfId="0">
      <alignment horizontal="center"/>
    </xf>
    <xf numFmtId="0" fontId="64" fillId="0" borderId="14" applyAlignment="1" pivotButton="0" quotePrefix="0" xfId="0">
      <alignment horizontal="center"/>
    </xf>
    <xf numFmtId="49" fontId="84" fillId="9" borderId="15" applyAlignment="1" pivotButton="0" quotePrefix="0" xfId="0">
      <alignment horizontal="center"/>
    </xf>
    <xf numFmtId="3" fontId="85" fillId="9" borderId="14" applyAlignment="1" pivotButton="0" quotePrefix="0" xfId="0">
      <alignment horizontal="center"/>
    </xf>
    <xf numFmtId="0" fontId="94" fillId="9" borderId="67" pivotButton="0" quotePrefix="0" xfId="0"/>
    <xf numFmtId="0" fontId="56" fillId="5" borderId="49" applyAlignment="1" pivotButton="0" quotePrefix="0" xfId="0">
      <alignment horizontal="center" vertical="center"/>
    </xf>
    <xf numFmtId="1" fontId="85" fillId="0" borderId="15" applyAlignment="1" pivotButton="0" quotePrefix="0" xfId="0">
      <alignment horizontal="center"/>
    </xf>
    <xf numFmtId="0" fontId="101" fillId="0" borderId="67" pivotButton="0" quotePrefix="0" xfId="0"/>
    <xf numFmtId="0" fontId="105" fillId="0" borderId="0" pivotButton="0" quotePrefix="0" xfId="0"/>
    <xf numFmtId="1" fontId="85" fillId="0" borderId="52" applyAlignment="1" pivotButton="0" quotePrefix="0" xfId="0">
      <alignment horizontal="center"/>
    </xf>
    <xf numFmtId="0" fontId="96" fillId="0" borderId="52" pivotButton="0" quotePrefix="0" xfId="0"/>
    <xf numFmtId="0" fontId="96" fillId="0" borderId="0" pivotButton="0" quotePrefix="0" xfId="0"/>
    <xf numFmtId="49" fontId="84" fillId="0" borderId="14" applyAlignment="1" pivotButton="0" quotePrefix="0" xfId="0">
      <alignment horizontal="center"/>
    </xf>
    <xf numFmtId="0" fontId="84" fillId="0" borderId="14" applyAlignment="1" pivotButton="0" quotePrefix="0" xfId="0">
      <alignment horizontal="center"/>
    </xf>
    <xf numFmtId="0" fontId="30" fillId="5" borderId="13" applyAlignment="1" pivotButton="0" quotePrefix="0" xfId="0">
      <alignment horizontal="center" vertical="center"/>
    </xf>
    <xf numFmtId="0" fontId="65" fillId="0" borderId="14" applyAlignment="1" pivotButton="0" quotePrefix="0" xfId="0">
      <alignment horizontal="center"/>
    </xf>
    <xf numFmtId="0" fontId="84" fillId="9" borderId="14" applyAlignment="1" pivotButton="0" quotePrefix="0" xfId="0">
      <alignment horizontal="center"/>
    </xf>
    <xf numFmtId="3" fontId="64" fillId="9" borderId="14" applyAlignment="1" pivotButton="0" quotePrefix="0" xfId="0">
      <alignment horizontal="center"/>
    </xf>
    <xf numFmtId="1" fontId="85" fillId="9" borderId="15" applyAlignment="1" pivotButton="0" quotePrefix="0" xfId="0">
      <alignment horizontal="center"/>
    </xf>
    <xf numFmtId="1" fontId="64" fillId="9" borderId="52" applyAlignment="1" pivotButton="0" quotePrefix="0" xfId="0">
      <alignment horizontal="center"/>
    </xf>
    <xf numFmtId="3" fontId="95" fillId="9" borderId="57" applyAlignment="1" pivotButton="0" quotePrefix="0" xfId="0">
      <alignment horizontal="center"/>
    </xf>
    <xf numFmtId="166" fontId="95" fillId="9" borderId="52" applyAlignment="1" pivotButton="0" quotePrefix="0" xfId="0">
      <alignment horizontal="center"/>
    </xf>
    <xf numFmtId="0" fontId="82" fillId="9" borderId="56" applyAlignment="1" pivotButton="0" quotePrefix="0" xfId="0">
      <alignment horizontal="center"/>
    </xf>
    <xf numFmtId="0" fontId="82" fillId="9" borderId="42" applyAlignment="1" pivotButton="0" quotePrefix="0" xfId="0">
      <alignment horizontal="center"/>
    </xf>
    <xf numFmtId="3" fontId="77" fillId="9" borderId="14" applyAlignment="1" pivotButton="0" quotePrefix="0" xfId="0">
      <alignment horizontal="center"/>
    </xf>
    <xf numFmtId="164" fontId="77" fillId="9" borderId="54" applyAlignment="1" pivotButton="0" quotePrefix="0" xfId="0">
      <alignment horizontal="center" vertical="center"/>
    </xf>
    <xf numFmtId="164" fontId="70" fillId="0" borderId="50" applyAlignment="1" applyProtection="1" pivotButton="0" quotePrefix="0" xfId="0">
      <alignment horizontal="center" vertical="center"/>
      <protection locked="1" hidden="1"/>
    </xf>
    <xf numFmtId="0" fontId="84" fillId="9" borderId="14" applyAlignment="1" pivotButton="0" quotePrefix="0" xfId="0">
      <alignment horizontal="center"/>
    </xf>
    <xf numFmtId="0" fontId="94" fillId="9" borderId="77" pivotButton="0" quotePrefix="0" xfId="0"/>
    <xf numFmtId="49" fontId="84" fillId="9" borderId="59" applyAlignment="1" pivotButton="0" quotePrefix="0" xfId="0">
      <alignment horizontal="center"/>
    </xf>
    <xf numFmtId="0" fontId="86" fillId="9" borderId="67" pivotButton="0" quotePrefix="0" xfId="0"/>
    <xf numFmtId="0" fontId="82" fillId="9" borderId="14" applyAlignment="1" pivotButton="0" quotePrefix="0" xfId="0">
      <alignment horizontal="center"/>
    </xf>
    <xf numFmtId="3" fontId="85" fillId="9" borderId="52" applyAlignment="1" pivotButton="0" quotePrefix="0" xfId="0">
      <alignment horizontal="center"/>
    </xf>
    <xf numFmtId="1" fontId="85" fillId="9" borderId="52" applyAlignment="1" pivotButton="0" quotePrefix="0" xfId="0">
      <alignment horizontal="center"/>
    </xf>
    <xf numFmtId="0" fontId="44" fillId="9" borderId="52" applyAlignment="1" pivotButton="0" quotePrefix="0" xfId="0">
      <alignment horizontal="center"/>
    </xf>
    <xf numFmtId="3" fontId="85" fillId="9" borderId="52" applyAlignment="1" pivotButton="0" quotePrefix="0" xfId="0">
      <alignment horizontal="center"/>
    </xf>
    <xf numFmtId="0" fontId="54" fillId="9" borderId="52" applyAlignment="1" pivotButton="0" quotePrefix="0" xfId="0">
      <alignment horizontal="center"/>
    </xf>
    <xf numFmtId="0" fontId="54" fillId="9" borderId="15" applyAlignment="1" pivotButton="0" quotePrefix="0" xfId="0">
      <alignment horizontal="center"/>
    </xf>
    <xf numFmtId="49" fontId="64" fillId="9" borderId="59" applyAlignment="1" pivotButton="0" quotePrefix="0" xfId="0">
      <alignment horizontal="center"/>
    </xf>
    <xf numFmtId="3" fontId="77" fillId="9" borderId="52" applyAlignment="1" pivotButton="0" quotePrefix="0" xfId="0">
      <alignment horizontal="center"/>
    </xf>
    <xf numFmtId="3" fontId="65" fillId="9" borderId="14" applyAlignment="1" pivotButton="0" quotePrefix="0" xfId="0">
      <alignment horizontal="center"/>
    </xf>
    <xf numFmtId="166" fontId="77" fillId="9" borderId="52" applyAlignment="1" pivotButton="0" quotePrefix="0" xfId="0">
      <alignment horizontal="center"/>
    </xf>
    <xf numFmtId="165" fontId="65" fillId="9" borderId="14" applyAlignment="1" pivotButton="0" quotePrefix="0" xfId="0">
      <alignment horizontal="center"/>
    </xf>
    <xf numFmtId="1" fontId="77" fillId="9" borderId="52" applyAlignment="1" pivotButton="0" quotePrefix="0" xfId="0">
      <alignment horizontal="center"/>
    </xf>
    <xf numFmtId="1" fontId="65" fillId="9" borderId="52" applyAlignment="1" pivotButton="0" quotePrefix="0" xfId="0">
      <alignment horizontal="center"/>
    </xf>
    <xf numFmtId="0" fontId="79" fillId="9" borderId="67" pivotButton="0" quotePrefix="0" xfId="0"/>
    <xf numFmtId="0" fontId="86" fillId="9" borderId="52" pivotButton="0" quotePrefix="0" xfId="0"/>
    <xf numFmtId="0" fontId="51" fillId="5" borderId="50" applyAlignment="1" pivotButton="0" quotePrefix="0" xfId="0">
      <alignment horizontal="center" vertical="center"/>
    </xf>
    <xf numFmtId="164" fontId="95" fillId="9" borderId="55" applyAlignment="1" pivotButton="0" quotePrefix="0" xfId="0">
      <alignment horizontal="center" vertical="center"/>
    </xf>
    <xf numFmtId="0" fontId="48" fillId="9" borderId="15" applyAlignment="1" pivotButton="0" quotePrefix="0" xfId="0">
      <alignment horizontal="center"/>
    </xf>
    <xf numFmtId="0" fontId="54" fillId="9" borderId="14" applyAlignment="1" pivotButton="0" quotePrefix="0" xfId="0">
      <alignment horizontal="center"/>
    </xf>
    <xf numFmtId="0" fontId="92" fillId="9" borderId="57" applyAlignment="1" pivotButton="0" quotePrefix="0" xfId="0">
      <alignment horizontal="center"/>
    </xf>
    <xf numFmtId="1" fontId="95" fillId="9" borderId="57" applyAlignment="1" pivotButton="0" quotePrefix="0" xfId="0">
      <alignment horizontal="center"/>
    </xf>
    <xf numFmtId="0" fontId="96" fillId="9" borderId="67" pivotButton="0" quotePrefix="0" xfId="0"/>
    <xf numFmtId="0" fontId="86" fillId="9" borderId="68" applyAlignment="1" pivotButton="0" quotePrefix="0" xfId="0">
      <alignment horizontal="center"/>
    </xf>
    <xf numFmtId="0" fontId="86" fillId="9" borderId="69" applyAlignment="1" pivotButton="0" quotePrefix="0" xfId="0">
      <alignment horizontal="center"/>
    </xf>
    <xf numFmtId="0" fontId="97" fillId="0" borderId="68" applyAlignment="1" pivotButton="0" quotePrefix="0" xfId="0">
      <alignment horizontal="center"/>
    </xf>
    <xf numFmtId="0" fontId="96" fillId="0" borderId="69" applyAlignment="1" pivotButton="0" quotePrefix="0" xfId="0">
      <alignment horizontal="center"/>
    </xf>
    <xf numFmtId="0" fontId="96" fillId="0" borderId="68" applyAlignment="1" pivotButton="0" quotePrefix="0" xfId="0">
      <alignment horizontal="center"/>
    </xf>
    <xf numFmtId="0" fontId="79" fillId="0" borderId="68" applyAlignment="1" pivotButton="0" quotePrefix="0" xfId="0">
      <alignment horizontal="center"/>
    </xf>
    <xf numFmtId="0" fontId="79" fillId="0" borderId="69" applyAlignment="1" pivotButton="0" quotePrefix="0" xfId="0">
      <alignment horizontal="center"/>
    </xf>
    <xf numFmtId="0" fontId="79" fillId="0" borderId="71" applyAlignment="1" pivotButton="0" quotePrefix="0" xfId="0">
      <alignment horizontal="center"/>
    </xf>
    <xf numFmtId="0" fontId="79" fillId="0" borderId="72" applyAlignment="1" pivotButton="0" quotePrefix="0" xfId="0">
      <alignment horizontal="center"/>
    </xf>
    <xf numFmtId="1" fontId="67" fillId="7" borderId="7" applyAlignment="1" pivotButton="0" quotePrefix="0" xfId="0">
      <alignment horizontal="center" vertical="center"/>
    </xf>
    <xf numFmtId="0" fontId="67" fillId="7" borderId="8" applyAlignment="1" pivotButton="0" quotePrefix="0" xfId="0">
      <alignment horizontal="center" vertical="center"/>
    </xf>
    <xf numFmtId="0" fontId="67" fillId="7" borderId="11" applyAlignment="1" pivotButton="0" quotePrefix="0" xfId="0">
      <alignment horizontal="center" vertical="center"/>
    </xf>
    <xf numFmtId="1" fontId="67" fillId="7" borderId="11" applyAlignment="1" pivotButton="0" quotePrefix="0" xfId="0">
      <alignment horizontal="center" vertical="center"/>
    </xf>
    <xf numFmtId="0" fontId="67" fillId="7" borderId="7" applyAlignment="1" pivotButton="0" quotePrefix="0" xfId="0">
      <alignment horizontal="center" vertical="center"/>
    </xf>
    <xf numFmtId="0" fontId="64" fillId="7" borderId="7" applyAlignment="1" pivotButton="0" quotePrefix="0" xfId="0">
      <alignment horizontal="center" vertical="center"/>
    </xf>
    <xf numFmtId="0" fontId="64" fillId="7" borderId="8" applyAlignment="1" pivotButton="0" quotePrefix="0" xfId="0">
      <alignment horizontal="center" vertical="center"/>
    </xf>
    <xf numFmtId="0" fontId="64" fillId="7" borderId="11" applyAlignment="1" pivotButton="0" quotePrefix="0" xfId="0">
      <alignment horizontal="center" vertical="center"/>
    </xf>
    <xf numFmtId="0" fontId="65" fillId="0" borderId="32" applyAlignment="1" pivotButton="0" quotePrefix="0" xfId="0">
      <alignment horizontal="center" wrapText="1"/>
    </xf>
    <xf numFmtId="0" fontId="65" fillId="0" borderId="45" applyAlignment="1" pivotButton="0" quotePrefix="0" xfId="0">
      <alignment horizontal="center" wrapText="1"/>
    </xf>
    <xf numFmtId="1" fontId="67" fillId="0" borderId="16" applyAlignment="1" pivotButton="0" quotePrefix="0" xfId="0">
      <alignment horizontal="center" vertical="center"/>
    </xf>
    <xf numFmtId="1" fontId="67" fillId="0" borderId="19" applyAlignment="1" pivotButton="0" quotePrefix="0" xfId="0">
      <alignment horizontal="center" vertical="center"/>
    </xf>
    <xf numFmtId="0" fontId="66" fillId="0" borderId="26" applyAlignment="1" pivotButton="0" quotePrefix="0" xfId="0">
      <alignment horizontal="center"/>
    </xf>
    <xf numFmtId="0" fontId="66" fillId="0" borderId="18" applyAlignment="1" pivotButton="0" quotePrefix="0" xfId="0">
      <alignment horizontal="center"/>
    </xf>
    <xf numFmtId="3" fontId="67" fillId="0" borderId="14" applyAlignment="1" pivotButton="0" quotePrefix="0" xfId="0">
      <alignment horizontal="center" vertical="center"/>
    </xf>
    <xf numFmtId="0" fontId="66" fillId="0" borderId="64" applyAlignment="1" pivotButton="0" quotePrefix="0" xfId="0">
      <alignment horizontal="center"/>
    </xf>
    <xf numFmtId="0" fontId="66" fillId="0" borderId="42" applyAlignment="1" pivotButton="0" quotePrefix="0" xfId="0">
      <alignment horizontal="center"/>
    </xf>
    <xf numFmtId="1" fontId="67" fillId="0" borderId="41" applyAlignment="1" pivotButton="0" quotePrefix="0" xfId="0">
      <alignment horizontal="center" vertical="center"/>
    </xf>
    <xf numFmtId="1" fontId="67" fillId="0" borderId="37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/>
    </xf>
    <xf numFmtId="0" fontId="73" fillId="5" borderId="35" applyAlignment="1" pivotButton="0" quotePrefix="0" xfId="0">
      <alignment horizontal="center" vertical="center" wrapText="1"/>
    </xf>
    <xf numFmtId="0" fontId="73" fillId="5" borderId="38" applyAlignment="1" pivotButton="0" quotePrefix="0" xfId="0">
      <alignment horizontal="center" vertical="center" wrapText="1"/>
    </xf>
    <xf numFmtId="14" fontId="18" fillId="6" borderId="0" applyAlignment="1" pivotButton="0" quotePrefix="0" xfId="0">
      <alignment horizontal="center" vertical="center"/>
    </xf>
    <xf numFmtId="167" fontId="18" fillId="6" borderId="0" applyAlignment="1" pivotButton="0" quotePrefix="0" xfId="0">
      <alignment horizontal="center" vertical="center"/>
    </xf>
    <xf numFmtId="0" fontId="25" fillId="6" borderId="3" applyAlignment="1" pivotButton="0" quotePrefix="0" xfId="0">
      <alignment horizontal="center" vertical="center" wrapText="1"/>
    </xf>
    <xf numFmtId="0" fontId="25" fillId="6" borderId="0" applyAlignment="1" pivotButton="0" quotePrefix="0" xfId="0">
      <alignment horizontal="center" vertical="center" wrapText="1"/>
    </xf>
    <xf numFmtId="0" fontId="64" fillId="0" borderId="16" applyAlignment="1" pivotButton="0" quotePrefix="0" xfId="0">
      <alignment horizontal="center" wrapText="1"/>
    </xf>
    <xf numFmtId="0" fontId="64" fillId="0" borderId="18" applyAlignment="1" pivotButton="0" quotePrefix="0" xfId="0">
      <alignment horizontal="center" wrapText="1"/>
    </xf>
    <xf numFmtId="0" fontId="84" fillId="9" borderId="16" applyAlignment="1" pivotButton="0" quotePrefix="0" xfId="0">
      <alignment horizontal="center" wrapText="1"/>
    </xf>
    <xf numFmtId="0" fontId="84" fillId="9" borderId="18" applyAlignment="1" pivotButton="0" quotePrefix="0" xfId="0">
      <alignment horizontal="center" wrapText="1"/>
    </xf>
    <xf numFmtId="0" fontId="64" fillId="0" borderId="41" applyAlignment="1" pivotButton="0" quotePrefix="0" xfId="0">
      <alignment horizontal="center" wrapText="1"/>
    </xf>
    <xf numFmtId="0" fontId="64" fillId="0" borderId="42" applyAlignment="1" pivotButton="0" quotePrefix="0" xfId="0">
      <alignment horizontal="center" wrapText="1"/>
    </xf>
    <xf numFmtId="0" fontId="65" fillId="0" borderId="16" applyAlignment="1" pivotButton="0" quotePrefix="0" xfId="0">
      <alignment horizontal="center" wrapText="1"/>
    </xf>
    <xf numFmtId="0" fontId="65" fillId="0" borderId="18" applyAlignment="1" pivotButton="0" quotePrefix="0" xfId="0">
      <alignment horizontal="center" wrapText="1"/>
    </xf>
    <xf numFmtId="0" fontId="39" fillId="5" borderId="0" applyAlignment="1" pivotButton="0" quotePrefix="0" xfId="1">
      <alignment horizontal="center" vertical="center" readingOrder="1"/>
    </xf>
    <xf numFmtId="14" fontId="31" fillId="5" borderId="0" applyAlignment="1" pivotButton="0" quotePrefix="0" xfId="0">
      <alignment horizontal="center"/>
    </xf>
    <xf numFmtId="0" fontId="38" fillId="5" borderId="43" applyAlignment="1" pivotButton="0" quotePrefix="0" xfId="0">
      <alignment horizontal="center" vertical="center" wrapText="1"/>
    </xf>
    <xf numFmtId="0" fontId="38" fillId="5" borderId="44" applyAlignment="1" pivotButton="0" quotePrefix="0" xfId="0">
      <alignment horizontal="center" vertical="center" wrapText="1"/>
    </xf>
    <xf numFmtId="0" fontId="38" fillId="5" borderId="8" applyAlignment="1" pivotButton="0" quotePrefix="0" xfId="0">
      <alignment horizontal="center" vertical="center" wrapText="1"/>
    </xf>
    <xf numFmtId="0" fontId="38" fillId="5" borderId="11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/>
    </xf>
    <xf numFmtId="0" fontId="7" fillId="0" borderId="3" applyAlignment="1" pivotButton="0" quotePrefix="0" xfId="0">
      <alignment horizontal="center"/>
    </xf>
    <xf numFmtId="0" fontId="7" fillId="0" borderId="10" applyAlignment="1" pivotButton="0" quotePrefix="0" xfId="0">
      <alignment horizontal="center"/>
    </xf>
    <xf numFmtId="0" fontId="30" fillId="5" borderId="13" applyAlignment="1" pivotButton="0" quotePrefix="0" xfId="0">
      <alignment horizontal="center" vertical="center"/>
    </xf>
    <xf numFmtId="0" fontId="29" fillId="5" borderId="13" applyAlignment="1" pivotButton="0" quotePrefix="0" xfId="0">
      <alignment horizontal="center" vertical="center"/>
    </xf>
    <xf numFmtId="0" fontId="35" fillId="5" borderId="4" applyAlignment="1" applyProtection="1" pivotButton="0" quotePrefix="0" xfId="0">
      <alignment horizontal="center" wrapText="1"/>
      <protection locked="1" hidden="1"/>
    </xf>
    <xf numFmtId="0" fontId="35" fillId="5" borderId="9" applyAlignment="1" applyProtection="1" pivotButton="0" quotePrefix="0" xfId="0">
      <alignment horizontal="center" wrapText="1"/>
      <protection locked="1" hidden="1"/>
    </xf>
    <xf numFmtId="0" fontId="86" fillId="0" borderId="69" applyAlignment="1" pivotButton="0" quotePrefix="0" xfId="0">
      <alignment horizontal="center"/>
    </xf>
    <xf numFmtId="0" fontId="86" fillId="0" borderId="68" applyAlignment="1" pivotButton="0" quotePrefix="0" xfId="0">
      <alignment horizontal="center"/>
    </xf>
    <xf numFmtId="0" fontId="78" fillId="0" borderId="77" applyAlignment="1" pivotButton="0" quotePrefix="0" xfId="0">
      <alignment horizontal="center"/>
    </xf>
    <xf numFmtId="0" fontId="78" fillId="0" borderId="78" applyAlignment="1" pivotButton="0" quotePrefix="0" xfId="0">
      <alignment horizontal="center"/>
    </xf>
    <xf numFmtId="0" fontId="78" fillId="0" borderId="58" applyAlignment="1" pivotButton="0" quotePrefix="0" xfId="0">
      <alignment horizontal="center"/>
    </xf>
    <xf numFmtId="0" fontId="94" fillId="0" borderId="77" applyAlignment="1" pivotButton="0" quotePrefix="0" xfId="0">
      <alignment horizontal="center"/>
    </xf>
    <xf numFmtId="0" fontId="94" fillId="0" borderId="78" applyAlignment="1" pivotButton="0" quotePrefix="0" xfId="0">
      <alignment horizontal="center"/>
    </xf>
    <xf numFmtId="0" fontId="94" fillId="0" borderId="58" applyAlignment="1" pivotButton="0" quotePrefix="0" xfId="0">
      <alignment horizontal="center"/>
    </xf>
    <xf numFmtId="0" fontId="16" fillId="0" borderId="0" applyAlignment="1" pivotButton="0" quotePrefix="0" xfId="0">
      <alignment horizontal="center"/>
    </xf>
    <xf numFmtId="0" fontId="65" fillId="7" borderId="16" applyAlignment="1" pivotButton="0" quotePrefix="0" xfId="0">
      <alignment horizontal="center" wrapText="1"/>
    </xf>
    <xf numFmtId="0" fontId="65" fillId="7" borderId="18" applyAlignment="1" pivotButton="0" quotePrefix="0" xfId="0">
      <alignment horizontal="center" wrapText="1"/>
    </xf>
    <xf numFmtId="0" fontId="79" fillId="7" borderId="68" applyAlignment="1" pivotButton="0" quotePrefix="0" xfId="0">
      <alignment horizontal="center"/>
    </xf>
    <xf numFmtId="0" fontId="79" fillId="7" borderId="69" applyAlignment="1" pivotButton="0" quotePrefix="0" xfId="0">
      <alignment horizontal="center"/>
    </xf>
    <xf numFmtId="0" fontId="79" fillId="5" borderId="68" applyAlignment="1" pivotButton="0" quotePrefix="0" xfId="0">
      <alignment horizontal="center"/>
    </xf>
    <xf numFmtId="0" fontId="79" fillId="5" borderId="69" applyAlignment="1" pivotButton="0" quotePrefix="0" xfId="0">
      <alignment horizontal="center"/>
    </xf>
    <xf numFmtId="0" fontId="41" fillId="0" borderId="34" applyAlignment="1" pivotButton="0" quotePrefix="0" xfId="0">
      <alignment horizontal="center" vertical="center"/>
    </xf>
    <xf numFmtId="0" fontId="41" fillId="0" borderId="31" applyAlignment="1" pivotButton="0" quotePrefix="0" xfId="0">
      <alignment horizontal="center" vertical="center"/>
    </xf>
    <xf numFmtId="0" fontId="67" fillId="0" borderId="13" applyAlignment="1" pivotButton="0" quotePrefix="0" xfId="0">
      <alignment horizontal="center" vertical="center"/>
    </xf>
    <xf numFmtId="1" fontId="67" fillId="0" borderId="13" applyAlignment="1" pivotButton="0" quotePrefix="0" xfId="0">
      <alignment horizontal="center" vertical="center"/>
    </xf>
    <xf numFmtId="0" fontId="38" fillId="5" borderId="34" applyAlignment="1" pivotButton="0" quotePrefix="0" xfId="0">
      <alignment horizontal="center" vertical="center" wrapText="1"/>
    </xf>
    <xf numFmtId="0" fontId="38" fillId="5" borderId="31" applyAlignment="1" pivotButton="0" quotePrefix="0" xfId="0">
      <alignment horizontal="center" vertical="center" wrapText="1"/>
    </xf>
    <xf numFmtId="0" fontId="33" fillId="5" borderId="13" applyAlignment="1" pivotButton="0" quotePrefix="0" xfId="0">
      <alignment horizontal="center" vertical="center" wrapText="1"/>
    </xf>
    <xf numFmtId="0" fontId="94" fillId="9" borderId="77" applyAlignment="1" pivotButton="0" quotePrefix="0" xfId="0">
      <alignment horizontal="center"/>
    </xf>
    <xf numFmtId="0" fontId="94" fillId="9" borderId="78" applyAlignment="1" pivotButton="0" quotePrefix="0" xfId="0">
      <alignment horizontal="center"/>
    </xf>
    <xf numFmtId="0" fontId="94" fillId="9" borderId="58" applyAlignment="1" pivotButton="0" quotePrefix="0" xfId="0">
      <alignment horizontal="center"/>
    </xf>
    <xf numFmtId="0" fontId="43" fillId="5" borderId="7" applyAlignment="1" pivotButton="0" quotePrefix="0" xfId="0">
      <alignment horizontal="center" vertical="center" wrapText="1"/>
    </xf>
    <xf numFmtId="0" fontId="43" fillId="5" borderId="11" applyAlignment="1" pivotButton="0" quotePrefix="0" xfId="0">
      <alignment horizontal="center" vertical="center" wrapText="1"/>
    </xf>
    <xf numFmtId="0" fontId="66" fillId="0" borderId="27" applyAlignment="1" pivotButton="0" quotePrefix="0" xfId="0">
      <alignment horizontal="center"/>
    </xf>
    <xf numFmtId="0" fontId="66" fillId="0" borderId="45" applyAlignment="1" pivotButton="0" quotePrefix="0" xfId="0">
      <alignment horizontal="center"/>
    </xf>
    <xf numFmtId="3" fontId="67" fillId="0" borderId="23" applyAlignment="1" pivotButton="0" quotePrefix="0" xfId="0">
      <alignment horizontal="center" vertical="center"/>
    </xf>
    <xf numFmtId="0" fontId="73" fillId="5" borderId="39" applyAlignment="1" pivotButton="0" quotePrefix="0" xfId="0">
      <alignment horizontal="center" vertical="center" wrapText="1"/>
    </xf>
    <xf numFmtId="0" fontId="65" fillId="0" borderId="16" applyAlignment="1" pivotButton="0" quotePrefix="0" xfId="0">
      <alignment horizontal="center" wrapText="1"/>
    </xf>
    <xf numFmtId="0" fontId="65" fillId="0" borderId="18" applyAlignment="1" pivotButton="0" quotePrefix="0" xfId="0">
      <alignment horizontal="center" wrapText="1"/>
    </xf>
    <xf numFmtId="0" fontId="64" fillId="5" borderId="16" applyAlignment="1" pivotButton="0" quotePrefix="0" xfId="0">
      <alignment horizontal="center" wrapText="1"/>
    </xf>
    <xf numFmtId="0" fontId="64" fillId="5" borderId="18" applyAlignment="1" pivotButton="0" quotePrefix="0" xfId="0">
      <alignment horizontal="center" wrapText="1"/>
    </xf>
    <xf numFmtId="0" fontId="84" fillId="0" borderId="41" applyAlignment="1" pivotButton="0" quotePrefix="0" xfId="0">
      <alignment horizontal="center" wrapText="1"/>
    </xf>
    <xf numFmtId="0" fontId="84" fillId="0" borderId="42" applyAlignment="1" pivotButton="0" quotePrefix="0" xfId="0">
      <alignment horizontal="center" wrapText="1"/>
    </xf>
    <xf numFmtId="0" fontId="65" fillId="0" borderId="16" applyAlignment="1" pivotButton="0" quotePrefix="0" xfId="0">
      <alignment horizontal="center" wrapText="1"/>
    </xf>
    <xf numFmtId="0" fontId="65" fillId="0" borderId="18" applyAlignment="1" pivotButton="0" quotePrefix="0" xfId="0">
      <alignment horizontal="center" wrapText="1"/>
    </xf>
    <xf numFmtId="1" fontId="67" fillId="0" borderId="32" applyAlignment="1" pivotButton="0" quotePrefix="0" xfId="0">
      <alignment horizontal="center" vertical="center"/>
    </xf>
    <xf numFmtId="1" fontId="67" fillId="0" borderId="28" applyAlignment="1" pivotButton="0" quotePrefix="0" xfId="0">
      <alignment horizontal="center" vertical="center"/>
    </xf>
    <xf numFmtId="0" fontId="96" fillId="9" borderId="68" applyAlignment="1" pivotButton="0" quotePrefix="0" xfId="0">
      <alignment horizontal="center"/>
    </xf>
    <xf numFmtId="0" fontId="96" fillId="9" borderId="69" applyAlignment="1" pivotButton="0" quotePrefix="0" xfId="0">
      <alignment horizontal="center"/>
    </xf>
    <xf numFmtId="0" fontId="86" fillId="9" borderId="65" applyAlignment="1" pivotButton="0" quotePrefix="0" xfId="0">
      <alignment horizontal="center"/>
    </xf>
    <xf numFmtId="0" fontId="86" fillId="9" borderId="66" applyAlignment="1" pivotButton="0" quotePrefix="0" xfId="0">
      <alignment horizontal="center"/>
    </xf>
    <xf numFmtId="0" fontId="96" fillId="0" borderId="52" applyAlignment="1" pivotButton="0" quotePrefix="0" xfId="0">
      <alignment horizontal="center"/>
    </xf>
    <xf numFmtId="0" fontId="96" fillId="0" borderId="85" applyAlignment="1" pivotButton="0" quotePrefix="0" xfId="0">
      <alignment horizontal="center"/>
    </xf>
    <xf numFmtId="0" fontId="96" fillId="0" borderId="84" applyAlignment="1" pivotButton="0" quotePrefix="0" xfId="0">
      <alignment horizontal="center"/>
    </xf>
    <xf numFmtId="0" fontId="96" fillId="0" borderId="58" applyAlignment="1" pivotButton="0" quotePrefix="0" xfId="0">
      <alignment horizontal="center"/>
    </xf>
    <xf numFmtId="0" fontId="96" fillId="0" borderId="77" applyAlignment="1" pivotButton="0" quotePrefix="0" xfId="0">
      <alignment horizontal="center"/>
    </xf>
    <xf numFmtId="0" fontId="86" fillId="9" borderId="77" applyAlignment="1" pivotButton="0" quotePrefix="0" xfId="0">
      <alignment horizontal="center"/>
    </xf>
    <xf numFmtId="0" fontId="86" fillId="9" borderId="58" applyAlignment="1" pivotButton="0" quotePrefix="0" xfId="0">
      <alignment horizontal="center"/>
    </xf>
    <xf numFmtId="0" fontId="84" fillId="9" borderId="41" applyAlignment="1" pivotButton="0" quotePrefix="0" xfId="0">
      <alignment horizontal="center" wrapText="1"/>
    </xf>
    <xf numFmtId="0" fontId="84" fillId="9" borderId="42" applyAlignment="1" pivotButton="0" quotePrefix="0" xfId="0">
      <alignment horizontal="center" wrapText="1"/>
    </xf>
    <xf numFmtId="0" fontId="64" fillId="9" borderId="41" applyAlignment="1" pivotButton="0" quotePrefix="0" xfId="0">
      <alignment horizontal="center" wrapText="1"/>
    </xf>
    <xf numFmtId="0" fontId="64" fillId="9" borderId="42" applyAlignment="1" pivotButton="0" quotePrefix="0" xfId="0">
      <alignment horizontal="center" wrapText="1"/>
    </xf>
    <xf numFmtId="0" fontId="79" fillId="9" borderId="68" applyAlignment="1" pivotButton="0" quotePrefix="0" xfId="0">
      <alignment horizontal="center"/>
    </xf>
    <xf numFmtId="0" fontId="79" fillId="9" borderId="69" applyAlignment="1" pivotButton="0" quotePrefix="0" xfId="0">
      <alignment horizontal="center"/>
    </xf>
    <xf numFmtId="0" fontId="64" fillId="5" borderId="41" applyAlignment="1" pivotButton="0" quotePrefix="0" xfId="0">
      <alignment horizontal="center" wrapText="1"/>
    </xf>
    <xf numFmtId="0" fontId="64" fillId="5" borderId="42" applyAlignment="1" pivotButton="0" quotePrefix="0" xfId="0">
      <alignment horizontal="center" wrapText="1"/>
    </xf>
    <xf numFmtId="0" fontId="84" fillId="9" borderId="16" applyAlignment="1" pivotButton="0" quotePrefix="0" xfId="0">
      <alignment horizontal="center" wrapText="1"/>
    </xf>
    <xf numFmtId="0" fontId="84" fillId="9" borderId="18" applyAlignment="1" pivotButton="0" quotePrefix="0" xfId="0">
      <alignment horizontal="center" wrapText="1"/>
    </xf>
    <xf numFmtId="0" fontId="65" fillId="0" borderId="83" applyAlignment="1" pivotButton="0" quotePrefix="0" xfId="0">
      <alignment horizontal="center" wrapText="1"/>
    </xf>
    <xf numFmtId="0" fontId="67" fillId="0" borderId="14" applyAlignment="1" pivotButton="0" quotePrefix="0" xfId="0">
      <alignment horizontal="center" vertical="center"/>
    </xf>
    <xf numFmtId="1" fontId="67" fillId="0" borderId="14" applyAlignment="1" pivotButton="0" quotePrefix="0" xfId="0">
      <alignment horizontal="center" vertical="center"/>
    </xf>
    <xf numFmtId="0" fontId="67" fillId="0" borderId="15" applyAlignment="1" pivotButton="0" quotePrefix="0" xfId="0">
      <alignment horizontal="center" vertical="center"/>
    </xf>
    <xf numFmtId="1" fontId="67" fillId="0" borderId="15" applyAlignment="1" pivotButton="0" quotePrefix="0" xfId="0">
      <alignment horizontal="center" vertical="center"/>
    </xf>
    <xf numFmtId="0" fontId="67" fillId="0" borderId="23" applyAlignment="1" pivotButton="0" quotePrefix="0" xfId="0">
      <alignment horizontal="center" vertical="center"/>
    </xf>
    <xf numFmtId="1" fontId="67" fillId="0" borderId="23" applyAlignment="1" pivotButton="0" quotePrefix="0" xfId="0">
      <alignment horizontal="center" vertical="center"/>
    </xf>
    <xf numFmtId="0" fontId="81" fillId="0" borderId="16" applyAlignment="1" pivotButton="0" quotePrefix="0" xfId="0">
      <alignment horizontal="left"/>
    </xf>
    <xf numFmtId="0" fontId="81" fillId="0" borderId="17" applyAlignment="1" pivotButton="0" quotePrefix="0" xfId="0">
      <alignment horizontal="left"/>
    </xf>
    <xf numFmtId="0" fontId="81" fillId="0" borderId="19" applyAlignment="1" pivotButton="0" quotePrefix="0" xfId="0">
      <alignment horizontal="left"/>
    </xf>
    <xf numFmtId="0" fontId="84" fillId="0" borderId="16" applyAlignment="1" pivotButton="0" quotePrefix="0" xfId="0">
      <alignment horizontal="center" wrapText="1"/>
    </xf>
    <xf numFmtId="0" fontId="84" fillId="0" borderId="18" applyAlignment="1" pivotButton="0" quotePrefix="0" xfId="0">
      <alignment horizontal="center" wrapText="1"/>
    </xf>
    <xf numFmtId="0" fontId="65" fillId="0" borderId="32" applyAlignment="1" pivotButton="0" quotePrefix="0" xfId="0">
      <alignment horizontal="center" wrapText="1"/>
    </xf>
    <xf numFmtId="0" fontId="65" fillId="0" borderId="45" applyAlignment="1" pivotButton="0" quotePrefix="0" xfId="0">
      <alignment horizontal="center"/>
    </xf>
    <xf numFmtId="1" fontId="64" fillId="0" borderId="41" applyAlignment="1" pivotButton="0" quotePrefix="0" xfId="0">
      <alignment horizontal="center" vertical="center"/>
    </xf>
    <xf numFmtId="1" fontId="64" fillId="0" borderId="37" applyAlignment="1" pivotButton="0" quotePrefix="0" xfId="0">
      <alignment horizontal="center" vertical="center"/>
    </xf>
    <xf numFmtId="0" fontId="64" fillId="0" borderId="14" applyAlignment="1" pivotButton="0" quotePrefix="0" xfId="0">
      <alignment horizontal="center" vertical="center"/>
    </xf>
    <xf numFmtId="1" fontId="64" fillId="0" borderId="16" applyAlignment="1" pivotButton="0" quotePrefix="0" xfId="0">
      <alignment horizontal="center" vertical="center"/>
    </xf>
    <xf numFmtId="1" fontId="64" fillId="0" borderId="17" applyAlignment="1" pivotButton="0" quotePrefix="0" xfId="0">
      <alignment horizontal="center" vertical="center"/>
    </xf>
    <xf numFmtId="1" fontId="64" fillId="0" borderId="18" applyAlignment="1" pivotButton="0" quotePrefix="0" xfId="0">
      <alignment horizontal="center" vertical="center"/>
    </xf>
    <xf numFmtId="1" fontId="64" fillId="0" borderId="61" applyAlignment="1" pivotButton="0" quotePrefix="0" xfId="0">
      <alignment horizontal="center" vertical="center"/>
    </xf>
    <xf numFmtId="1" fontId="64" fillId="0" borderId="60" applyAlignment="1" pivotButton="0" quotePrefix="0" xfId="0">
      <alignment horizontal="center" vertical="center"/>
    </xf>
    <xf numFmtId="1" fontId="64" fillId="0" borderId="82" applyAlignment="1" pivotButton="0" quotePrefix="0" xfId="0">
      <alignment horizontal="center" vertical="center"/>
    </xf>
    <xf numFmtId="0" fontId="87" fillId="0" borderId="16" applyAlignment="1" pivotButton="0" quotePrefix="0" xfId="0">
      <alignment horizontal="left"/>
    </xf>
    <xf numFmtId="0" fontId="87" fillId="0" borderId="17" applyAlignment="1" pivotButton="0" quotePrefix="0" xfId="0">
      <alignment horizontal="left"/>
    </xf>
    <xf numFmtId="0" fontId="87" fillId="0" borderId="19" applyAlignment="1" pivotButton="0" quotePrefix="0" xfId="0">
      <alignment horizontal="left"/>
    </xf>
    <xf numFmtId="0" fontId="98" fillId="0" borderId="16" applyAlignment="1" pivotButton="0" quotePrefix="0" xfId="0">
      <alignment horizontal="left"/>
    </xf>
    <xf numFmtId="0" fontId="98" fillId="0" borderId="17" applyAlignment="1" pivotButton="0" quotePrefix="0" xfId="0">
      <alignment horizontal="left"/>
    </xf>
    <xf numFmtId="0" fontId="98" fillId="0" borderId="19" applyAlignment="1" pivotButton="0" quotePrefix="0" xfId="0">
      <alignment horizontal="left"/>
    </xf>
    <xf numFmtId="0" fontId="100" fillId="0" borderId="16" applyAlignment="1" pivotButton="0" quotePrefix="0" xfId="0">
      <alignment horizontal="left"/>
    </xf>
    <xf numFmtId="0" fontId="81" fillId="0" borderId="32" applyAlignment="1" pivotButton="0" quotePrefix="0" xfId="0">
      <alignment horizontal="left"/>
    </xf>
    <xf numFmtId="0" fontId="81" fillId="0" borderId="29" applyAlignment="1" pivotButton="0" quotePrefix="0" xfId="0">
      <alignment horizontal="left"/>
    </xf>
    <xf numFmtId="0" fontId="81" fillId="0" borderId="28" applyAlignment="1" pivotButton="0" quotePrefix="0" xfId="0">
      <alignment horizontal="left"/>
    </xf>
    <xf numFmtId="0" fontId="69" fillId="5" borderId="35" applyAlignment="1" pivotButton="0" quotePrefix="0" xfId="0">
      <alignment horizontal="center" vertical="center" wrapText="1"/>
    </xf>
    <xf numFmtId="0" fontId="69" fillId="5" borderId="38" applyAlignment="1" pivotButton="0" quotePrefix="0" xfId="0">
      <alignment horizontal="center" vertical="center" wrapText="1"/>
    </xf>
    <xf numFmtId="0" fontId="69" fillId="5" borderId="39" applyAlignment="1" pivotButton="0" quotePrefix="0" xfId="0">
      <alignment horizontal="center" vertical="center" wrapText="1"/>
    </xf>
    <xf numFmtId="0" fontId="65" fillId="0" borderId="18" applyAlignment="1" pivotButton="0" quotePrefix="0" xfId="0">
      <alignment horizontal="center"/>
    </xf>
    <xf numFmtId="1" fontId="64" fillId="0" borderId="32" applyAlignment="1" pivotButton="0" quotePrefix="0" xfId="0">
      <alignment horizontal="center" vertical="center"/>
    </xf>
    <xf numFmtId="1" fontId="64" fillId="0" borderId="29" applyAlignment="1" pivotButton="0" quotePrefix="0" xfId="0">
      <alignment horizontal="center" vertical="center"/>
    </xf>
    <xf numFmtId="1" fontId="64" fillId="0" borderId="45" applyAlignment="1" pivotButton="0" quotePrefix="0" xfId="0">
      <alignment horizontal="center" vertical="center"/>
    </xf>
    <xf numFmtId="0" fontId="102" fillId="0" borderId="14" applyAlignment="1" pivotButton="0" quotePrefix="0" xfId="0">
      <alignment horizontal="left"/>
    </xf>
    <xf numFmtId="0" fontId="99" fillId="0" borderId="14" applyAlignment="1" pivotButton="0" quotePrefix="0" xfId="0">
      <alignment horizontal="left"/>
    </xf>
    <xf numFmtId="0" fontId="99" fillId="0" borderId="21" applyAlignment="1" pivotButton="0" quotePrefix="0" xfId="0">
      <alignment horizontal="left"/>
    </xf>
    <xf numFmtId="0" fontId="65" fillId="0" borderId="14" applyAlignment="1" pivotButton="0" quotePrefix="0" xfId="0">
      <alignment horizontal="center" wrapText="1"/>
    </xf>
    <xf numFmtId="0" fontId="65" fillId="0" borderId="14" applyAlignment="1" pivotButton="0" quotePrefix="0" xfId="0">
      <alignment horizontal="center"/>
    </xf>
    <xf numFmtId="0" fontId="84" fillId="9" borderId="14" applyAlignment="1" pivotButton="0" quotePrefix="0" xfId="0">
      <alignment horizontal="center" wrapText="1"/>
    </xf>
    <xf numFmtId="0" fontId="84" fillId="9" borderId="14" applyAlignment="1" pivotButton="0" quotePrefix="0" xfId="0">
      <alignment horizontal="center"/>
    </xf>
    <xf numFmtId="0" fontId="87" fillId="0" borderId="14" applyAlignment="1" pivotButton="0" quotePrefix="0" xfId="0">
      <alignment horizontal="left"/>
    </xf>
    <xf numFmtId="0" fontId="87" fillId="0" borderId="21" applyAlignment="1" pivotButton="0" quotePrefix="0" xfId="0">
      <alignment horizontal="left"/>
    </xf>
    <xf numFmtId="0" fontId="81" fillId="0" borderId="14" applyAlignment="1" pivotButton="0" quotePrefix="0" xfId="0">
      <alignment horizontal="left"/>
    </xf>
    <xf numFmtId="0" fontId="81" fillId="0" borderId="21" applyAlignment="1" pivotButton="0" quotePrefix="0" xfId="0">
      <alignment horizontal="left"/>
    </xf>
    <xf numFmtId="0" fontId="87" fillId="9" borderId="14" applyAlignment="1" pivotButton="0" quotePrefix="0" xfId="0">
      <alignment horizontal="left"/>
    </xf>
    <xf numFmtId="0" fontId="87" fillId="9" borderId="21" applyAlignment="1" pivotButton="0" quotePrefix="0" xfId="0">
      <alignment horizontal="left"/>
    </xf>
    <xf numFmtId="0" fontId="103" fillId="0" borderId="14" applyAlignment="1" pivotButton="0" quotePrefix="0" xfId="0">
      <alignment horizontal="left"/>
    </xf>
    <xf numFmtId="0" fontId="104" fillId="0" borderId="14" applyAlignment="1" pivotButton="0" quotePrefix="0" xfId="0">
      <alignment horizontal="left"/>
    </xf>
    <xf numFmtId="0" fontId="104" fillId="0" borderId="21" applyAlignment="1" pivotButton="0" quotePrefix="0" xfId="0">
      <alignment horizontal="left"/>
    </xf>
    <xf numFmtId="0" fontId="81" fillId="0" borderId="16" applyAlignment="1" pivotButton="0" quotePrefix="0" xfId="0">
      <alignment horizontal="center"/>
    </xf>
    <xf numFmtId="0" fontId="81" fillId="0" borderId="17" applyAlignment="1" pivotButton="0" quotePrefix="0" xfId="0">
      <alignment horizontal="center"/>
    </xf>
    <xf numFmtId="0" fontId="81" fillId="0" borderId="19" applyAlignment="1" pivotButton="0" quotePrefix="0" xfId="0">
      <alignment horizontal="center"/>
    </xf>
    <xf numFmtId="0" fontId="65" fillId="0" borderId="14" applyAlignment="1" pivotButton="0" quotePrefix="0" xfId="0">
      <alignment horizontal="center" wrapText="1"/>
    </xf>
    <xf numFmtId="0" fontId="65" fillId="0" borderId="14" applyAlignment="1" pivotButton="0" quotePrefix="0" xfId="0">
      <alignment horizontal="center"/>
    </xf>
    <xf numFmtId="0" fontId="65" fillId="0" borderId="23" applyAlignment="1" pivotButton="0" quotePrefix="0" xfId="0">
      <alignment horizontal="center" wrapText="1"/>
    </xf>
    <xf numFmtId="0" fontId="65" fillId="0" borderId="23" applyAlignment="1" pivotButton="0" quotePrefix="0" xfId="0">
      <alignment horizontal="center"/>
    </xf>
    <xf numFmtId="0" fontId="81" fillId="0" borderId="23" applyAlignment="1" pivotButton="0" quotePrefix="0" xfId="0">
      <alignment horizontal="left"/>
    </xf>
    <xf numFmtId="0" fontId="81" fillId="0" borderId="24" applyAlignment="1" pivotButton="0" quotePrefix="0" xfId="0">
      <alignment horizontal="left"/>
    </xf>
    <xf numFmtId="1" fontId="64" fillId="0" borderId="19" applyAlignment="1" pivotButton="0" quotePrefix="0" xfId="0">
      <alignment horizontal="center" vertical="center"/>
    </xf>
    <xf numFmtId="1" fontId="64" fillId="0" borderId="14" applyAlignment="1" pivotButton="0" quotePrefix="0" xfId="0">
      <alignment horizontal="center" vertical="center"/>
    </xf>
    <xf numFmtId="0" fontId="64" fillId="0" borderId="15" applyAlignment="1" pivotButton="0" quotePrefix="0" xfId="0">
      <alignment horizontal="center" vertical="center"/>
    </xf>
    <xf numFmtId="1" fontId="64" fillId="0" borderId="15" applyAlignment="1" pivotButton="0" quotePrefix="0" xfId="0">
      <alignment horizontal="center" vertical="center"/>
    </xf>
    <xf numFmtId="0" fontId="64" fillId="0" borderId="23" applyAlignment="1" pivotButton="0" quotePrefix="0" xfId="0">
      <alignment horizontal="center" vertical="center"/>
    </xf>
    <xf numFmtId="1" fontId="64" fillId="0" borderId="23" applyAlignment="1" pivotButton="0" quotePrefix="0" xfId="0">
      <alignment horizontal="center" vertical="center"/>
    </xf>
    <xf numFmtId="1" fontId="64" fillId="0" borderId="28" applyAlignment="1" pivotButton="0" quotePrefix="0" xfId="0">
      <alignment horizontal="center" vertical="center"/>
    </xf>
    <xf numFmtId="0" fontId="64" fillId="0" borderId="16" applyAlignment="1" pivotButton="0" quotePrefix="0" xfId="0">
      <alignment horizontal="center" wrapText="1"/>
    </xf>
    <xf numFmtId="0" fontId="64" fillId="0" borderId="18" applyAlignment="1" pivotButton="0" quotePrefix="0" xfId="0">
      <alignment horizontal="center"/>
    </xf>
    <xf numFmtId="0" fontId="98" fillId="0" borderId="16" applyAlignment="1" pivotButton="0" quotePrefix="0" xfId="0">
      <alignment horizontal="left"/>
    </xf>
    <xf numFmtId="0" fontId="98" fillId="0" borderId="17" applyAlignment="1" pivotButton="0" quotePrefix="0" xfId="0">
      <alignment horizontal="left"/>
    </xf>
    <xf numFmtId="0" fontId="98" fillId="0" borderId="19" applyAlignment="1" pivotButton="0" quotePrefix="0" xfId="0">
      <alignment horizontal="left"/>
    </xf>
    <xf numFmtId="0" fontId="84" fillId="9" borderId="18" applyAlignment="1" pivotButton="0" quotePrefix="0" xfId="0">
      <alignment horizontal="center"/>
    </xf>
    <xf numFmtId="0" fontId="65" fillId="0" borderId="18" applyAlignment="1" pivotButton="0" quotePrefix="0" xfId="0">
      <alignment horizontal="center"/>
    </xf>
    <xf numFmtId="0" fontId="81" fillId="0" borderId="16" applyAlignment="1" pivotButton="0" quotePrefix="0" xfId="0">
      <alignment horizontal="left"/>
    </xf>
    <xf numFmtId="0" fontId="81" fillId="0" borderId="17" applyAlignment="1" pivotButton="0" quotePrefix="0" xfId="0">
      <alignment horizontal="left"/>
    </xf>
    <xf numFmtId="0" fontId="81" fillId="0" borderId="19" applyAlignment="1" pivotButton="0" quotePrefix="0" xfId="0">
      <alignment horizontal="left"/>
    </xf>
    <xf numFmtId="0" fontId="65" fillId="5" borderId="16" applyAlignment="1" pivotButton="0" quotePrefix="0" xfId="0">
      <alignment horizontal="center" wrapText="1"/>
    </xf>
    <xf numFmtId="0" fontId="65" fillId="5" borderId="18" applyAlignment="1" pivotButton="0" quotePrefix="0" xfId="0">
      <alignment horizontal="center"/>
    </xf>
    <xf numFmtId="0" fontId="81" fillId="5" borderId="16" applyAlignment="1" pivotButton="0" quotePrefix="0" xfId="0">
      <alignment horizontal="left"/>
    </xf>
    <xf numFmtId="0" fontId="81" fillId="5" borderId="17" applyAlignment="1" pivotButton="0" quotePrefix="0" xfId="0">
      <alignment horizontal="left"/>
    </xf>
    <xf numFmtId="0" fontId="81" fillId="5" borderId="19" applyAlignment="1" pivotButton="0" quotePrefix="0" xfId="0">
      <alignment horizontal="left"/>
    </xf>
    <xf numFmtId="0" fontId="87" fillId="9" borderId="16" applyAlignment="1" pivotButton="0" quotePrefix="0" xfId="0">
      <alignment horizontal="left"/>
    </xf>
    <xf numFmtId="0" fontId="87" fillId="9" borderId="17" applyAlignment="1" pivotButton="0" quotePrefix="0" xfId="0">
      <alignment horizontal="left"/>
    </xf>
    <xf numFmtId="0" fontId="87" fillId="9" borderId="19" applyAlignment="1" pivotButton="0" quotePrefix="0" xfId="0">
      <alignment horizontal="left"/>
    </xf>
    <xf numFmtId="0" fontId="65" fillId="0" borderId="45" applyAlignment="1" pivotButton="0" quotePrefix="0" xfId="0">
      <alignment horizontal="center"/>
    </xf>
    <xf numFmtId="0" fontId="81" fillId="0" borderId="32" applyAlignment="1" pivotButton="0" quotePrefix="0" xfId="0">
      <alignment horizontal="left"/>
    </xf>
    <xf numFmtId="0" fontId="81" fillId="0" borderId="29" applyAlignment="1" pivotButton="0" quotePrefix="0" xfId="0">
      <alignment horizontal="left"/>
    </xf>
    <xf numFmtId="0" fontId="81" fillId="0" borderId="28" applyAlignment="1" pivotButton="0" quotePrefix="0" xfId="0">
      <alignment horizontal="left"/>
    </xf>
    <xf numFmtId="0" fontId="69" fillId="0" borderId="38" applyAlignment="1" pivotButton="0" quotePrefix="0" xfId="0">
      <alignment horizontal="center" vertical="center" wrapText="1"/>
    </xf>
    <xf numFmtId="0" fontId="69" fillId="0" borderId="39" applyAlignment="1" pivotButton="0" quotePrefix="0" xfId="0">
      <alignment horizontal="center" vertical="center" wrapText="1"/>
    </xf>
    <xf numFmtId="0" fontId="93" fillId="0" borderId="64" applyAlignment="1" pivotButton="0" quotePrefix="0" xfId="0">
      <alignment horizontal="center"/>
    </xf>
    <xf numFmtId="0" fontId="93" fillId="0" borderId="42" applyAlignment="1" pivotButton="0" quotePrefix="0" xfId="0">
      <alignment horizontal="center"/>
    </xf>
    <xf numFmtId="0" fontId="41" fillId="0" borderId="7" applyAlignment="1" pivotButton="0" quotePrefix="0" xfId="0">
      <alignment horizontal="center" vertical="center"/>
    </xf>
    <xf numFmtId="0" fontId="41" fillId="0" borderId="8" applyAlignment="1" pivotButton="0" quotePrefix="0" xfId="0">
      <alignment horizontal="center" vertical="center"/>
    </xf>
    <xf numFmtId="0" fontId="38" fillId="5" borderId="7" applyAlignment="1" pivotButton="0" quotePrefix="0" xfId="0">
      <alignment horizontal="center" vertical="center" wrapText="1"/>
    </xf>
    <xf numFmtId="0" fontId="65" fillId="0" borderId="41" applyAlignment="1" pivotButton="0" quotePrefix="0" xfId="0">
      <alignment horizontal="center" wrapText="1"/>
    </xf>
    <xf numFmtId="0" fontId="65" fillId="0" borderId="42" applyAlignment="1" pivotButton="0" quotePrefix="0" xfId="0">
      <alignment horizontal="center"/>
    </xf>
    <xf numFmtId="0" fontId="84" fillId="9" borderId="42" applyAlignment="1" pivotButton="0" quotePrefix="0" xfId="0">
      <alignment horizontal="center"/>
    </xf>
    <xf numFmtId="0" fontId="65" fillId="0" borderId="41" applyAlignment="1" pivotButton="0" quotePrefix="0" xfId="0">
      <alignment horizontal="center" wrapText="1"/>
    </xf>
    <xf numFmtId="0" fontId="65" fillId="0" borderId="42" applyAlignment="1" pivotButton="0" quotePrefix="0" xfId="0">
      <alignment horizontal="center"/>
    </xf>
    <xf numFmtId="0" fontId="67" fillId="0" borderId="7" applyAlignment="1" pivotButton="0" quotePrefix="0" xfId="0">
      <alignment horizontal="center" vertical="center"/>
    </xf>
    <xf numFmtId="0" fontId="67" fillId="0" borderId="8" applyAlignment="1" pivotButton="0" quotePrefix="0" xfId="0">
      <alignment horizontal="center" vertical="center"/>
    </xf>
    <xf numFmtId="0" fontId="64" fillId="0" borderId="81" applyAlignment="1" pivotButton="0" quotePrefix="0" xfId="0">
      <alignment horizontal="center" vertical="center"/>
    </xf>
    <xf numFmtId="0" fontId="33" fillId="5" borderId="7" applyAlignment="1" pivotButton="0" quotePrefix="0" xfId="0">
      <alignment horizontal="center" vertical="center" wrapText="1"/>
    </xf>
    <xf numFmtId="0" fontId="33" fillId="5" borderId="8" applyAlignment="1" pivotButton="0" quotePrefix="0" xfId="0">
      <alignment horizontal="center" vertical="center" wrapText="1"/>
    </xf>
    <xf numFmtId="0" fontId="33" fillId="0" borderId="13" applyAlignment="1" pivotButton="0" quotePrefix="0" xfId="0">
      <alignment horizontal="center" vertical="center" wrapText="1"/>
    </xf>
    <xf numFmtId="0" fontId="48" fillId="5" borderId="50" applyAlignment="1" pivotButton="0" quotePrefix="0" xfId="0">
      <alignment horizontal="left" vertical="center"/>
    </xf>
    <xf numFmtId="0" fontId="28" fillId="5" borderId="0" applyAlignment="1" pivotButton="0" quotePrefix="0" xfId="1">
      <alignment horizontal="center" vertical="center" readingOrder="1"/>
    </xf>
    <xf numFmtId="0" fontId="30" fillId="5" borderId="7" applyAlignment="1" pivotButton="0" quotePrefix="0" xfId="0">
      <alignment horizontal="center" vertical="center"/>
    </xf>
    <xf numFmtId="0" fontId="30" fillId="5" borderId="8" applyAlignment="1" pivotButton="0" quotePrefix="0" xfId="0">
      <alignment horizontal="center" vertical="center"/>
    </xf>
    <xf numFmtId="0" fontId="30" fillId="5" borderId="11" applyAlignment="1" pivotButton="0" quotePrefix="0" xfId="0">
      <alignment horizontal="center" vertical="center"/>
    </xf>
    <xf numFmtId="0" fontId="34" fillId="5" borderId="4" applyAlignment="1" applyProtection="1" pivotButton="0" quotePrefix="0" xfId="0">
      <alignment horizontal="center" wrapText="1"/>
      <protection locked="1" hidden="1"/>
    </xf>
    <xf numFmtId="0" fontId="34" fillId="5" borderId="9" applyAlignment="1" applyProtection="1" pivotButton="0" quotePrefix="0" xfId="0">
      <alignment horizontal="center" wrapText="1"/>
      <protection locked="1" hidden="1"/>
    </xf>
    <xf numFmtId="0" fontId="29" fillId="5" borderId="7" applyAlignment="1" pivotButton="0" quotePrefix="0" xfId="0">
      <alignment horizontal="center" vertical="center"/>
    </xf>
    <xf numFmtId="0" fontId="29" fillId="5" borderId="8" applyAlignment="1" pivotButton="0" quotePrefix="0" xfId="0">
      <alignment horizontal="center" vertical="center"/>
    </xf>
    <xf numFmtId="0" fontId="29" fillId="5" borderId="11" applyAlignment="1" pivotButton="0" quotePrefix="0" xfId="0">
      <alignment horizontal="center" vertical="center"/>
    </xf>
    <xf numFmtId="0" fontId="15" fillId="7" borderId="13" applyAlignment="1" pivotButton="0" quotePrefix="0" xfId="0">
      <alignment horizontal="center" vertical="center" wrapText="1"/>
    </xf>
    <xf numFmtId="0" fontId="11" fillId="7" borderId="13" applyAlignment="1" pivotButton="0" quotePrefix="0" xfId="0">
      <alignment horizontal="center" vertical="center" wrapText="1"/>
    </xf>
    <xf numFmtId="0" fontId="32" fillId="7" borderId="13" applyAlignment="1" pivotButton="0" quotePrefix="0" xfId="0">
      <alignment horizontal="center" vertical="center" wrapText="1"/>
    </xf>
    <xf numFmtId="0" fontId="32" fillId="5" borderId="13" applyAlignment="1" pivotButton="0" quotePrefix="0" xfId="0">
      <alignment horizontal="center" vertical="center" wrapText="1"/>
    </xf>
    <xf numFmtId="0" fontId="48" fillId="5" borderId="76" applyAlignment="1" pivotButton="0" quotePrefix="0" xfId="0">
      <alignment horizontal="left" vertical="center"/>
    </xf>
    <xf numFmtId="0" fontId="48" fillId="5" borderId="58" applyAlignment="1" pivotButton="0" quotePrefix="0" xfId="0">
      <alignment horizontal="left" vertical="center"/>
    </xf>
    <xf numFmtId="0" fontId="51" fillId="5" borderId="51" applyAlignment="1" pivotButton="0" quotePrefix="0" xfId="0">
      <alignment horizontal="left" vertical="center"/>
    </xf>
    <xf numFmtId="0" fontId="48" fillId="5" borderId="51" applyAlignment="1" pivotButton="0" quotePrefix="0" xfId="0">
      <alignment horizontal="left" vertical="center"/>
    </xf>
    <xf numFmtId="167" fontId="18" fillId="6" borderId="0" applyAlignment="1" pivotButton="0" quotePrefix="0" xfId="0">
      <alignment horizontal="center" vertical="center"/>
    </xf>
    <xf numFmtId="0" fontId="7" fillId="0" borderId="97" applyAlignment="1" pivotButton="0" quotePrefix="0" xfId="0">
      <alignment horizontal="center"/>
    </xf>
    <xf numFmtId="0" fontId="0" fillId="0" borderId="6" pivotButton="0" quotePrefix="0" xfId="0"/>
    <xf numFmtId="0" fontId="0" fillId="0" borderId="8" pivotButton="0" quotePrefix="0" xfId="0"/>
    <xf numFmtId="0" fontId="0" fillId="0" borderId="11" pivotButton="0" quotePrefix="0" xfId="0"/>
    <xf numFmtId="0" fontId="0" fillId="0" borderId="3" pivotButton="0" quotePrefix="0" xfId="0"/>
    <xf numFmtId="0" fontId="0" fillId="0" borderId="10" pivotButton="0" quotePrefix="0" xfId="0"/>
    <xf numFmtId="0" fontId="35" fillId="5" borderId="98" applyAlignment="1" applyProtection="1" pivotButton="0" quotePrefix="0" xfId="0">
      <alignment horizontal="center" wrapText="1"/>
      <protection locked="1" hidden="1"/>
    </xf>
    <xf numFmtId="0" fontId="0" fillId="0" borderId="9" applyProtection="1" pivotButton="0" quotePrefix="0" xfId="0">
      <protection locked="1" hidden="1"/>
    </xf>
    <xf numFmtId="0" fontId="38" fillId="5" borderId="95" applyAlignment="1" pivotButton="0" quotePrefix="0" xfId="0">
      <alignment horizontal="center" vertical="center" wrapText="1"/>
    </xf>
    <xf numFmtId="0" fontId="0" fillId="0" borderId="44" pivotButton="0" quotePrefix="0" xfId="0"/>
    <xf numFmtId="0" fontId="0" fillId="0" borderId="18" pivotButton="0" quotePrefix="0" xfId="0"/>
    <xf numFmtId="166" fontId="85" fillId="9" borderId="14" applyAlignment="1" pivotButton="0" quotePrefix="0" xfId="0">
      <alignment horizontal="center"/>
    </xf>
    <xf numFmtId="165" fontId="84" fillId="9" borderId="14" applyAlignment="1" pivotButton="0" quotePrefix="0" xfId="0">
      <alignment horizontal="center"/>
    </xf>
    <xf numFmtId="0" fontId="94" fillId="9" borderId="85" applyAlignment="1" pivotButton="0" quotePrefix="0" xfId="0">
      <alignment horizontal="center"/>
    </xf>
    <xf numFmtId="0" fontId="0" fillId="0" borderId="78" pivotButton="0" quotePrefix="0" xfId="0"/>
    <xf numFmtId="0" fontId="0" fillId="0" borderId="58" pivotButton="0" quotePrefix="0" xfId="0"/>
    <xf numFmtId="0" fontId="64" fillId="0" borderId="14" applyAlignment="1" pivotButton="0" quotePrefix="0" xfId="0">
      <alignment horizontal="center" wrapText="1"/>
    </xf>
    <xf numFmtId="165" fontId="65" fillId="0" borderId="14" applyAlignment="1" pivotButton="0" quotePrefix="0" xfId="0">
      <alignment horizontal="center"/>
    </xf>
    <xf numFmtId="0" fontId="0" fillId="0" borderId="94" pivotButton="0" quotePrefix="0" xfId="0"/>
    <xf numFmtId="166" fontId="77" fillId="0" borderId="14" applyAlignment="1" pivotButton="0" quotePrefix="0" xfId="0">
      <alignment horizontal="center"/>
    </xf>
    <xf numFmtId="166" fontId="95" fillId="0" borderId="52" applyAlignment="1" pivotButton="0" quotePrefix="0" xfId="0">
      <alignment horizontal="center"/>
    </xf>
    <xf numFmtId="166" fontId="95" fillId="0" borderId="14" applyAlignment="1" pivotButton="0" quotePrefix="0" xfId="0">
      <alignment horizontal="center"/>
    </xf>
    <xf numFmtId="165" fontId="64" fillId="0" borderId="14" applyAlignment="1" pivotButton="0" quotePrefix="0" xfId="0">
      <alignment horizontal="center"/>
    </xf>
    <xf numFmtId="0" fontId="78" fillId="0" borderId="85" applyAlignment="1" pivotButton="0" quotePrefix="0" xfId="0">
      <alignment horizontal="center"/>
    </xf>
    <xf numFmtId="0" fontId="64" fillId="0" borderId="15" applyAlignment="1" pivotButton="0" quotePrefix="0" xfId="0">
      <alignment horizontal="center" wrapText="1"/>
    </xf>
    <xf numFmtId="0" fontId="0" fillId="0" borderId="42" pivotButton="0" quotePrefix="0" xfId="0"/>
    <xf numFmtId="0" fontId="94" fillId="0" borderId="85" applyAlignment="1" pivotButton="0" quotePrefix="0" xfId="0">
      <alignment horizontal="center"/>
    </xf>
    <xf numFmtId="0" fontId="65" fillId="7" borderId="14" applyAlignment="1" pivotButton="0" quotePrefix="0" xfId="0">
      <alignment horizontal="center" wrapText="1"/>
    </xf>
    <xf numFmtId="165" fontId="64" fillId="7" borderId="14" applyAlignment="1" pivotButton="0" quotePrefix="0" xfId="0">
      <alignment horizontal="center"/>
    </xf>
    <xf numFmtId="166" fontId="85" fillId="9" borderId="52" applyAlignment="1" pivotButton="0" quotePrefix="0" xfId="0">
      <alignment horizontal="center"/>
    </xf>
    <xf numFmtId="0" fontId="64" fillId="5" borderId="14" applyAlignment="1" pivotButton="0" quotePrefix="0" xfId="0">
      <alignment horizontal="center" wrapText="1"/>
    </xf>
    <xf numFmtId="166" fontId="95" fillId="5" borderId="14" applyAlignment="1" pivotButton="0" quotePrefix="0" xfId="0">
      <alignment horizontal="center"/>
    </xf>
    <xf numFmtId="165" fontId="64" fillId="5" borderId="14" applyAlignment="1" pivotButton="0" quotePrefix="0" xfId="0">
      <alignment horizontal="center"/>
    </xf>
    <xf numFmtId="0" fontId="84" fillId="0" borderId="15" applyAlignment="1" pivotButton="0" quotePrefix="0" xfId="0">
      <alignment horizontal="center" wrapText="1"/>
    </xf>
    <xf numFmtId="0" fontId="0" fillId="0" borderId="45" pivotButton="0" quotePrefix="0" xfId="0"/>
    <xf numFmtId="165" fontId="64" fillId="0" borderId="23" applyAlignment="1" pivotButton="0" quotePrefix="0" xfId="0">
      <alignment horizontal="center"/>
    </xf>
    <xf numFmtId="0" fontId="0" fillId="0" borderId="99" pivotButton="0" quotePrefix="0" xfId="0"/>
    <xf numFmtId="0" fontId="0" fillId="0" borderId="92" pivotButton="0" quotePrefix="0" xfId="0"/>
    <xf numFmtId="0" fontId="66" fillId="0" borderId="100" applyAlignment="1" pivotButton="0" quotePrefix="0" xfId="0">
      <alignment horizontal="center"/>
    </xf>
    <xf numFmtId="0" fontId="0" fillId="0" borderId="17" pivotButton="0" quotePrefix="0" xfId="0"/>
    <xf numFmtId="165" fontId="67" fillId="0" borderId="16" applyAlignment="1" pivotButton="0" quotePrefix="0" xfId="0">
      <alignment horizontal="center" vertical="center"/>
    </xf>
    <xf numFmtId="1" fontId="67" fillId="0" borderId="30" applyAlignment="1" pivotButton="0" quotePrefix="0" xfId="0">
      <alignment horizontal="center" vertical="center"/>
    </xf>
    <xf numFmtId="0" fontId="0" fillId="0" borderId="37" pivotButton="0" quotePrefix="0" xfId="0"/>
    <xf numFmtId="166" fontId="11" fillId="7" borderId="30" applyAlignment="1" pivotButton="0" quotePrefix="0" xfId="0">
      <alignment horizontal="center" vertical="center"/>
    </xf>
    <xf numFmtId="0" fontId="66" fillId="0" borderId="20" applyAlignment="1" pivotButton="0" quotePrefix="0" xfId="0">
      <alignment horizontal="center"/>
    </xf>
    <xf numFmtId="1" fontId="67" fillId="0" borderId="21" applyAlignment="1" pivotButton="0" quotePrefix="0" xfId="0">
      <alignment horizontal="center" vertical="center"/>
    </xf>
    <xf numFmtId="0" fontId="0" fillId="0" borderId="19" pivotButton="0" quotePrefix="0" xfId="0"/>
    <xf numFmtId="166" fontId="11" fillId="3" borderId="21" applyAlignment="1" pivotButton="0" quotePrefix="0" xfId="0">
      <alignment horizontal="center" vertical="center"/>
    </xf>
    <xf numFmtId="166" fontId="11" fillId="4" borderId="24" applyAlignment="1" pivotButton="0" quotePrefix="0" xfId="0">
      <alignment horizontal="center" vertical="center"/>
    </xf>
    <xf numFmtId="0" fontId="43" fillId="5" borderId="13" applyAlignment="1" pivotButton="0" quotePrefix="0" xfId="0">
      <alignment horizontal="center" vertical="center" wrapText="1"/>
    </xf>
    <xf numFmtId="166" fontId="54" fillId="7" borderId="13" applyAlignment="1" pivotButton="0" quotePrefix="0" xfId="0">
      <alignment horizontal="center" vertical="center"/>
    </xf>
    <xf numFmtId="0" fontId="66" fillId="0" borderId="22" applyAlignment="1" pivotButton="0" quotePrefix="0" xfId="0">
      <alignment horizontal="center"/>
    </xf>
    <xf numFmtId="0" fontId="0" fillId="0" borderId="29" pivotButton="0" quotePrefix="0" xfId="0"/>
    <xf numFmtId="165" fontId="67" fillId="0" borderId="32" applyAlignment="1" pivotButton="0" quotePrefix="0" xfId="0">
      <alignment horizontal="center" vertical="center"/>
    </xf>
    <xf numFmtId="1" fontId="67" fillId="0" borderId="24" applyAlignment="1" pivotButton="0" quotePrefix="0" xfId="0">
      <alignment horizontal="center" vertical="center"/>
    </xf>
    <xf numFmtId="0" fontId="0" fillId="0" borderId="28" pivotButton="0" quotePrefix="0" xfId="0"/>
    <xf numFmtId="0" fontId="64" fillId="7" borderId="13" applyAlignment="1" pivotButton="0" quotePrefix="0" xfId="0">
      <alignment horizontal="center" vertical="center"/>
    </xf>
    <xf numFmtId="0" fontId="67" fillId="7" borderId="13" applyAlignment="1" pivotButton="0" quotePrefix="0" xfId="0">
      <alignment horizontal="center" vertical="center"/>
    </xf>
    <xf numFmtId="1" fontId="67" fillId="7" borderId="13" applyAlignment="1" pivotButton="0" quotePrefix="0" xfId="0">
      <alignment horizontal="center" vertical="center"/>
    </xf>
    <xf numFmtId="165" fontId="67" fillId="7" borderId="13" applyAlignment="1" pivotButton="0" quotePrefix="0" xfId="0">
      <alignment horizontal="center" vertical="center"/>
    </xf>
    <xf numFmtId="0" fontId="0" fillId="0" borderId="34" pivotButton="0" quotePrefix="0" xfId="0"/>
    <xf numFmtId="165" fontId="67" fillId="0" borderId="13" applyAlignment="1" pivotButton="0" quotePrefix="0" xfId="0">
      <alignment horizontal="center" vertical="center"/>
    </xf>
    <xf numFmtId="0" fontId="84" fillId="9" borderId="15" applyAlignment="1" pivotButton="0" quotePrefix="0" xfId="0">
      <alignment horizontal="center" wrapText="1"/>
    </xf>
    <xf numFmtId="166" fontId="95" fillId="9" borderId="52" applyAlignment="1" pivotButton="0" quotePrefix="0" xfId="0">
      <alignment horizontal="center"/>
    </xf>
    <xf numFmtId="0" fontId="0" fillId="0" borderId="105" pivotButton="0" quotePrefix="0" xfId="0"/>
    <xf numFmtId="166" fontId="77" fillId="0" borderId="52" applyAlignment="1" pivotButton="0" quotePrefix="0" xfId="0">
      <alignment horizontal="center"/>
    </xf>
    <xf numFmtId="0" fontId="0" fillId="0" borderId="103" pivotButton="0" quotePrefix="0" xfId="0"/>
    <xf numFmtId="0" fontId="64" fillId="9" borderId="15" applyAlignment="1" pivotButton="0" quotePrefix="0" xfId="0">
      <alignment horizontal="center" wrapText="1"/>
    </xf>
    <xf numFmtId="0" fontId="86" fillId="9" borderId="85" applyAlignment="1" pivotButton="0" quotePrefix="0" xfId="0">
      <alignment horizontal="center"/>
    </xf>
    <xf numFmtId="166" fontId="77" fillId="9" borderId="52" applyAlignment="1" pivotButton="0" quotePrefix="0" xfId="0">
      <alignment horizontal="center"/>
    </xf>
    <xf numFmtId="165" fontId="65" fillId="9" borderId="14" applyAlignment="1" pivotButton="0" quotePrefix="0" xfId="0">
      <alignment horizontal="center"/>
    </xf>
    <xf numFmtId="0" fontId="64" fillId="5" borderId="15" applyAlignment="1" pivotButton="0" quotePrefix="0" xfId="0">
      <alignment horizontal="center" wrapText="1"/>
    </xf>
    <xf numFmtId="166" fontId="95" fillId="7" borderId="52" applyAlignment="1" pivotButton="0" quotePrefix="0" xfId="0">
      <alignment horizontal="center"/>
    </xf>
    <xf numFmtId="0" fontId="65" fillId="0" borderId="101" applyAlignment="1" pivotButton="0" quotePrefix="0" xfId="0">
      <alignment horizontal="center" wrapText="1"/>
    </xf>
    <xf numFmtId="166" fontId="95" fillId="0" borderId="62" applyAlignment="1" pivotButton="0" quotePrefix="0" xfId="0">
      <alignment horizontal="center"/>
    </xf>
    <xf numFmtId="165" fontId="64" fillId="0" borderId="80" applyAlignment="1" pivotButton="0" quotePrefix="0" xfId="0">
      <alignment horizontal="center"/>
    </xf>
    <xf numFmtId="0" fontId="0" fillId="0" borderId="75" pivotButton="0" quotePrefix="0" xfId="0"/>
    <xf numFmtId="165" fontId="67" fillId="0" borderId="41" applyAlignment="1" pivotButton="0" quotePrefix="0" xfId="0">
      <alignment horizontal="center" vertical="center"/>
    </xf>
    <xf numFmtId="165" fontId="10" fillId="0" borderId="13" applyAlignment="1" pivotButton="0" quotePrefix="0" xfId="0">
      <alignment horizontal="center" vertical="center"/>
    </xf>
    <xf numFmtId="0" fontId="84" fillId="0" borderId="14" applyAlignment="1" pivotButton="0" quotePrefix="0" xfId="0">
      <alignment horizontal="center" wrapText="1"/>
    </xf>
    <xf numFmtId="0" fontId="98" fillId="0" borderId="21" applyAlignment="1" pivotButton="0" quotePrefix="0" xfId="0">
      <alignment horizontal="left"/>
    </xf>
    <xf numFmtId="0" fontId="100" fillId="0" borderId="21" applyAlignment="1" pivotButton="0" quotePrefix="0" xfId="0">
      <alignment horizontal="left"/>
    </xf>
    <xf numFmtId="166" fontId="95" fillId="0" borderId="23" applyAlignment="1" pivotButton="0" quotePrefix="0" xfId="0">
      <alignment horizontal="center"/>
    </xf>
    <xf numFmtId="1" fontId="64" fillId="0" borderId="81" applyAlignment="1" pivotButton="0" quotePrefix="0" xfId="0">
      <alignment horizontal="center" vertical="center"/>
    </xf>
    <xf numFmtId="0" fontId="0" fillId="0" borderId="60" pivotButton="0" quotePrefix="0" xfId="0"/>
    <xf numFmtId="0" fontId="0" fillId="0" borderId="82" pivotButton="0" quotePrefix="0" xfId="0"/>
    <xf numFmtId="165" fontId="64" fillId="0" borderId="41" applyAlignment="1" pivotButton="0" quotePrefix="0" xfId="0">
      <alignment horizontal="center" vertical="center"/>
    </xf>
    <xf numFmtId="1" fontId="64" fillId="0" borderId="30" applyAlignment="1" pivotButton="0" quotePrefix="0" xfId="0">
      <alignment horizontal="center" vertical="center"/>
    </xf>
    <xf numFmtId="0" fontId="81" fillId="0" borderId="21" applyAlignment="1" pivotButton="0" quotePrefix="0" xfId="0">
      <alignment horizontal="center"/>
    </xf>
    <xf numFmtId="165" fontId="64" fillId="0" borderId="16" applyAlignment="1" pivotButton="0" quotePrefix="0" xfId="0">
      <alignment horizontal="center" vertical="center"/>
    </xf>
    <xf numFmtId="1" fontId="64" fillId="0" borderId="21" applyAlignment="1" pivotButton="0" quotePrefix="0" xfId="0">
      <alignment horizontal="center" vertical="center"/>
    </xf>
    <xf numFmtId="165" fontId="64" fillId="0" borderId="32" applyAlignment="1" pivotButton="0" quotePrefix="0" xfId="0">
      <alignment horizontal="center" vertical="center"/>
    </xf>
    <xf numFmtId="1" fontId="64" fillId="0" borderId="24" applyAlignment="1" pivotButton="0" quotePrefix="0" xfId="0">
      <alignment horizontal="center" vertical="center"/>
    </xf>
    <xf numFmtId="0" fontId="65" fillId="5" borderId="14" applyAlignment="1" pivotButton="0" quotePrefix="0" xfId="0">
      <alignment horizontal="center" wrapText="1"/>
    </xf>
    <xf numFmtId="166" fontId="77" fillId="5" borderId="14" applyAlignment="1" pivotButton="0" quotePrefix="0" xfId="0">
      <alignment horizontal="center"/>
    </xf>
    <xf numFmtId="165" fontId="65" fillId="5" borderId="14" applyAlignment="1" pivotButton="0" quotePrefix="0" xfId="0">
      <alignment horizontal="center"/>
    </xf>
    <xf numFmtId="0" fontId="81" fillId="5" borderId="21" applyAlignment="1" pivotButton="0" quotePrefix="0" xfId="0">
      <alignment horizontal="left"/>
    </xf>
    <xf numFmtId="165" fontId="77" fillId="0" borderId="14" applyAlignment="1" pivotButton="0" quotePrefix="0" xfId="0">
      <alignment horizontal="center"/>
    </xf>
    <xf numFmtId="166" fontId="77" fillId="0" borderId="23" applyAlignment="1" pivotButton="0" quotePrefix="0" xfId="0">
      <alignment horizontal="center"/>
    </xf>
    <xf numFmtId="165" fontId="65" fillId="0" borderId="23" applyAlignment="1" pivotButton="0" quotePrefix="0" xfId="0">
      <alignment horizontal="center"/>
    </xf>
    <xf numFmtId="165" fontId="77" fillId="0" borderId="23" applyAlignment="1" pivotButton="0" quotePrefix="0" xfId="0">
      <alignment horizontal="center"/>
    </xf>
    <xf numFmtId="0" fontId="93" fillId="0" borderId="100" applyAlignment="1" pivotButton="0" quotePrefix="0" xfId="0">
      <alignment horizontal="center"/>
    </xf>
    <xf numFmtId="0" fontId="65" fillId="0" borderId="15" applyAlignment="1" pivotButton="0" quotePrefix="0" xfId="0">
      <alignment horizontal="center" wrapText="1"/>
    </xf>
    <xf numFmtId="0" fontId="34" fillId="5" borderId="98" applyAlignment="1" applyProtection="1" pivotButton="0" quotePrefix="0" xfId="0">
      <alignment horizontal="center" wrapText="1"/>
      <protection locked="1" hidden="1"/>
    </xf>
    <xf numFmtId="0" fontId="0" fillId="0" borderId="106" pivotButton="0" quotePrefix="0" xfId="0"/>
    <xf numFmtId="0" fontId="0" fillId="0" borderId="98" pivotButton="0" quotePrefix="0" xfId="0"/>
    <xf numFmtId="0" fontId="0" fillId="0" borderId="107" pivotButton="0" quotePrefix="0" xfId="0"/>
  </cellXfs>
  <cellStyles count="11">
    <cellStyle name="Normal" xfId="0" builtinId="0"/>
    <cellStyle name="Normal 2" xfId="1"/>
    <cellStyle name="Normal_ConvHeureMinutes" xfId="2"/>
    <cellStyle name="Normal 3" xfId="3"/>
    <cellStyle name="Normal_RPSC2" xfId="4"/>
    <cellStyle name="Normal_RP3" xfId="5"/>
    <cellStyle name="Normal_RP5" xfId="6"/>
    <cellStyle name="Normal_RPTS" xfId="7"/>
    <cellStyle name="Percent" xfId="8" builtinId="5"/>
    <cellStyle name="Normal 4" xfId="9"/>
    <cellStyle name="Normal 4 2" xfId="10"/>
  </cellStyles>
  <dxfs count="945">
    <dxf>
      <font>
        <color rgb="FF9C0006"/>
      </font>
      <fill>
        <patternFill>
          <bgColor rgb="FFFFC7CE"/>
        </patternFill>
      </fill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auto="1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auto="1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auto="1"/>
      </font>
    </dxf>
    <dxf>
      <font>
        <color auto="1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749961851863155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749961851863155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749961851863155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749961851863155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auto="1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749961851863155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749961851863155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auto="1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749961851863155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theme="9" tint="-0.249946592608417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theme="9" tint="-0.249946592608417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theme="9" tint="-0.249946592608417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auto="1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theme="9" tint="-0.249946592608417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theme="9" tint="-0.249946592608417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theme="9" tint="-0.249946592608417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theme="9" tint="-0.249946592608417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theme="9" tint="-0.249946592608417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theme="9" tint="-0.249946592608417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theme="9" tint="-0.249946592608417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auto="1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externalLink" Target="/xl/externalLinks/externalLink1.xml" Id="rId25"/><Relationship Type="http://schemas.openxmlformats.org/officeDocument/2006/relationships/externalLink" Target="/xl/externalLinks/externalLink2.xml" Id="rId26"/><Relationship Type="http://schemas.openxmlformats.org/officeDocument/2006/relationships/externalLink" Target="/xl/externalLinks/externalLink3.xml" Id="rId27"/><Relationship Type="http://schemas.openxmlformats.org/officeDocument/2006/relationships/externalLink" Target="/xl/externalLinks/externalLink4.xml" Id="rId28"/><Relationship Type="http://schemas.openxmlformats.org/officeDocument/2006/relationships/externalLink" Target="/xl/externalLinks/externalLink5.xml" Id="rId29"/><Relationship Type="http://schemas.openxmlformats.org/officeDocument/2006/relationships/externalLink" Target="/xl/externalLinks/externalLink6.xml" Id="rId30"/><Relationship Type="http://schemas.openxmlformats.org/officeDocument/2006/relationships/externalLink" Target="/xl/externalLinks/externalLink7.xml" Id="rId31"/><Relationship Type="http://schemas.openxmlformats.org/officeDocument/2006/relationships/externalLink" Target="/xl/externalLinks/externalLink8.xml" Id="rId32"/><Relationship Type="http://schemas.openxmlformats.org/officeDocument/2006/relationships/styles" Target="styles.xml" Id="rId33"/><Relationship Type="http://schemas.openxmlformats.org/officeDocument/2006/relationships/theme" Target="theme/theme1.xml" Id="rId34"/></Relationships>
</file>

<file path=xl/externalLinks/_rels/externalLink1.xml.rels><Relationships xmlns="http://schemas.openxmlformats.org/package/2006/relationships"><Relationship Type="http://schemas.openxmlformats.org/officeDocument/2006/relationships/externalLinkPath" Target="/Users/el%20yaakoubi/OneDrive%20-%20OCP/Manutention%20PW/digitalisation%20du%20RJ/RJ%20+%20minute/Rapport%20Journalier%20BFA%2012_-11-2020.xlsm" TargetMode="External" Id="rId1"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/Users/SDC.ParcWafi/Documents/RPJ%20DIGITAL.xlsx" TargetMode="External" Id="rId1"/></Relationships>
</file>

<file path=xl/externalLinks/_rels/externalLink3.xml.rels><Relationships xmlns="http://schemas.openxmlformats.org/package/2006/relationships"><Relationship Type="http://schemas.openxmlformats.org/officeDocument/2006/relationships/externalLinkPath" Target="/Users/SDC.ParcWafi/Documents/RJ.DIGITAL%20FEVRIER/Digital%20report-rapport%20de%20tonnage%20PW%2003-02-2021.xlsx" TargetMode="External" Id="rId1"/></Relationships>
</file>

<file path=xl/externalLinks/_rels/externalLink4.xml.rels><Relationships xmlns="http://schemas.openxmlformats.org/package/2006/relationships"><Relationship Type="http://schemas.openxmlformats.org/officeDocument/2006/relationships/externalLinkPath" Target="/Users/SDC.ParcWafi/Desktop/Avril%202023/Rapport%20%20PW%2021-04-2023.xlsm" TargetMode="External" Id="rId1"/></Relationships>
</file>

<file path=xl/externalLinks/_rels/externalLink5.xml.rels><Relationships xmlns="http://schemas.openxmlformats.org/package/2006/relationships"><Relationship Type="http://schemas.openxmlformats.org/officeDocument/2006/relationships/externalLinkPath" Target="/Users/SDC.ParcWafi/AppData/Roaming/Microsoft/Windows/Network%20Shortcuts/Copie%20de%20Rapport%20%20journalier%20PW%2021-04-2023.xlsm" TargetMode="External" Id="rId1"/></Relationships>
</file>

<file path=xl/externalLinks/_rels/externalLink6.xml.rels><Relationships xmlns="http://schemas.openxmlformats.org/package/2006/relationships"><Relationship Type="http://schemas.openxmlformats.org/officeDocument/2006/relationships/externalLinkPath" Target="/Users/SDC.ParcWafi/Documents/RJ%20Digital%20JUIN%202021/Rapport%20%20jounalier%20PW%2029-06-2021%20.xlsx" TargetMode="External" Id="rId1"/></Relationships>
</file>

<file path=xl/externalLinks/_rels/externalLink7.xml.rels><Relationships xmlns="http://schemas.openxmlformats.org/package/2006/relationships"><Relationship Type="http://schemas.openxmlformats.org/officeDocument/2006/relationships/externalLinkPath" Target="/Users/SDC.ParcWafi/Desktop/Mars/Rapport%20%20journalier%20PW%2030-03-2023.xlsm" TargetMode="External" Id="rId1"/></Relationships>
</file>

<file path=xl/externalLinks/_rels/externalLink8.xml.rels><Relationships xmlns="http://schemas.openxmlformats.org/package/2006/relationships"><Relationship Type="http://schemas.openxmlformats.org/officeDocument/2006/relationships/externalLinkPath" Target="/Users/SDC.ParcWafi/Desktop/Mars/Rapport%20%20journalier%20PW%2029-03-2023.xlsm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Base"/>
      <sheetName val="Menu"/>
      <sheetName val="Index_Fl"/>
      <sheetName val="Arrêt_Fl"/>
      <sheetName val="Index_Dec_Adapt"/>
      <sheetName val="Arrêt_adap"/>
      <sheetName val="Index_Br_Adapt"/>
    </sheetNames>
    <sheetDataSet>
      <sheetData sheetId="0">
        <row r="4">
          <cell r="L4" t="str">
            <v>Nature d'arrêt</v>
          </cell>
        </row>
        <row r="5">
          <cell r="M5" t="str">
            <v>BacsMécanique</v>
          </cell>
        </row>
        <row r="6">
          <cell r="M6" t="str">
            <v>BacsMécanique</v>
          </cell>
        </row>
        <row r="7">
          <cell r="M7" t="str">
            <v>BacsMécanique</v>
          </cell>
        </row>
        <row r="8">
          <cell r="M8" t="str">
            <v>BacsMécanique</v>
          </cell>
        </row>
        <row r="9">
          <cell r="M9" t="str">
            <v>BacsMécanique</v>
          </cell>
        </row>
        <row r="10">
          <cell r="M10" t="str">
            <v>BacsMécanique</v>
          </cell>
        </row>
        <row r="11">
          <cell r="M11" t="str">
            <v>BacsMécanique</v>
          </cell>
        </row>
        <row r="12">
          <cell r="M12" t="str">
            <v>BacsMécanique</v>
          </cell>
        </row>
        <row r="13">
          <cell r="M13" t="str">
            <v>BacsMécanique</v>
          </cell>
        </row>
        <row r="14">
          <cell r="M14" t="str">
            <v>BacsMécanique</v>
          </cell>
        </row>
        <row r="15">
          <cell r="M15" t="str">
            <v>BacsMécanique</v>
          </cell>
        </row>
        <row r="16">
          <cell r="M16" t="str">
            <v>BacsMécanique</v>
          </cell>
        </row>
        <row r="17">
          <cell r="M17" t="str">
            <v>BacsMécanique</v>
          </cell>
        </row>
        <row r="18">
          <cell r="A18" t="str">
            <v>Planifié</v>
          </cell>
          <cell r="M18" t="str">
            <v>BacsMécanique</v>
          </cell>
        </row>
        <row r="19">
          <cell r="A19" t="str">
            <v>Subit</v>
          </cell>
          <cell r="M19" t="str">
            <v>BacsMécanique</v>
          </cell>
        </row>
        <row r="20">
          <cell r="M20" t="str">
            <v>BacsMécanique</v>
          </cell>
        </row>
        <row r="21">
          <cell r="M21" t="str">
            <v>BacsElectrique</v>
          </cell>
        </row>
        <row r="22">
          <cell r="B22" t="str">
            <v>Maintenance</v>
          </cell>
          <cell r="M22" t="str">
            <v>BacsElectrique</v>
          </cell>
          <cell r="T22" t="str">
            <v>Adaptation</v>
          </cell>
        </row>
        <row r="23">
          <cell r="B23" t="str">
            <v>Mécanique</v>
          </cell>
          <cell r="M23" t="str">
            <v>BacsElectrique</v>
          </cell>
          <cell r="T23" t="str">
            <v>Bacs</v>
          </cell>
        </row>
        <row r="24">
          <cell r="B24" t="str">
            <v>Electrique</v>
          </cell>
          <cell r="M24" t="str">
            <v>BacsElectrique</v>
          </cell>
          <cell r="T24" t="str">
            <v>Tanks</v>
          </cell>
        </row>
        <row r="25">
          <cell r="B25" t="str">
            <v>Régulation</v>
          </cell>
          <cell r="M25" t="str">
            <v>BacsElectrique</v>
          </cell>
          <cell r="T25" t="str">
            <v>Décanteurs</v>
          </cell>
        </row>
        <row r="26">
          <cell r="B26" t="str">
            <v>Exploitation</v>
          </cell>
          <cell r="M26" t="str">
            <v>BacsElectrique</v>
          </cell>
          <cell r="T26" t="str">
            <v>Broyeurs</v>
          </cell>
        </row>
        <row r="27">
          <cell r="B27" t="str">
            <v>Pipeline</v>
          </cell>
          <cell r="M27" t="str">
            <v>BacsElectrique</v>
          </cell>
          <cell r="T27" t="str">
            <v>Compresseurs_Ad</v>
          </cell>
        </row>
        <row r="28">
          <cell r="B28" t="str">
            <v>Maroc central</v>
          </cell>
          <cell r="M28" t="str">
            <v>BacsElectrique</v>
          </cell>
        </row>
        <row r="29">
          <cell r="B29" t="str">
            <v>Flux</v>
          </cell>
          <cell r="M29" t="str">
            <v>BacsElectrique</v>
          </cell>
        </row>
        <row r="30">
          <cell r="B30" t="str">
            <v>Externe</v>
          </cell>
          <cell r="M30" t="str">
            <v>BacsElectrique</v>
          </cell>
        </row>
        <row r="31">
          <cell r="M31" t="str">
            <v>BacsRégulation</v>
          </cell>
        </row>
        <row r="32">
          <cell r="M32" t="str">
            <v>BacsRégulation</v>
          </cell>
        </row>
        <row r="33">
          <cell r="M33" t="str">
            <v>BacsRégulation</v>
          </cell>
        </row>
        <row r="34">
          <cell r="M34" t="str">
            <v>BacsRégulation</v>
          </cell>
        </row>
        <row r="35">
          <cell r="M35" t="str">
            <v>BacsRégulation</v>
          </cell>
        </row>
        <row r="36">
          <cell r="M36" t="str">
            <v>BacsRégulation</v>
          </cell>
        </row>
        <row r="37">
          <cell r="M37" t="str">
            <v>BacsRégulation</v>
          </cell>
        </row>
        <row r="38">
          <cell r="M38" t="str">
            <v>BacsExploitation</v>
          </cell>
        </row>
        <row r="39">
          <cell r="M39" t="str">
            <v>BacsExploitation</v>
          </cell>
        </row>
        <row r="40">
          <cell r="M40" t="str">
            <v>BacsExploitation</v>
          </cell>
        </row>
        <row r="41">
          <cell r="M41" t="str">
            <v>BacsRégulation</v>
          </cell>
        </row>
        <row r="42">
          <cell r="M42" t="str">
            <v>BacsExploitation</v>
          </cell>
        </row>
        <row r="43">
          <cell r="M43" t="str">
            <v>TanksMécanique</v>
          </cell>
        </row>
        <row r="44">
          <cell r="M44" t="str">
            <v>TanksMécanique</v>
          </cell>
        </row>
        <row r="45">
          <cell r="M45" t="str">
            <v>TanksMécanique</v>
          </cell>
        </row>
        <row r="46">
          <cell r="M46" t="str">
            <v>TanksMécanique</v>
          </cell>
        </row>
        <row r="47">
          <cell r="M47" t="str">
            <v>TanksMécanique</v>
          </cell>
        </row>
        <row r="48">
          <cell r="M48" t="str">
            <v>TanksMécanique</v>
          </cell>
        </row>
        <row r="49">
          <cell r="M49" t="str">
            <v>TanksMécanique</v>
          </cell>
        </row>
        <row r="50">
          <cell r="M50" t="str">
            <v>TanksMécanique</v>
          </cell>
        </row>
        <row r="51">
          <cell r="M51" t="str">
            <v>TanksMécanique</v>
          </cell>
        </row>
        <row r="52">
          <cell r="M52" t="str">
            <v>TanksMécanique</v>
          </cell>
        </row>
        <row r="53">
          <cell r="M53" t="str">
            <v>TanksMécanique</v>
          </cell>
        </row>
        <row r="54">
          <cell r="M54" t="str">
            <v>TanksMécanique</v>
          </cell>
        </row>
        <row r="55">
          <cell r="M55" t="str">
            <v>TanksMécanique</v>
          </cell>
        </row>
        <row r="56">
          <cell r="M56" t="str">
            <v>TanksMécanique</v>
          </cell>
        </row>
        <row r="57">
          <cell r="M57" t="str">
            <v>TanksMécanique</v>
          </cell>
        </row>
        <row r="58">
          <cell r="M58" t="str">
            <v>TanksMécanique</v>
          </cell>
        </row>
        <row r="59">
          <cell r="M59" t="str">
            <v>TanksMécanique</v>
          </cell>
        </row>
        <row r="60">
          <cell r="M60" t="str">
            <v>TanksMécanique</v>
          </cell>
        </row>
        <row r="61">
          <cell r="M61" t="str">
            <v>TanksMécanique</v>
          </cell>
        </row>
        <row r="62">
          <cell r="M62" t="str">
            <v>TanksMécanique</v>
          </cell>
        </row>
        <row r="63">
          <cell r="M63" t="str">
            <v>TanksMécanique</v>
          </cell>
        </row>
        <row r="64">
          <cell r="M64" t="str">
            <v>TanksElectrique</v>
          </cell>
        </row>
        <row r="65">
          <cell r="M65" t="str">
            <v>TanksElectrique</v>
          </cell>
        </row>
        <row r="66">
          <cell r="M66" t="str">
            <v>TanksElectrique</v>
          </cell>
        </row>
        <row r="67">
          <cell r="M67" t="str">
            <v>TanksElectrique</v>
          </cell>
        </row>
        <row r="68">
          <cell r="M68" t="str">
            <v>TanksElectrique</v>
          </cell>
        </row>
        <row r="69">
          <cell r="M69" t="str">
            <v>TanksElectrique</v>
          </cell>
        </row>
        <row r="70">
          <cell r="M70" t="str">
            <v>TanksElectrique</v>
          </cell>
        </row>
        <row r="71">
          <cell r="M71" t="str">
            <v>TanksElectrique</v>
          </cell>
        </row>
        <row r="72">
          <cell r="M72" t="str">
            <v>TanksElectrique</v>
          </cell>
        </row>
        <row r="73">
          <cell r="M73" t="str">
            <v>TanksElectrique</v>
          </cell>
        </row>
        <row r="74">
          <cell r="M74" t="str">
            <v>TanksRégulation</v>
          </cell>
        </row>
        <row r="75">
          <cell r="M75" t="str">
            <v>TanksRégulation</v>
          </cell>
        </row>
        <row r="76">
          <cell r="M76" t="str">
            <v>TanksRégulation</v>
          </cell>
        </row>
        <row r="77">
          <cell r="M77" t="str">
            <v>TanksRégulation</v>
          </cell>
        </row>
        <row r="78">
          <cell r="M78" t="str">
            <v>TanksRégulation</v>
          </cell>
        </row>
        <row r="79">
          <cell r="M79" t="str">
            <v>TanksRégulation</v>
          </cell>
        </row>
        <row r="80">
          <cell r="M80" t="str">
            <v>TanksRégulation</v>
          </cell>
        </row>
        <row r="81">
          <cell r="M81" t="str">
            <v>TanksExploitation</v>
          </cell>
        </row>
        <row r="82">
          <cell r="M82" t="str">
            <v>TanksExploitation</v>
          </cell>
        </row>
        <row r="83">
          <cell r="M83" t="str">
            <v>TanksExploitation</v>
          </cell>
        </row>
        <row r="84">
          <cell r="M84" t="str">
            <v>TanksRégulation</v>
          </cell>
        </row>
        <row r="85">
          <cell r="M85" t="str">
            <v>TanksExploitation</v>
          </cell>
        </row>
        <row r="86">
          <cell r="M86" t="str">
            <v>TanksExploitation</v>
          </cell>
        </row>
        <row r="87">
          <cell r="M87" t="str">
            <v>TanksExploitation</v>
          </cell>
        </row>
        <row r="88">
          <cell r="M88" t="str">
            <v>DécanteursMécanique</v>
          </cell>
        </row>
        <row r="89">
          <cell r="M89" t="str">
            <v>DécanteursMécanique</v>
          </cell>
        </row>
        <row r="90">
          <cell r="M90" t="str">
            <v>DécanteursMécanique</v>
          </cell>
        </row>
        <row r="91">
          <cell r="M91" t="str">
            <v>DécanteursMécanique</v>
          </cell>
        </row>
        <row r="92">
          <cell r="M92" t="str">
            <v>DécanteursMécanique</v>
          </cell>
        </row>
        <row r="93">
          <cell r="M93" t="str">
            <v>DécanteursMécanique</v>
          </cell>
        </row>
        <row r="94">
          <cell r="M94" t="str">
            <v>DécanteursMécanique</v>
          </cell>
        </row>
        <row r="95">
          <cell r="M95" t="str">
            <v>DécanteursMécanique</v>
          </cell>
        </row>
        <row r="96">
          <cell r="M96" t="str">
            <v>DécanteursMécanique</v>
          </cell>
        </row>
        <row r="97">
          <cell r="M97" t="str">
            <v>DécanteursMécanique</v>
          </cell>
        </row>
        <row r="98">
          <cell r="M98" t="str">
            <v>DécanteursMécanique</v>
          </cell>
        </row>
        <row r="99">
          <cell r="M99" t="str">
            <v>DécanteursMécanique</v>
          </cell>
        </row>
        <row r="100">
          <cell r="M100" t="str">
            <v>DécanteursMécanique</v>
          </cell>
        </row>
        <row r="101">
          <cell r="M101" t="str">
            <v>DécanteursMécanique</v>
          </cell>
        </row>
        <row r="102">
          <cell r="M102" t="str">
            <v>DécanteursMécanique</v>
          </cell>
        </row>
        <row r="103">
          <cell r="M103" t="str">
            <v>DécanteursMécanique</v>
          </cell>
        </row>
        <row r="104">
          <cell r="M104" t="str">
            <v>DécanteursMécanique</v>
          </cell>
        </row>
        <row r="105">
          <cell r="M105" t="str">
            <v>DécanteursMécanique</v>
          </cell>
        </row>
        <row r="106">
          <cell r="M106" t="str">
            <v>DécanteursMécanique</v>
          </cell>
        </row>
        <row r="107">
          <cell r="M107" t="str">
            <v>DécanteursMécanique</v>
          </cell>
        </row>
        <row r="108">
          <cell r="M108" t="str">
            <v>DécanteursMécanique</v>
          </cell>
        </row>
        <row r="109">
          <cell r="M109" t="str">
            <v>DécanteursElectrique</v>
          </cell>
        </row>
        <row r="110">
          <cell r="M110" t="str">
            <v>DécanteursElectrique</v>
          </cell>
        </row>
        <row r="111">
          <cell r="M111" t="str">
            <v>DécanteursElectrique</v>
          </cell>
        </row>
        <row r="112">
          <cell r="M112" t="str">
            <v>DécanteursElectrique</v>
          </cell>
        </row>
        <row r="113">
          <cell r="M113" t="str">
            <v>DécanteursElectrique</v>
          </cell>
        </row>
        <row r="114">
          <cell r="M114" t="str">
            <v>DécanteursElectrique</v>
          </cell>
        </row>
        <row r="115">
          <cell r="M115" t="str">
            <v>DécanteursElectrique</v>
          </cell>
        </row>
        <row r="116">
          <cell r="M116" t="str">
            <v>DécanteursElectrique</v>
          </cell>
        </row>
        <row r="117">
          <cell r="M117" t="str">
            <v>DécanteursElectrique</v>
          </cell>
        </row>
        <row r="118">
          <cell r="M118" t="str">
            <v>DécanteursElectrique</v>
          </cell>
        </row>
        <row r="119">
          <cell r="M119" t="str">
            <v>DécanteursElectrique</v>
          </cell>
        </row>
        <row r="120">
          <cell r="M120" t="str">
            <v>DécanteursElectrique</v>
          </cell>
        </row>
        <row r="121">
          <cell r="M121" t="str">
            <v>DécanteursElectrique</v>
          </cell>
        </row>
        <row r="122">
          <cell r="M122" t="str">
            <v>DécanteursRégulation</v>
          </cell>
        </row>
        <row r="123">
          <cell r="M123" t="str">
            <v>DécanteursRégulation</v>
          </cell>
        </row>
        <row r="124">
          <cell r="M124" t="str">
            <v>DécanteursRégulation</v>
          </cell>
        </row>
        <row r="125">
          <cell r="M125" t="str">
            <v>DécanteursRégulation</v>
          </cell>
        </row>
        <row r="126">
          <cell r="M126" t="str">
            <v>DécanteursRégulation</v>
          </cell>
        </row>
        <row r="127">
          <cell r="M127" t="str">
            <v>DécanteursRégulation</v>
          </cell>
        </row>
        <row r="128">
          <cell r="M128" t="str">
            <v>DécanteursRégulation</v>
          </cell>
        </row>
        <row r="129">
          <cell r="M129" t="str">
            <v>DécanteursRégulation</v>
          </cell>
        </row>
        <row r="130">
          <cell r="M130" t="str">
            <v>DécanteursRégulation</v>
          </cell>
        </row>
        <row r="131">
          <cell r="M131" t="str">
            <v>DécanteursRégulation</v>
          </cell>
        </row>
        <row r="132">
          <cell r="M132" t="str">
            <v>DécanteursExploitation</v>
          </cell>
        </row>
        <row r="133">
          <cell r="M133" t="str">
            <v>DécanteursExploitation</v>
          </cell>
        </row>
        <row r="134">
          <cell r="M134" t="str">
            <v>DécanteursExploitation</v>
          </cell>
        </row>
        <row r="135">
          <cell r="M135" t="str">
            <v>DécanteursExploitation</v>
          </cell>
        </row>
        <row r="136">
          <cell r="M136" t="str">
            <v>DécanteursExploitation</v>
          </cell>
        </row>
        <row r="137">
          <cell r="M137" t="str">
            <v>DécanteursExploitation</v>
          </cell>
        </row>
        <row r="138">
          <cell r="M138" t="str">
            <v>DécanteursExploitation</v>
          </cell>
        </row>
        <row r="139">
          <cell r="M139" t="str">
            <v>DécanteursExploitation</v>
          </cell>
        </row>
        <row r="140">
          <cell r="M140" t="str">
            <v>BroyeursMécanique</v>
          </cell>
        </row>
        <row r="141">
          <cell r="M141" t="str">
            <v>BroyeursMécanique</v>
          </cell>
        </row>
        <row r="142">
          <cell r="M142" t="str">
            <v>BroyeursMécanique</v>
          </cell>
        </row>
        <row r="143">
          <cell r="M143" t="str">
            <v>BroyeursMécanique</v>
          </cell>
        </row>
        <row r="144">
          <cell r="M144" t="str">
            <v>BroyeursMécanique</v>
          </cell>
        </row>
        <row r="145">
          <cell r="M145" t="str">
            <v>BroyeursMécanique</v>
          </cell>
        </row>
        <row r="146">
          <cell r="M146" t="str">
            <v>BroyeursMécanique</v>
          </cell>
        </row>
        <row r="147">
          <cell r="M147" t="str">
            <v>BroyeursMécanique</v>
          </cell>
        </row>
        <row r="148">
          <cell r="M148" t="str">
            <v>BroyeursElectrique</v>
          </cell>
        </row>
        <row r="149">
          <cell r="M149" t="str">
            <v>BroyeursElectrique</v>
          </cell>
        </row>
        <row r="150">
          <cell r="M150" t="str">
            <v>BroyeursElectrique</v>
          </cell>
        </row>
        <row r="151">
          <cell r="M151" t="str">
            <v>BroyeursElectrique</v>
          </cell>
        </row>
        <row r="152">
          <cell r="M152" t="str">
            <v>BroyeursElectrique</v>
          </cell>
        </row>
        <row r="153">
          <cell r="M153" t="str">
            <v>BroyeursElectrique</v>
          </cell>
        </row>
        <row r="154">
          <cell r="M154" t="str">
            <v>BroyeursElectrique</v>
          </cell>
        </row>
        <row r="155">
          <cell r="M155" t="str">
            <v>BroyeursElectrique</v>
          </cell>
        </row>
        <row r="156">
          <cell r="M156" t="str">
            <v>BroyeursElectrique</v>
          </cell>
        </row>
        <row r="157">
          <cell r="M157" t="str">
            <v>Compresseurs_AdMécanique</v>
          </cell>
        </row>
        <row r="158">
          <cell r="M158" t="str">
            <v>Compresseurs_AdMécanique</v>
          </cell>
        </row>
        <row r="159">
          <cell r="M159" t="str">
            <v>Compresseurs_AdMécanique</v>
          </cell>
        </row>
        <row r="160">
          <cell r="M160" t="str">
            <v>Compresseurs_AdMécanique</v>
          </cell>
        </row>
        <row r="161">
          <cell r="M161" t="str">
            <v>Compresseurs_AdMécanique</v>
          </cell>
        </row>
        <row r="162">
          <cell r="M162" t="str">
            <v>Compresseurs_AdMécanique</v>
          </cell>
        </row>
        <row r="163">
          <cell r="M163" t="str">
            <v>Compresseurs_AdMécanique</v>
          </cell>
        </row>
        <row r="164">
          <cell r="M164" t="str">
            <v>Compresseurs_AdMécanique</v>
          </cell>
        </row>
        <row r="165">
          <cell r="M165" t="str">
            <v>Compresseurs_AdMécanique</v>
          </cell>
        </row>
        <row r="166">
          <cell r="M166" t="str">
            <v>Compresseurs_AdElectrique</v>
          </cell>
        </row>
        <row r="167">
          <cell r="M167" t="str">
            <v>Compresseurs_AdElectrique</v>
          </cell>
        </row>
        <row r="168">
          <cell r="M168" t="str">
            <v>Compresseurs_AdElectrique</v>
          </cell>
        </row>
        <row r="169">
          <cell r="M169" t="str">
            <v>Compresseurs_AdElectrique</v>
          </cell>
        </row>
        <row r="170">
          <cell r="M170" t="str">
            <v>Compresseurs_AdElectrique</v>
          </cell>
        </row>
        <row r="171">
          <cell r="M171" t="str">
            <v>Compresseurs_AdRégulation</v>
          </cell>
        </row>
        <row r="172">
          <cell r="M172" t="str">
            <v>Compresseurs_AdRégulation</v>
          </cell>
        </row>
        <row r="173">
          <cell r="M173" t="str">
            <v>Compresseurs_AdRégulation</v>
          </cell>
        </row>
        <row r="174">
          <cell r="M174" t="str">
            <v>Compresseurs_AdRégulation</v>
          </cell>
        </row>
        <row r="175">
          <cell r="M175" t="str">
            <v>Compresseurs_AdExploitation</v>
          </cell>
        </row>
        <row r="176">
          <cell r="M176" t="str">
            <v>Compresseurs_AdExploitation</v>
          </cell>
        </row>
        <row r="177">
          <cell r="M177" t="str">
            <v>Compresseurs_AdExploitation</v>
          </cell>
        </row>
        <row r="178">
          <cell r="M178" t="str">
            <v>AdaptationMaroc central</v>
          </cell>
        </row>
        <row r="179">
          <cell r="M179" t="str">
            <v>AdaptationMaroc central</v>
          </cell>
        </row>
        <row r="180">
          <cell r="M180" t="str">
            <v>AdaptationMaroc central</v>
          </cell>
        </row>
        <row r="181">
          <cell r="M181" t="str">
            <v>AdaptationExterne</v>
          </cell>
        </row>
        <row r="182">
          <cell r="M182" t="str">
            <v>AdaptationFlux</v>
          </cell>
        </row>
        <row r="183">
          <cell r="M183" t="str">
            <v>AdaptationPipeline</v>
          </cell>
        </row>
        <row r="184">
          <cell r="M184" t="str">
            <v>AdaptationPipeline</v>
          </cell>
        </row>
        <row r="185">
          <cell r="M185" t="str">
            <v>AdaptationPipeline</v>
          </cell>
        </row>
        <row r="186">
          <cell r="M186" t="str">
            <v>AdaptationExploitation</v>
          </cell>
        </row>
        <row r="187">
          <cell r="M187" t="str">
            <v>Adaptationmaintenance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RPT1"/>
      <sheetName val="RPT2 "/>
      <sheetName val="RP3 "/>
      <sheetName val="RP5 "/>
      <sheetName val="RPTS "/>
      <sheetName val="CRIBLAGE "/>
      <sheetName val="Arrêt RPT1"/>
      <sheetName val="Arrêt RPT2"/>
      <sheetName val="Arrêt RP3"/>
      <sheetName val="Arrêt RP5"/>
      <sheetName val="Arrêt RPTS"/>
      <sheetName val="Arrêt CRIBLAGE"/>
      <sheetName val="ARRËTS"/>
      <sheetName val="ARRËTS (2)"/>
      <sheetName val="Parametre"/>
      <sheetName val="base"/>
      <sheetName val="QUALITE"/>
      <sheetName val="destin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QUALITE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RPT1"/>
      <sheetName val="RPT2 "/>
      <sheetName val="RP3 "/>
      <sheetName val="RP5 "/>
      <sheetName val="RPTS "/>
      <sheetName val="CRIBLAGE "/>
      <sheetName val="Arrêt RPT1"/>
      <sheetName val="Arrêt RPT2"/>
      <sheetName val="Arrêt RP3"/>
      <sheetName val="Arrêt RP5"/>
      <sheetName val="Arrêt RPTS"/>
      <sheetName val="Arrêt CRIBLAGE"/>
      <sheetName val="organges"/>
      <sheetName val="arrêts"/>
      <sheetName val="RPSC1"/>
      <sheetName val="RPSC2"/>
      <sheetName val="RP3"/>
      <sheetName val="RP5"/>
      <sheetName val="RPTS"/>
      <sheetName val="CRIBLAGE"/>
      <sheetName val="Parametre"/>
      <sheetName val="base"/>
      <sheetName val="QUALITE"/>
      <sheetName val="destin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RPT1"/>
      <sheetName val="RPT2 "/>
      <sheetName val="RP3 "/>
      <sheetName val="RP5 "/>
      <sheetName val="RPTS "/>
      <sheetName val="CRIBLAGE "/>
      <sheetName val="Arrêt RPT1"/>
      <sheetName val="Arrêt RPT2"/>
      <sheetName val="Arrêt RP3"/>
      <sheetName val="Arrêt RP5"/>
      <sheetName val="Arrêt RPTS"/>
      <sheetName val="Arrêt CRIBLAGE"/>
      <sheetName val="organges"/>
      <sheetName val="arrêts"/>
      <sheetName val="RPSC1"/>
      <sheetName val="RPSC2"/>
      <sheetName val="RP3"/>
      <sheetName val="RP5"/>
      <sheetName val="RPTS"/>
      <sheetName val="CRIBLAGE"/>
      <sheetName val="Parametre"/>
      <sheetName val="base"/>
      <sheetName val="QUALITE"/>
      <sheetName val="destin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/>
      <sheetData sheetId="23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QUALITE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RPT1"/>
      <sheetName val="RPT2 "/>
      <sheetName val="RP3 "/>
      <sheetName val="RP5 "/>
      <sheetName val="RPTS "/>
      <sheetName val="CRIBLAGE "/>
      <sheetName val="Arrêt RPT1"/>
      <sheetName val="Arrêt RPT2"/>
      <sheetName val="Arrêt RP3"/>
      <sheetName val="Arrêt RP5"/>
      <sheetName val="Arrêt RPTS"/>
      <sheetName val="Arrêt CRIBLAGE"/>
      <sheetName val="organges"/>
      <sheetName val="arrêts"/>
      <sheetName val="RPSC1"/>
      <sheetName val="RPSC2"/>
      <sheetName val="RP3"/>
      <sheetName val="RP5"/>
      <sheetName val="RPTS"/>
      <sheetName val="CRIBLAGE"/>
      <sheetName val="Parametre"/>
      <sheetName val="base"/>
      <sheetName val="QUALITE"/>
      <sheetName val="destin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RPT1"/>
      <sheetName val="RPT2 "/>
      <sheetName val="RP3 "/>
      <sheetName val="RP5 "/>
      <sheetName val="RPTS "/>
      <sheetName val="CRIBLAGE "/>
      <sheetName val="Arrêt RPT1"/>
      <sheetName val="Arrêt RPT2"/>
      <sheetName val="Arrêt RP3"/>
      <sheetName val="Arrêt RP5"/>
      <sheetName val="Arrêt RPTS"/>
      <sheetName val="Arrêt CRIBLAGE"/>
      <sheetName val="organges"/>
      <sheetName val="arrêts"/>
      <sheetName val="RPSC1"/>
      <sheetName val="RPSC2"/>
      <sheetName val="RP3"/>
      <sheetName val="RP5"/>
      <sheetName val="RPTS"/>
      <sheetName val="CRIBLAGE"/>
      <sheetName val="Parametre"/>
      <sheetName val="base"/>
      <sheetName val="QUALITE"/>
      <sheetName val="destin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euil1">
    <tabColor theme="9" tint="0.3999755851924192"/>
    <outlinePr summaryBelow="1" summaryRight="1"/>
    <pageSetUpPr fitToPage="1"/>
  </sheetPr>
  <dimension ref="A2:Z120"/>
  <sheetViews>
    <sheetView showGridLines="0" tabSelected="1" topLeftCell="A15" zoomScale="51" zoomScaleNormal="70" zoomScaleSheetLayoutView="40" workbookViewId="0">
      <selection activeCell="J17" sqref="J17"/>
    </sheetView>
  </sheetViews>
  <sheetFormatPr baseColWidth="8" defaultColWidth="11.25" defaultRowHeight="12.75"/>
  <cols>
    <col width="3.625" customWidth="1" style="378" min="1" max="1"/>
    <col width="31.25" bestFit="1" customWidth="1" style="378" min="2" max="2"/>
    <col width="23.625" customWidth="1" style="378" min="3" max="3"/>
    <col width="26" customWidth="1" style="378" min="4" max="4"/>
    <col width="27.125" bestFit="1" customWidth="1" style="378" min="5" max="5"/>
    <col width="19.25" customWidth="1" style="378" min="6" max="6"/>
    <col width="23.25" customWidth="1" style="378" min="7" max="7"/>
    <col width="7.75" customWidth="1" style="378" min="8" max="8"/>
    <col width="9.875" customWidth="1" style="378" min="9" max="9"/>
    <col width="26.25" customWidth="1" style="378" min="10" max="10"/>
    <col width="18.25" customWidth="1" style="378" min="11" max="11"/>
    <col width="20.375" customWidth="1" style="378" min="12" max="12"/>
    <col width="18.375" customWidth="1" style="378" min="13" max="14"/>
    <col width="12.25" customWidth="1" style="378" min="15" max="15"/>
    <col width="19.875" customWidth="1" style="378" min="16" max="17"/>
    <col width="22.75" customWidth="1" style="378" min="18" max="18"/>
    <col width="5.75" customWidth="1" style="378" min="19" max="19"/>
    <col width="11.25" customWidth="1" style="378" min="20" max="22"/>
    <col width="11.25" customWidth="1" style="378" min="23" max="16384"/>
  </cols>
  <sheetData>
    <row r="1" ht="18.75" customHeight="1" thickBot="1"/>
    <row r="2" ht="34.5" customHeight="1" thickBot="1">
      <c r="B2" s="19" t="n"/>
      <c r="C2" s="571">
        <f>TODAY()</f>
        <v/>
      </c>
      <c r="E2" s="26" t="n"/>
      <c r="F2" s="26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  <c r="P2" s="19" t="n"/>
      <c r="Q2" s="19" t="n"/>
      <c r="R2" s="20" t="n"/>
      <c r="S2" s="28" t="n"/>
    </row>
    <row r="3" ht="34.5" customHeight="1" thickBot="1">
      <c r="B3" s="19" t="n"/>
      <c r="E3" s="26" t="n"/>
      <c r="F3" s="26" t="n"/>
      <c r="G3" s="21" t="n"/>
      <c r="H3" s="19" t="n"/>
      <c r="I3" s="19" t="n"/>
      <c r="J3" s="19" t="n"/>
      <c r="K3" s="19" t="n"/>
      <c r="L3" s="19" t="n"/>
      <c r="M3" s="19" t="n"/>
      <c r="N3" s="19" t="n"/>
      <c r="O3" s="19" t="n"/>
      <c r="P3" s="22" t="n"/>
      <c r="Q3" s="21" t="n"/>
      <c r="R3" s="20" t="n"/>
      <c r="S3" s="28" t="n"/>
    </row>
    <row r="4" ht="34.5" customHeight="1" thickBot="1">
      <c r="B4" s="19" t="n"/>
      <c r="C4" s="789">
        <f>NOW()</f>
        <v/>
      </c>
      <c r="E4" s="26" t="n"/>
      <c r="F4" s="26" t="n"/>
      <c r="G4" s="21" t="n"/>
      <c r="H4" s="19" t="n"/>
      <c r="I4" s="19" t="n"/>
      <c r="J4" s="19" t="n"/>
      <c r="K4" s="19" t="n"/>
      <c r="L4" s="19" t="n"/>
      <c r="M4" s="19" t="n"/>
      <c r="N4" s="19" t="n"/>
      <c r="O4" s="19" t="n"/>
      <c r="P4" s="22" t="n"/>
      <c r="Q4" s="21" t="n"/>
      <c r="R4" s="20" t="n"/>
      <c r="S4" s="28" t="n"/>
    </row>
    <row r="5" ht="34.5" customHeight="1" thickBot="1">
      <c r="B5" s="19" t="n"/>
      <c r="E5" s="26" t="n"/>
      <c r="F5" s="26" t="n"/>
      <c r="G5" s="21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  <c r="R5" s="20" t="n"/>
      <c r="S5" s="28" t="n"/>
    </row>
    <row r="6" ht="34.5" customHeight="1">
      <c r="B6" s="19" t="n"/>
      <c r="C6" s="24" t="n"/>
      <c r="D6" s="25" t="n"/>
      <c r="E6" s="26" t="n"/>
      <c r="F6" s="573" t="inlineStr">
        <is>
          <t>Fin</t>
        </is>
      </c>
      <c r="H6" s="574" t="inlineStr">
        <is>
          <t>Durée</t>
        </is>
      </c>
      <c r="I6" s="574" t="inlineStr">
        <is>
          <t>Type d'arrêt</t>
        </is>
      </c>
      <c r="K6" s="574" t="inlineStr">
        <is>
          <t>Zone</t>
        </is>
      </c>
      <c r="M6" s="574" t="inlineStr">
        <is>
          <t>Equipement</t>
        </is>
      </c>
      <c r="P6" s="574" t="n"/>
      <c r="Q6" s="574" t="n"/>
      <c r="S6" s="29" t="n"/>
    </row>
    <row r="7" ht="18.75" customHeight="1" thickBot="1"/>
    <row r="8" ht="36" customHeight="1" thickBot="1">
      <c r="A8" s="5" t="n"/>
      <c r="B8" s="790" t="n"/>
      <c r="C8" s="791" t="n"/>
      <c r="D8" s="38" t="inlineStr">
        <is>
          <t>Formulaire</t>
        </is>
      </c>
      <c r="E8" s="593" t="inlineStr">
        <is>
          <t>PRL-LA-IT-06-F-02</t>
        </is>
      </c>
      <c r="F8" s="792" t="n"/>
      <c r="G8" s="792" t="n"/>
      <c r="H8" s="792" t="n"/>
      <c r="I8" s="792" t="n"/>
      <c r="J8" s="792" t="n"/>
      <c r="K8" s="792" t="n"/>
      <c r="L8" s="792" t="n"/>
      <c r="M8" s="792" t="n"/>
      <c r="N8" s="792" t="n"/>
      <c r="O8" s="792" t="n"/>
      <c r="P8" s="792" t="n"/>
      <c r="Q8" s="792" t="n"/>
      <c r="R8" s="793" t="n"/>
    </row>
    <row r="9" ht="38.25" customHeight="1" thickBot="1">
      <c r="A9" s="5" t="n"/>
      <c r="B9" s="794" t="n"/>
      <c r="C9" s="795" t="n"/>
      <c r="D9" s="38" t="inlineStr">
        <is>
          <t>Entité</t>
        </is>
      </c>
      <c r="E9" s="594" t="inlineStr">
        <is>
          <t>Entités de Traitement de Site de Khouribga</t>
        </is>
      </c>
      <c r="F9" s="792" t="n"/>
      <c r="G9" s="792" t="n"/>
      <c r="H9" s="792" t="n"/>
      <c r="I9" s="792" t="n"/>
      <c r="J9" s="792" t="n"/>
      <c r="K9" s="792" t="n"/>
      <c r="L9" s="792" t="n"/>
      <c r="M9" s="792" t="n"/>
      <c r="N9" s="792" t="n"/>
      <c r="O9" s="792" t="n"/>
      <c r="P9" s="792" t="n"/>
      <c r="Q9" s="792" t="n"/>
      <c r="R9" s="793" t="n"/>
    </row>
    <row r="10" ht="38.25" customHeight="1" thickBot="1">
      <c r="A10" s="5" t="n"/>
      <c r="B10" s="796" t="inlineStr">
        <is>
          <t>DIRECTION EXECUTIVE
OPERATIONSINDUSTRIELLES
DIRECTION DE SITE  DE KHOURIBGA</t>
        </is>
      </c>
      <c r="C10" s="797" t="n"/>
      <c r="D10" s="38" t="inlineStr">
        <is>
          <t>Version</t>
        </is>
      </c>
      <c r="E10" s="593" t="n">
        <v>5</v>
      </c>
      <c r="F10" s="594" t="inlineStr">
        <is>
          <t xml:space="preserve">Applicable le </t>
        </is>
      </c>
      <c r="G10" s="792" t="n"/>
      <c r="H10" s="792" t="n"/>
      <c r="I10" s="792" t="n"/>
      <c r="J10" s="792" t="n"/>
      <c r="K10" s="792" t="n"/>
      <c r="L10" s="792" t="n"/>
      <c r="M10" s="792" t="n"/>
      <c r="N10" s="792" t="n"/>
      <c r="O10" s="792" t="n"/>
      <c r="P10" s="792" t="n"/>
      <c r="Q10" s="793" t="n"/>
      <c r="R10" s="37" t="n">
        <v>45000</v>
      </c>
    </row>
    <row r="11" ht="26.25" customHeight="1">
      <c r="A11" s="5" t="n"/>
      <c r="B11" s="32" t="inlineStr">
        <is>
          <t>OIK/BD/E- 428</t>
        </is>
      </c>
      <c r="C11" s="30" t="n"/>
      <c r="D11" s="31" t="n"/>
    </row>
    <row r="12" ht="5.25" customHeight="1"/>
    <row r="13" ht="24" customHeight="1">
      <c r="B13" s="583" t="inlineStr">
        <is>
          <t>Titre: Rapport de tonnage</t>
        </is>
      </c>
    </row>
    <row r="14" ht="21" customHeight="1">
      <c r="A14" s="6" t="n"/>
    </row>
    <row r="15" ht="33.75" customHeight="1" thickBot="1">
      <c r="A15" s="7" t="n"/>
      <c r="B15" s="166" t="inlineStr">
        <is>
          <t>Installation : RP T1</t>
        </is>
      </c>
      <c r="C15" s="39" t="n"/>
      <c r="E15" s="36" t="n"/>
      <c r="J15" s="34" t="n"/>
      <c r="K15" s="34" t="n"/>
      <c r="P15" s="70" t="inlineStr">
        <is>
          <t>Journée du :</t>
        </is>
      </c>
      <c r="Q15" s="584" t="n">
        <v>45038</v>
      </c>
    </row>
    <row r="16" ht="42.75" customFormat="1" customHeight="1" s="40" thickBot="1">
      <c r="B16" s="67" t="inlineStr">
        <is>
          <t>Heures</t>
        </is>
      </c>
      <c r="C16" s="68" t="inlineStr">
        <is>
          <t>Qualité</t>
        </is>
      </c>
      <c r="D16" s="68" t="inlineStr">
        <is>
          <t>Code</t>
        </is>
      </c>
      <c r="E16" s="68" t="inlineStr">
        <is>
          <t>Repère déstockage</t>
        </is>
      </c>
      <c r="F16" s="68" t="inlineStr">
        <is>
          <t>Destination</t>
        </is>
      </c>
      <c r="G16" s="68" t="inlineStr">
        <is>
          <t>Repère stockage</t>
        </is>
      </c>
      <c r="H16" s="798" t="inlineStr">
        <is>
          <t>Bascule
(H4/H6)*</t>
        </is>
      </c>
      <c r="I16" s="799" t="n"/>
      <c r="J16" s="68" t="inlineStr">
        <is>
          <t>Index bascule</t>
        </is>
      </c>
      <c r="K16" s="83" t="inlineStr">
        <is>
          <t>Tonnage</t>
        </is>
      </c>
      <c r="L16" s="68" t="inlineStr">
        <is>
          <t>Index horaire
LS0-LT3</t>
        </is>
      </c>
      <c r="M16" s="83" t="inlineStr">
        <is>
          <t>HM</t>
        </is>
      </c>
      <c r="N16" s="68" t="inlineStr">
        <is>
          <t>POSTE</t>
        </is>
      </c>
      <c r="O16" s="83" t="inlineStr">
        <is>
          <t>T/H</t>
        </is>
      </c>
      <c r="P16" s="69" t="inlineStr">
        <is>
          <t>Sous vitesses/Causes marche à vide</t>
        </is>
      </c>
      <c r="Q16" s="792" t="n"/>
      <c r="R16" s="793" t="n"/>
      <c r="S16" s="41" t="n"/>
    </row>
    <row r="17" ht="32.25" customFormat="1" customHeight="1" s="393">
      <c r="B17" s="400" t="n">
        <v>0</v>
      </c>
      <c r="C17" s="398" t="inlineStr">
        <is>
          <t>TBT</t>
        </is>
      </c>
      <c r="D17" s="442" t="inlineStr">
        <is>
          <t>T1S200423</t>
        </is>
      </c>
      <c r="E17" s="442" t="inlineStr">
        <is>
          <t>EST 160-200</t>
        </is>
      </c>
      <c r="F17" s="488" t="inlineStr">
        <is>
          <t>SC-PW</t>
        </is>
      </c>
      <c r="G17" s="399" t="inlineStr">
        <is>
          <t>H4N 70-110</t>
        </is>
      </c>
      <c r="H17" s="704" t="inlineStr">
        <is>
          <t>H4</t>
        </is>
      </c>
      <c r="I17" s="800" t="n"/>
      <c r="J17" s="489" t="n">
        <v>42</v>
      </c>
      <c r="K17" s="405" t="n"/>
      <c r="L17" s="801" t="n">
        <v>225.9</v>
      </c>
      <c r="M17" s="802" t="n"/>
      <c r="N17" s="504" t="n"/>
      <c r="O17" s="505">
        <f>IF(K17=0,"-",K17/M17)</f>
        <v/>
      </c>
      <c r="P17" s="803" t="n"/>
      <c r="Q17" s="804" t="n"/>
      <c r="R17" s="805" t="n"/>
      <c r="S17" s="453" t="n"/>
      <c r="X17" s="394" t="n"/>
      <c r="Y17" s="394" t="n"/>
      <c r="Z17" s="394" t="n"/>
    </row>
    <row r="18" ht="32.25" customFormat="1" customHeight="1" s="378">
      <c r="B18" s="230" t="n">
        <v>0.04166666666666666</v>
      </c>
      <c r="C18" s="480" t="inlineStr">
        <is>
          <t>TBT</t>
        </is>
      </c>
      <c r="D18" s="191" t="n"/>
      <c r="E18" s="191" t="n"/>
      <c r="F18" s="482" t="inlineStr">
        <is>
          <t>SC-PW</t>
        </is>
      </c>
      <c r="G18" s="197" t="n"/>
      <c r="H18" s="806" t="inlineStr">
        <is>
          <t>H4</t>
        </is>
      </c>
      <c r="I18" s="800" t="n"/>
      <c r="J18" s="184" t="n">
        <v>42</v>
      </c>
      <c r="K18" s="177">
        <f>IF(AND(H18=H17,J18-J17&lt;3000,J18-J17&gt;0),J18-J17,0)</f>
        <v/>
      </c>
      <c r="L18" s="807" t="n">
        <v>226.7</v>
      </c>
      <c r="M18" s="807">
        <f>IF(AND(H18=H17,L18-L17&lt;1.1,L18-L17&gt;0),L18-L17,0)</f>
        <v/>
      </c>
      <c r="N18" s="182" t="n">
        <v>1</v>
      </c>
      <c r="O18" s="216">
        <f>IF(K18=0,"-",K18/M18)</f>
        <v/>
      </c>
      <c r="P18" s="260" t="n"/>
      <c r="Q18" s="545" t="n"/>
      <c r="R18" s="808" t="n"/>
      <c r="S18" s="378" t="n"/>
      <c r="X18" s="378" t="n"/>
      <c r="Y18" s="76" t="n"/>
      <c r="Z18" s="77" t="n"/>
    </row>
    <row r="19" ht="32.25" customFormat="1" customHeight="1" s="378">
      <c r="B19" s="400" t="n"/>
      <c r="C19" s="398" t="inlineStr">
        <is>
          <t>BTR</t>
        </is>
      </c>
      <c r="D19" s="442" t="inlineStr">
        <is>
          <t>T1S230423</t>
        </is>
      </c>
      <c r="E19" s="442" t="inlineStr">
        <is>
          <t>EST 390-460</t>
        </is>
      </c>
      <c r="F19" s="488" t="inlineStr">
        <is>
          <t>SC-BA</t>
        </is>
      </c>
      <c r="G19" s="399" t="n"/>
      <c r="H19" s="704" t="inlineStr">
        <is>
          <t>LS0</t>
        </is>
      </c>
      <c r="I19" s="800" t="n"/>
      <c r="J19" s="489" t="n">
        <v>42</v>
      </c>
      <c r="K19" s="405" t="n"/>
      <c r="L19" s="802" t="n">
        <v>226.7</v>
      </c>
      <c r="M19" s="802" t="n"/>
      <c r="N19" s="504" t="n"/>
      <c r="O19" s="443">
        <f>IF(K19=0,"-",K19/M19)</f>
        <v/>
      </c>
      <c r="P19" s="490" t="n"/>
      <c r="Q19" s="540" t="n"/>
      <c r="R19" s="808" t="n"/>
      <c r="S19" s="378" t="n"/>
      <c r="X19" s="378" t="n"/>
      <c r="Y19" s="76" t="n"/>
      <c r="Z19" s="77" t="n"/>
    </row>
    <row r="20" ht="32.25" customFormat="1" customHeight="1" s="378">
      <c r="B20" s="230" t="n">
        <v>0.08333333333333333</v>
      </c>
      <c r="C20" s="480" t="inlineStr">
        <is>
          <t>BTR</t>
        </is>
      </c>
      <c r="D20" s="191" t="n"/>
      <c r="E20" s="191" t="n"/>
      <c r="F20" s="482" t="inlineStr">
        <is>
          <t>SC-BA</t>
        </is>
      </c>
      <c r="G20" s="197" t="n"/>
      <c r="H20" s="806" t="inlineStr">
        <is>
          <t>LS0</t>
        </is>
      </c>
      <c r="I20" s="800" t="n"/>
      <c r="J20" s="184" t="n">
        <v>42</v>
      </c>
      <c r="K20" s="177">
        <f>IF(AND(H20=H19,J20-J19&lt;3000,J20-J19&gt;0),J20-J19,0)</f>
        <v/>
      </c>
      <c r="L20" s="809" t="n">
        <v>227.2</v>
      </c>
      <c r="M20" s="807">
        <f>IF(AND(H20=H19,L20-L19&lt;1.1,L20-L19&gt;0),L20-L19,0)</f>
        <v/>
      </c>
      <c r="N20" s="182" t="n">
        <v>1</v>
      </c>
      <c r="O20" s="216">
        <f>IF(K20=0,"-",K20/M20)</f>
        <v/>
      </c>
      <c r="P20" s="327" t="n"/>
      <c r="Q20" s="545" t="n"/>
      <c r="R20" s="808" t="n"/>
      <c r="S20" s="378" t="n"/>
      <c r="X20" s="378" t="n"/>
      <c r="Y20" s="76" t="n"/>
      <c r="Z20" s="77" t="n"/>
    </row>
    <row r="21" ht="32.25" customFormat="1" customHeight="1" s="378">
      <c r="B21" s="230" t="n">
        <v>0.125</v>
      </c>
      <c r="C21" s="480" t="inlineStr">
        <is>
          <t>BTR</t>
        </is>
      </c>
      <c r="D21" s="191" t="n"/>
      <c r="E21" s="191" t="n"/>
      <c r="F21" s="482" t="inlineStr">
        <is>
          <t>SC-BA</t>
        </is>
      </c>
      <c r="G21" s="197" t="n"/>
      <c r="H21" s="806" t="inlineStr">
        <is>
          <t>LS0</t>
        </is>
      </c>
      <c r="I21" s="800" t="n"/>
      <c r="J21" s="184" t="n">
        <v>42</v>
      </c>
      <c r="K21" s="177">
        <f>IF(AND(H21=H20,J21-J20&lt;3000,J21-J20&gt;0),J21-J20,0)</f>
        <v/>
      </c>
      <c r="L21" s="809" t="n">
        <v>228.2</v>
      </c>
      <c r="M21" s="807">
        <f>IF(AND(H21=H20,L21-L20&lt;1.1,L21-L20&gt;0),L21-L20,0)</f>
        <v/>
      </c>
      <c r="N21" s="182" t="n">
        <v>1</v>
      </c>
      <c r="O21" s="216">
        <f>IF(K21=0,"-",K21/M21)</f>
        <v/>
      </c>
      <c r="P21" s="411" t="n"/>
      <c r="Q21" s="412" t="n"/>
      <c r="R21" s="413" t="n"/>
      <c r="S21" s="378" t="n"/>
      <c r="X21" s="378" t="n"/>
      <c r="Y21" s="76" t="n"/>
      <c r="Z21" s="77" t="n"/>
    </row>
    <row r="22" ht="32.25" customFormat="1" customHeight="1" s="378">
      <c r="B22" s="230" t="n">
        <v>0.1666666666666667</v>
      </c>
      <c r="C22" s="480" t="inlineStr">
        <is>
          <t>BTR</t>
        </is>
      </c>
      <c r="D22" s="191" t="n"/>
      <c r="E22" s="191" t="n"/>
      <c r="F22" s="482" t="inlineStr">
        <is>
          <t>SC-BA</t>
        </is>
      </c>
      <c r="G22" s="197" t="n"/>
      <c r="H22" s="806" t="inlineStr">
        <is>
          <t>LS0</t>
        </is>
      </c>
      <c r="I22" s="800" t="n"/>
      <c r="J22" s="184" t="n">
        <v>42</v>
      </c>
      <c r="K22" s="177">
        <f>IF(AND(H22=H21,J22-J21&lt;3000,J22-J21&gt;0),J22-J21,0)</f>
        <v/>
      </c>
      <c r="L22" s="809" t="n">
        <v>229.2</v>
      </c>
      <c r="M22" s="807">
        <f>IF(AND(H22=H21,L22-L21&lt;1.1,L22-L21&gt;0),L22-L21,0)</f>
        <v/>
      </c>
      <c r="N22" s="182" t="n">
        <v>1</v>
      </c>
      <c r="O22" s="216">
        <f>IF(K22=0,"-",K22/M22)</f>
        <v/>
      </c>
      <c r="P22" s="327" t="n"/>
      <c r="Q22" s="598" t="n"/>
      <c r="R22" s="808" t="n"/>
      <c r="S22" s="378" t="n"/>
      <c r="X22" s="378" t="n"/>
      <c r="Y22" s="76" t="n"/>
      <c r="Z22" s="77" t="n"/>
    </row>
    <row r="23" ht="32.25" customFormat="1" customHeight="1" s="378">
      <c r="A23" s="332" t="n"/>
      <c r="B23" s="230" t="n">
        <v>0.2083333333333333</v>
      </c>
      <c r="C23" s="480" t="inlineStr">
        <is>
          <t>BTR</t>
        </is>
      </c>
      <c r="D23" s="191" t="n"/>
      <c r="E23" s="191" t="n"/>
      <c r="F23" s="482" t="inlineStr">
        <is>
          <t>SC-BA</t>
        </is>
      </c>
      <c r="G23" s="197" t="n"/>
      <c r="H23" s="806" t="inlineStr">
        <is>
          <t>LS0</t>
        </is>
      </c>
      <c r="I23" s="800" t="n"/>
      <c r="J23" s="184" t="n">
        <v>42</v>
      </c>
      <c r="K23" s="177">
        <f>IF(AND(H23=H22,J23-J22&lt;3000,J23-J22&gt;0),J23-J22,0)</f>
        <v/>
      </c>
      <c r="L23" s="809" t="n">
        <v>229.7</v>
      </c>
      <c r="M23" s="807">
        <f>IF(AND(H23=H22,L23-L22&lt;1.1,L23-L22&gt;0),L23-L22,0)</f>
        <v/>
      </c>
      <c r="N23" s="182" t="n">
        <v>1</v>
      </c>
      <c r="O23" s="216">
        <f>IF(K23=0,"-",K23/M23)</f>
        <v/>
      </c>
      <c r="P23" s="327" t="n"/>
      <c r="Q23" s="545" t="n"/>
      <c r="R23" s="808" t="n"/>
      <c r="S23" s="378" t="n"/>
      <c r="X23" s="378" t="n"/>
      <c r="Y23" s="76" t="n"/>
      <c r="Z23" s="77" t="n"/>
    </row>
    <row r="24" ht="32.25" customFormat="1" customHeight="1" s="310">
      <c r="B24" s="230" t="n">
        <v>0.25</v>
      </c>
      <c r="C24" s="480" t="inlineStr">
        <is>
          <t>BTR</t>
        </is>
      </c>
      <c r="D24" s="191" t="n"/>
      <c r="E24" s="191" t="n"/>
      <c r="F24" s="482" t="inlineStr">
        <is>
          <t>SC-BA</t>
        </is>
      </c>
      <c r="G24" s="304" t="n"/>
      <c r="H24" s="806" t="inlineStr">
        <is>
          <t>LS0</t>
        </is>
      </c>
      <c r="I24" s="800" t="n"/>
      <c r="J24" s="184" t="n">
        <v>42</v>
      </c>
      <c r="K24" s="177">
        <f>IF(AND(H24=H23,J24-J23&lt;3000,J24-J23&gt;0),J24-J23,0)</f>
        <v/>
      </c>
      <c r="L24" s="809" t="n">
        <v>230.6</v>
      </c>
      <c r="M24" s="807">
        <f>IF(AND(H24=H23,L24-L23&lt;1.1,L24-L23&gt;0),L24-L23,0)</f>
        <v/>
      </c>
      <c r="N24" s="182" t="n">
        <v>0.9</v>
      </c>
      <c r="O24" s="216" t="n">
        <v>1500</v>
      </c>
      <c r="P24" s="291" t="n"/>
      <c r="Q24" s="545" t="n"/>
      <c r="R24" s="808" t="n"/>
      <c r="S24" s="310" t="n"/>
      <c r="X24" s="310" t="n"/>
      <c r="Y24" s="311" t="n"/>
      <c r="Z24" s="312" t="n"/>
    </row>
    <row r="25" ht="32.25" customFormat="1" customHeight="1" s="378">
      <c r="B25" s="230" t="n">
        <v>0.2916666666666667</v>
      </c>
      <c r="C25" s="480" t="inlineStr">
        <is>
          <t>BTR</t>
        </is>
      </c>
      <c r="D25" s="191" t="n"/>
      <c r="E25" s="191" t="n"/>
      <c r="F25" s="482" t="inlineStr">
        <is>
          <t>SC-BA</t>
        </is>
      </c>
      <c r="G25" s="272" t="n"/>
      <c r="H25" s="806" t="inlineStr">
        <is>
          <t>LS0</t>
        </is>
      </c>
      <c r="I25" s="800" t="n"/>
      <c r="J25" s="184" t="n">
        <v>42</v>
      </c>
      <c r="K25" s="177">
        <f>IF(AND(H25=H24,J25-J24&lt;3000,J25-J24&gt;0),J25-J24,0)</f>
        <v/>
      </c>
      <c r="L25" s="809" t="n">
        <v>231.6</v>
      </c>
      <c r="M25" s="807">
        <f>IF(AND(H25=H24,L25-L24&lt;1.1,L25-L24&gt;0),L25-L24,0)</f>
        <v/>
      </c>
      <c r="N25" s="182" t="n">
        <v>1</v>
      </c>
      <c r="O25" s="216">
        <f>IF(K25=0,"-",K25/M25)</f>
        <v/>
      </c>
      <c r="P25" s="260" t="n"/>
      <c r="Q25" s="545" t="n"/>
      <c r="R25" s="808" t="n"/>
      <c r="S25" s="378" t="n"/>
      <c r="X25" s="378" t="n"/>
      <c r="Y25" s="76" t="n"/>
      <c r="Z25" s="77" t="n"/>
    </row>
    <row r="26" ht="32.25" customFormat="1" customHeight="1" s="332">
      <c r="B26" s="230" t="n">
        <v>0.3333333333333333</v>
      </c>
      <c r="C26" s="480" t="inlineStr">
        <is>
          <t>BTR</t>
        </is>
      </c>
      <c r="D26" s="191" t="n"/>
      <c r="E26" s="191" t="n"/>
      <c r="F26" s="482" t="inlineStr">
        <is>
          <t>SC-BA</t>
        </is>
      </c>
      <c r="G26" s="304" t="n"/>
      <c r="H26" s="806" t="inlineStr">
        <is>
          <t>LS0</t>
        </is>
      </c>
      <c r="I26" s="800" t="n"/>
      <c r="J26" s="184" t="n">
        <v>42</v>
      </c>
      <c r="K26" s="177">
        <f>IF(AND(H26=H25,J26-J25&lt;3000,J26-J25&gt;0),J26-J25,0)</f>
        <v/>
      </c>
      <c r="L26" s="810" t="n">
        <v>232.6</v>
      </c>
      <c r="M26" s="807">
        <f>IF(AND(H26=H25,L26-L25&lt;1.1,L26-L25&gt;0),L26-L25,0)</f>
        <v/>
      </c>
      <c r="N26" s="182" t="n">
        <v>1</v>
      </c>
      <c r="O26" s="216">
        <f>IF(K26=0,"-",K26/M26)</f>
        <v/>
      </c>
      <c r="P26" s="327" t="n"/>
      <c r="Q26" s="544" t="n"/>
      <c r="R26" s="808" t="n"/>
      <c r="S26" s="332" t="n"/>
      <c r="X26" s="332" t="n"/>
      <c r="Y26" s="333" t="n"/>
      <c r="Z26" s="334" t="n"/>
    </row>
    <row r="27" ht="32.25" customFormat="1" customHeight="1" s="378">
      <c r="B27" s="230" t="n">
        <v>0.375</v>
      </c>
      <c r="C27" s="480" t="inlineStr">
        <is>
          <t>BTR</t>
        </is>
      </c>
      <c r="D27" s="191" t="n"/>
      <c r="E27" s="191" t="n"/>
      <c r="F27" s="482" t="inlineStr">
        <is>
          <t>SC-BA</t>
        </is>
      </c>
      <c r="G27" s="304" t="n"/>
      <c r="H27" s="806" t="inlineStr">
        <is>
          <t>LS0</t>
        </is>
      </c>
      <c r="I27" s="800" t="n"/>
      <c r="J27" s="483" t="n">
        <v>42</v>
      </c>
      <c r="K27" s="177">
        <f>IF(AND(H27=H26,J27-J26&lt;3000,J27-J26&gt;0),J27-J26,0)</f>
        <v/>
      </c>
      <c r="L27" s="811" t="n">
        <v>233.4</v>
      </c>
      <c r="M27" s="807">
        <f>IF(AND(H27=H26,L27-L26&lt;1.1,L27-L26&gt;0),L27-L26,0)</f>
        <v/>
      </c>
      <c r="N27" s="375" t="n">
        <v>2</v>
      </c>
      <c r="O27" s="301">
        <f>IF(K27=0,"-",K27/M27)</f>
        <v/>
      </c>
      <c r="P27" s="291" t="n"/>
      <c r="Q27" s="544" t="n"/>
      <c r="R27" s="808" t="n"/>
      <c r="S27" s="378" t="n"/>
      <c r="X27" s="378" t="n"/>
      <c r="Y27" s="76" t="n"/>
      <c r="Z27" s="77" t="n"/>
    </row>
    <row r="28" ht="32.25" customFormat="1" customHeight="1" s="378">
      <c r="B28" s="400" t="n"/>
      <c r="C28" s="398" t="inlineStr">
        <is>
          <t>MT</t>
        </is>
      </c>
      <c r="D28" s="442" t="inlineStr">
        <is>
          <t>T1S 14 04 23</t>
        </is>
      </c>
      <c r="E28" s="442" t="inlineStr">
        <is>
          <t>OUEST 430-470</t>
        </is>
      </c>
      <c r="F28" s="488" t="inlineStr">
        <is>
          <t>SC-BA</t>
        </is>
      </c>
      <c r="G28" s="399" t="n"/>
      <c r="H28" s="704" t="inlineStr">
        <is>
          <t>LS0</t>
        </is>
      </c>
      <c r="I28" s="800" t="n"/>
      <c r="J28" s="489" t="n">
        <v>42</v>
      </c>
      <c r="K28" s="405">
        <f>IF(AND(H28=H27,J28-J27&lt;3000,J28-J27&gt;0),J28-J27,0)</f>
        <v/>
      </c>
      <c r="L28" s="801" t="n">
        <v>233.4</v>
      </c>
      <c r="M28" s="802">
        <f>IF(AND(H28=H27,L28-L27&lt;1.1,L28-L27&gt;0),L28-L27,0)</f>
        <v/>
      </c>
      <c r="N28" s="504" t="n">
        <v>2</v>
      </c>
      <c r="O28" s="443">
        <f>IF(K28=0,"-",K28/M28)</f>
        <v/>
      </c>
      <c r="P28" s="514" t="n"/>
      <c r="Q28" s="414" t="n"/>
      <c r="R28" s="415" t="n"/>
      <c r="S28" s="378" t="n"/>
      <c r="X28" s="378" t="n"/>
      <c r="Y28" s="76" t="n"/>
      <c r="Z28" s="77" t="n"/>
    </row>
    <row r="29" ht="32.25" customHeight="1">
      <c r="A29" s="378" t="n"/>
      <c r="B29" s="230" t="n">
        <v>0.5416666666666666</v>
      </c>
      <c r="C29" s="480" t="inlineStr">
        <is>
          <t>MT</t>
        </is>
      </c>
      <c r="D29" s="191" t="n"/>
      <c r="E29" s="191" t="n"/>
      <c r="F29" s="482" t="inlineStr">
        <is>
          <t>SC-BA</t>
        </is>
      </c>
      <c r="G29" s="272" t="n"/>
      <c r="H29" s="806" t="inlineStr">
        <is>
          <t>LS0</t>
        </is>
      </c>
      <c r="I29" s="800" t="n"/>
      <c r="J29" s="483" t="n">
        <v>42</v>
      </c>
      <c r="K29" s="287">
        <f>IF(AND(H29=H28,J29-J28&lt;3000,J29-J28&gt;0),J29-J28,0)</f>
        <v/>
      </c>
      <c r="L29" s="811" t="n">
        <v>234</v>
      </c>
      <c r="M29" s="812">
        <f>IF(AND(H29=H28,L29-L28&lt;1.1,L29-L28&gt;0),L29-L28,0)</f>
        <v/>
      </c>
      <c r="N29" s="375" t="n">
        <v>2</v>
      </c>
      <c r="O29" s="216">
        <f>IF(K29=0,"-",K29/M29)</f>
        <v/>
      </c>
      <c r="P29" s="327" t="n"/>
      <c r="Q29" s="544" t="n"/>
      <c r="R29" s="808" t="n"/>
      <c r="S29" s="378" t="n"/>
      <c r="X29" s="378" t="n"/>
      <c r="Y29" s="76" t="n"/>
      <c r="Z29" s="77" t="n"/>
    </row>
    <row r="30" ht="32.25" customFormat="1" customHeight="1" s="378">
      <c r="B30" s="230" t="n">
        <v>0.5833333333333334</v>
      </c>
      <c r="C30" s="480" t="inlineStr">
        <is>
          <t>MT</t>
        </is>
      </c>
      <c r="D30" s="191" t="n"/>
      <c r="E30" s="191" t="n"/>
      <c r="F30" s="482" t="inlineStr">
        <is>
          <t>SC-BA</t>
        </is>
      </c>
      <c r="G30" s="272" t="n"/>
      <c r="H30" s="806" t="inlineStr">
        <is>
          <t>LS0</t>
        </is>
      </c>
      <c r="I30" s="800" t="n"/>
      <c r="J30" s="483" t="n">
        <v>42</v>
      </c>
      <c r="K30" s="287">
        <f>IF(AND(H30=H29,J30-J29&lt;3000,J30-J29&gt;0),J30-J29,0)</f>
        <v/>
      </c>
      <c r="L30" s="811" t="n">
        <v>235</v>
      </c>
      <c r="M30" s="812">
        <f>IF(AND(H30=H29,L30-L29&lt;1.1,L30-L29&gt;0),L30-L29,0)</f>
        <v/>
      </c>
      <c r="N30" s="375" t="n">
        <v>2</v>
      </c>
      <c r="O30" s="216">
        <f>IF(K30=0,"-",K30/M30)</f>
        <v/>
      </c>
      <c r="P30" s="260" t="n"/>
      <c r="Q30" s="544" t="n"/>
      <c r="R30" s="808" t="n"/>
      <c r="S30" s="378" t="n"/>
      <c r="X30" s="378" t="n"/>
      <c r="Y30" s="76" t="n"/>
      <c r="Z30" s="77" t="n"/>
    </row>
    <row r="31" ht="32.25" customHeight="1">
      <c r="B31" s="230" t="n">
        <v>0.625</v>
      </c>
      <c r="C31" s="480" t="inlineStr">
        <is>
          <t>MT</t>
        </is>
      </c>
      <c r="D31" s="191" t="n"/>
      <c r="E31" s="191" t="n"/>
      <c r="F31" s="482" t="inlineStr">
        <is>
          <t>SC-BA</t>
        </is>
      </c>
      <c r="G31" s="197" t="n"/>
      <c r="H31" s="806" t="inlineStr">
        <is>
          <t>LS0</t>
        </is>
      </c>
      <c r="I31" s="800" t="n"/>
      <c r="J31" s="483" t="n">
        <v>42</v>
      </c>
      <c r="K31" s="287">
        <f>IF(AND(H31=H30,J31-J30&lt;3000,J31-J30&gt;0),J31-J30,0)</f>
        <v/>
      </c>
      <c r="L31" s="811" t="n">
        <v>236</v>
      </c>
      <c r="M31" s="812">
        <f>IF(AND(H31=H30,L31-L30&lt;1.1,L31-L30&gt;0),L31-L30,0)</f>
        <v/>
      </c>
      <c r="N31" s="375" t="n">
        <v>2</v>
      </c>
      <c r="O31" s="216">
        <f>IF(K31=0,"-",K31/M31)</f>
        <v/>
      </c>
      <c r="P31" s="260" t="n"/>
      <c r="Q31" s="544" t="n"/>
      <c r="R31" s="808" t="n"/>
      <c r="S31" s="378" t="n"/>
      <c r="X31" s="378" t="n"/>
      <c r="Y31" s="76" t="n"/>
      <c r="Z31" s="77" t="n"/>
    </row>
    <row r="32" ht="32.25" customHeight="1">
      <c r="B32" s="230" t="n">
        <v>0.6666666666666666</v>
      </c>
      <c r="C32" s="480" t="inlineStr">
        <is>
          <t>MT</t>
        </is>
      </c>
      <c r="D32" s="191" t="n"/>
      <c r="E32" s="191" t="n"/>
      <c r="F32" s="482" t="inlineStr">
        <is>
          <t>SC-BA</t>
        </is>
      </c>
      <c r="G32" s="272" t="n"/>
      <c r="H32" s="806" t="inlineStr">
        <is>
          <t>LS0</t>
        </is>
      </c>
      <c r="I32" s="800" t="n"/>
      <c r="J32" s="483" t="n">
        <v>42</v>
      </c>
      <c r="K32" s="287">
        <f>IF(AND(H32=H31,J32-J31&lt;3000,J32-J31&gt;0),J32-J31,0)</f>
        <v/>
      </c>
      <c r="L32" s="811" t="n">
        <v>237</v>
      </c>
      <c r="M32" s="812">
        <f>IF(AND(H32=H31,L32-L31&lt;1.1,L32-L31&gt;0),L32-L31,0)</f>
        <v/>
      </c>
      <c r="N32" s="375" t="n">
        <v>2</v>
      </c>
      <c r="O32" s="216">
        <f>IF(K32=0,"-",K32/M32)</f>
        <v/>
      </c>
      <c r="P32" s="327" t="n"/>
      <c r="Q32" s="598" t="n"/>
      <c r="R32" s="808" t="n"/>
      <c r="S32" s="378" t="n"/>
      <c r="X32" s="378" t="n"/>
      <c r="Y32" s="76" t="n"/>
      <c r="Z32" s="77" t="n"/>
    </row>
    <row r="33" ht="32.25" customHeight="1">
      <c r="B33" s="400" t="n">
        <v>0.7083333333333334</v>
      </c>
      <c r="C33" s="398" t="inlineStr">
        <is>
          <t>MT</t>
        </is>
      </c>
      <c r="D33" s="442" t="inlineStr">
        <is>
          <t>T1S210423</t>
        </is>
      </c>
      <c r="E33" s="442" t="inlineStr">
        <is>
          <t>OUEST 120-160</t>
        </is>
      </c>
      <c r="F33" s="488" t="inlineStr">
        <is>
          <t>SC-BA</t>
        </is>
      </c>
      <c r="G33" s="399" t="n"/>
      <c r="H33" s="704" t="inlineStr">
        <is>
          <t>LS0</t>
        </is>
      </c>
      <c r="I33" s="800" t="n"/>
      <c r="J33" s="489" t="n">
        <v>42</v>
      </c>
      <c r="K33" s="405">
        <f>IF(AND(H33=H32,J33-J32&lt;3000,J33-J32&gt;0),J33-J32,0)</f>
        <v/>
      </c>
      <c r="L33" s="801" t="n">
        <v>238</v>
      </c>
      <c r="M33" s="802">
        <f>IF(AND(H33=H32,L33-L32&lt;1.1,L33-L32&gt;0),L33-L32,0)</f>
        <v/>
      </c>
      <c r="N33" s="504" t="n">
        <v>3</v>
      </c>
      <c r="O33" s="443">
        <f>IF(K33=0,"-",K33/M33)</f>
        <v/>
      </c>
      <c r="P33" s="260" t="n"/>
      <c r="Q33" s="545" t="n"/>
      <c r="R33" s="808" t="n"/>
      <c r="S33" s="378" t="n"/>
      <c r="X33" s="378" t="n"/>
      <c r="Y33" s="76" t="n"/>
      <c r="Z33" s="77" t="n"/>
    </row>
    <row r="34" ht="32.25" customFormat="1" customHeight="1" s="310">
      <c r="B34" s="230" t="n">
        <v>0.75</v>
      </c>
      <c r="C34" s="480" t="inlineStr">
        <is>
          <t>MT</t>
        </is>
      </c>
      <c r="D34" s="191" t="n"/>
      <c r="E34" s="191" t="n"/>
      <c r="F34" s="482" t="inlineStr">
        <is>
          <t>SC-BA</t>
        </is>
      </c>
      <c r="G34" s="272" t="n"/>
      <c r="H34" s="806" t="inlineStr">
        <is>
          <t>LS0</t>
        </is>
      </c>
      <c r="I34" s="800" t="n"/>
      <c r="J34" s="184" t="n">
        <v>42</v>
      </c>
      <c r="K34" s="287">
        <f>IF(AND(H34=H33,J34-J33&lt;3000,J34-J33&gt;0),J34-J33,0)</f>
        <v/>
      </c>
      <c r="L34" s="811" t="n">
        <v>238.6</v>
      </c>
      <c r="M34" s="812">
        <f>IF(AND(H34=H33,L34-L33&lt;1.1,L34-L33&gt;0),L34-L33,0)</f>
        <v/>
      </c>
      <c r="N34" s="375" t="n">
        <v>3</v>
      </c>
      <c r="O34" s="216">
        <f>IF(K34=0,"-",K34/M34)</f>
        <v/>
      </c>
      <c r="P34" s="813" t="n"/>
      <c r="Q34" s="804" t="n"/>
      <c r="R34" s="805" t="n"/>
      <c r="S34" s="310" t="n"/>
      <c r="X34" s="378" t="n"/>
      <c r="Y34" s="76" t="n"/>
      <c r="Z34" s="77" t="n"/>
    </row>
    <row r="35" ht="32.25" customFormat="1" customHeight="1" s="332">
      <c r="B35" s="230" t="n">
        <v>0.7916666666666666</v>
      </c>
      <c r="C35" s="480" t="inlineStr">
        <is>
          <t>MT</t>
        </is>
      </c>
      <c r="D35" s="191" t="n"/>
      <c r="E35" s="191" t="n"/>
      <c r="F35" s="482" t="inlineStr">
        <is>
          <t>SC-BA</t>
        </is>
      </c>
      <c r="G35" s="304" t="n"/>
      <c r="H35" s="814" t="inlineStr">
        <is>
          <t>LS0</t>
        </is>
      </c>
      <c r="I35" s="815" t="n"/>
      <c r="J35" s="483" t="n">
        <v>42</v>
      </c>
      <c r="K35" s="287">
        <f>IF(AND(H35=H34,J35-J34&lt;3000,J35-J34&gt;0),J35-J34,0)</f>
        <v/>
      </c>
      <c r="L35" s="811" t="n">
        <v>239.6</v>
      </c>
      <c r="M35" s="812">
        <f>IF(AND(H35=H34,L35-L34&lt;1.1,L35-L34&gt;0),L35-L34,0)</f>
        <v/>
      </c>
      <c r="N35" s="375" t="n">
        <v>3</v>
      </c>
      <c r="O35" s="216">
        <f>IF(K35=0,"-",K35/M35)</f>
        <v/>
      </c>
      <c r="P35" s="816" t="n"/>
      <c r="Q35" s="804" t="n"/>
      <c r="R35" s="805" t="n"/>
      <c r="S35" s="332" t="n"/>
      <c r="X35" s="332" t="n"/>
      <c r="Y35" s="333" t="n"/>
      <c r="Z35" s="334" t="n"/>
    </row>
    <row r="36" ht="32.25" customHeight="1">
      <c r="A36" s="332" t="n"/>
      <c r="B36" s="230" t="n">
        <v>0.8333333333333334</v>
      </c>
      <c r="C36" s="480" t="inlineStr">
        <is>
          <t>MT</t>
        </is>
      </c>
      <c r="D36" s="191" t="n"/>
      <c r="E36" s="191" t="n"/>
      <c r="F36" s="482" t="inlineStr">
        <is>
          <t>SC-BA</t>
        </is>
      </c>
      <c r="G36" s="197" t="n"/>
      <c r="H36" s="806" t="inlineStr">
        <is>
          <t>LS0</t>
        </is>
      </c>
      <c r="I36" s="800" t="n"/>
      <c r="J36" s="184" t="n">
        <v>42</v>
      </c>
      <c r="K36" s="287">
        <f>IF(AND(H36=H35,J36-J35&lt;3000,J36-J35&gt;0),J36-J35,0)</f>
        <v/>
      </c>
      <c r="L36" s="811" t="n">
        <v>240.6</v>
      </c>
      <c r="M36" s="812">
        <f>IF(AND(H36=H35,L36-L35&lt;1.1,L36-L35&gt;0),L36-L35,0)</f>
        <v/>
      </c>
      <c r="N36" s="375" t="n">
        <v>3</v>
      </c>
      <c r="O36" s="216">
        <f>IF(K36=0,"-",K36/M36)</f>
        <v/>
      </c>
      <c r="P36" s="816" t="n"/>
      <c r="Q36" s="804" t="n"/>
      <c r="R36" s="805" t="n"/>
      <c r="S36" s="378" t="n"/>
      <c r="X36" s="378" t="n"/>
      <c r="Y36" s="76" t="n"/>
      <c r="Z36" s="77" t="n"/>
    </row>
    <row r="37" ht="32.25" customHeight="1">
      <c r="A37" s="378" t="n"/>
      <c r="B37" s="230" t="n">
        <v>0.875</v>
      </c>
      <c r="C37" s="480" t="inlineStr">
        <is>
          <t>MT</t>
        </is>
      </c>
      <c r="D37" s="191" t="n"/>
      <c r="E37" s="191" t="n"/>
      <c r="F37" s="482" t="inlineStr">
        <is>
          <t>SC-BA</t>
        </is>
      </c>
      <c r="G37" s="197" t="n"/>
      <c r="H37" s="814" t="inlineStr">
        <is>
          <t>LS0</t>
        </is>
      </c>
      <c r="I37" s="815" t="n"/>
      <c r="J37" s="184" t="n">
        <v>42</v>
      </c>
      <c r="K37" s="287">
        <f>IF(AND(H37=H36,J37-J36&lt;3000,J37-J36&gt;0),J37-J36,0)</f>
        <v/>
      </c>
      <c r="L37" s="811" t="n">
        <v>241.6</v>
      </c>
      <c r="M37" s="812">
        <f>IF(AND(H37=H36,L37-L36&lt;1.1,L37-L36&gt;0),L37-L36,0)</f>
        <v/>
      </c>
      <c r="N37" s="227" t="n">
        <v>3</v>
      </c>
      <c r="O37" s="216">
        <f>IF(K37=0,"-",K37/M37)</f>
        <v/>
      </c>
      <c r="P37" s="260" t="n"/>
      <c r="Q37" s="545" t="n"/>
      <c r="R37" s="808" t="n"/>
      <c r="S37" s="378" t="n"/>
      <c r="X37" s="378" t="n"/>
      <c r="Y37" s="76" t="n"/>
      <c r="Z37" s="77" t="n"/>
    </row>
    <row r="38" ht="32.25" customHeight="1">
      <c r="A38" s="296" t="n"/>
      <c r="B38" s="230" t="n">
        <v>0.9166666666666666</v>
      </c>
      <c r="C38" s="480" t="inlineStr">
        <is>
          <t>MT</t>
        </is>
      </c>
      <c r="D38" s="191" t="n"/>
      <c r="E38" s="191" t="n"/>
      <c r="F38" s="482" t="inlineStr">
        <is>
          <t>SC-BA</t>
        </is>
      </c>
      <c r="G38" s="197" t="n"/>
      <c r="H38" s="814" t="inlineStr">
        <is>
          <t>LS0</t>
        </is>
      </c>
      <c r="I38" s="815" t="n"/>
      <c r="J38" s="184" t="n">
        <v>42</v>
      </c>
      <c r="K38" s="287">
        <f>IF(AND(H38=H37,J38-J37&lt;3000,J38-J37&gt;0),J38-J37,0)</f>
        <v/>
      </c>
      <c r="L38" s="811" t="n">
        <v>242.6</v>
      </c>
      <c r="M38" s="812">
        <f>IF(AND(H38=H37,L38-L37&lt;1.1,L38-L37&gt;0),L38-L37,0)</f>
        <v/>
      </c>
      <c r="N38" s="227" t="n">
        <v>3</v>
      </c>
      <c r="O38" s="216">
        <f>IF(K38=0,"-",K38/M38)</f>
        <v/>
      </c>
      <c r="P38" s="260" t="n"/>
      <c r="Q38" s="545" t="n"/>
      <c r="R38" s="808" t="n"/>
      <c r="S38" s="378" t="n"/>
      <c r="X38" s="378" t="n"/>
      <c r="Y38" s="76" t="n"/>
      <c r="Z38" s="77" t="n"/>
    </row>
    <row r="39" ht="32.25" customHeight="1">
      <c r="B39" s="230" t="n">
        <v>0.9583333333333334</v>
      </c>
      <c r="C39" s="480" t="inlineStr">
        <is>
          <t>MT</t>
        </is>
      </c>
      <c r="D39" s="191" t="n"/>
      <c r="E39" s="191" t="n"/>
      <c r="F39" s="482" t="inlineStr">
        <is>
          <t>SC-BA</t>
        </is>
      </c>
      <c r="G39" s="197" t="n"/>
      <c r="H39" s="814" t="inlineStr">
        <is>
          <t>LS0</t>
        </is>
      </c>
      <c r="I39" s="815" t="n"/>
      <c r="J39" s="418" t="n">
        <v>42</v>
      </c>
      <c r="K39" s="287">
        <f>IF(AND(H39=H38,J39-J38&lt;3000,J39-J38&gt;0),J39-J38,0)</f>
        <v/>
      </c>
      <c r="L39" s="811" t="n">
        <v>243.6</v>
      </c>
      <c r="M39" s="812">
        <f>IF(AND(H39=H38,L39-L38&lt;1.1,L39-L38&gt;0),L39-L38,0)</f>
        <v/>
      </c>
      <c r="N39" s="423" t="n">
        <v>3</v>
      </c>
      <c r="O39" s="326">
        <f>IF(K39=0,"-",K39/M39)</f>
        <v/>
      </c>
      <c r="P39" s="260" t="n"/>
      <c r="Q39" s="545" t="n"/>
      <c r="R39" s="808" t="n"/>
      <c r="S39" s="378" t="n"/>
      <c r="X39" s="378" t="n"/>
      <c r="Y39" s="76" t="n"/>
      <c r="Z39" s="77" t="n"/>
    </row>
    <row r="40" ht="32.25" customFormat="1" customHeight="1" s="247">
      <c r="B40" s="230" t="n">
        <v>1</v>
      </c>
      <c r="C40" s="480" t="inlineStr">
        <is>
          <t>MT</t>
        </is>
      </c>
      <c r="D40" s="191" t="n"/>
      <c r="E40" s="191" t="n"/>
      <c r="F40" s="482" t="inlineStr">
        <is>
          <t>SC-BA</t>
        </is>
      </c>
      <c r="G40" s="719" t="n"/>
      <c r="H40" s="814" t="inlineStr">
        <is>
          <t>LS0</t>
        </is>
      </c>
      <c r="I40" s="815" t="n"/>
      <c r="J40" s="184" t="n">
        <v>42</v>
      </c>
      <c r="K40" s="287">
        <f>IF(AND(H40=H39,J40-J39&lt;3000,J40-J39&gt;0),J40-J39,0)</f>
        <v/>
      </c>
      <c r="L40" s="811" t="n">
        <v>244.6</v>
      </c>
      <c r="M40" s="812">
        <f>IF(AND(H40=H39,L40-L39&lt;1.1,L40-L39&gt;0),L40-L39,0)</f>
        <v/>
      </c>
      <c r="N40" s="227" t="n">
        <v>3</v>
      </c>
      <c r="O40" s="216">
        <f>IF(K40=0,"-",K40/M40)</f>
        <v/>
      </c>
      <c r="P40" s="260" t="n"/>
      <c r="Q40" s="545" t="n"/>
      <c r="R40" s="808" t="n"/>
      <c r="S40" s="247" t="n"/>
      <c r="X40" s="247" t="n"/>
      <c r="Y40" s="248" t="n"/>
      <c r="Z40" s="249" t="n"/>
    </row>
    <row r="41" ht="32.25" customFormat="1" customHeight="1" s="247">
      <c r="B41" s="230" t="n"/>
      <c r="C41" s="190" t="n"/>
      <c r="D41" s="231" t="n"/>
      <c r="E41" s="231" t="n"/>
      <c r="F41" s="192" t="n"/>
      <c r="G41" s="719" t="n"/>
      <c r="H41" s="718" t="n"/>
      <c r="I41" s="800" t="n"/>
      <c r="J41" s="184" t="n">
        <v>42</v>
      </c>
      <c r="K41" s="287">
        <f>IF(AND(H41=H40,J41-J40&lt;3000,J41-J40&gt;0),J41-J40,0)</f>
        <v/>
      </c>
      <c r="L41" s="811" t="n"/>
      <c r="M41" s="812">
        <f>IF(AND(H41=H40,L41-L40&lt;1.1,L41-L40&gt;0),L41-L40,0)</f>
        <v/>
      </c>
      <c r="N41" s="227" t="n"/>
      <c r="O41" s="216">
        <f>IF(K41=0,"-",K41/M41)</f>
        <v/>
      </c>
      <c r="P41" s="260" t="n"/>
      <c r="Q41" s="545" t="n"/>
      <c r="R41" s="808" t="n"/>
      <c r="S41" s="247" t="n"/>
      <c r="X41" s="247" t="n"/>
      <c r="Y41" s="248" t="n"/>
      <c r="Z41" s="249" t="n"/>
    </row>
    <row r="42" ht="32.25" customHeight="1">
      <c r="B42" s="230" t="n"/>
      <c r="C42" s="190" t="n"/>
      <c r="D42" s="231" t="n"/>
      <c r="E42" s="231" t="n"/>
      <c r="F42" s="192" t="n"/>
      <c r="G42" s="719" t="n"/>
      <c r="H42" s="718" t="n"/>
      <c r="I42" s="800" t="n"/>
      <c r="J42" s="184" t="n">
        <v>42</v>
      </c>
      <c r="K42" s="287">
        <f>IF(AND(H42=H41,J42-J41&lt;3000,J42-J41&gt;0),J42-J41,0)</f>
        <v/>
      </c>
      <c r="L42" s="811" t="n"/>
      <c r="M42" s="812">
        <f>IF(AND(H42=H41,L42-L41&lt;1.1,L42-L41&gt;0),L42-L41,0)</f>
        <v/>
      </c>
      <c r="N42" s="227" t="n"/>
      <c r="O42" s="216">
        <f>IF(K42=0,"-",K42/M42)</f>
        <v/>
      </c>
      <c r="P42" s="260" t="n"/>
      <c r="Q42" s="545" t="n"/>
      <c r="R42" s="808" t="n"/>
      <c r="S42" s="378" t="n"/>
      <c r="X42" s="378" t="n"/>
      <c r="Y42" s="76" t="n"/>
      <c r="Z42" s="77" t="n"/>
    </row>
    <row r="43" ht="32.25" customHeight="1">
      <c r="B43" s="230" t="n"/>
      <c r="C43" s="190" t="n"/>
      <c r="D43" s="231" t="n"/>
      <c r="E43" s="231" t="n"/>
      <c r="F43" s="192" t="n"/>
      <c r="G43" s="719" t="n"/>
      <c r="H43" s="718" t="n"/>
      <c r="I43" s="800" t="n"/>
      <c r="J43" s="184" t="n">
        <v>42</v>
      </c>
      <c r="K43" s="287">
        <f>IF(AND(H43=H42,J43-J42&lt;3000,J43-J42&gt;0),J43-J42,0)</f>
        <v/>
      </c>
      <c r="L43" s="811" t="n"/>
      <c r="M43" s="812">
        <f>IF(AND(H43=H42,L43-L42&lt;1.1,L43-L42&gt;0),L43-L42,0)</f>
        <v/>
      </c>
      <c r="N43" s="227" t="n"/>
      <c r="O43" s="216">
        <f>IF(K43=0,"-",K43/M43)</f>
        <v/>
      </c>
      <c r="P43" s="260" t="n"/>
      <c r="Q43" s="545" t="n"/>
      <c r="R43" s="808" t="n"/>
      <c r="S43" s="378" t="n"/>
      <c r="X43" s="378" t="n"/>
      <c r="Y43" s="76" t="n"/>
      <c r="Z43" s="77" t="n"/>
    </row>
    <row r="44" ht="32.25" customHeight="1">
      <c r="B44" s="230" t="n"/>
      <c r="C44" s="190" t="n"/>
      <c r="D44" s="231" t="n"/>
      <c r="E44" s="231" t="n"/>
      <c r="F44" s="192" t="n"/>
      <c r="G44" s="719" t="n"/>
      <c r="H44" s="718" t="n"/>
      <c r="I44" s="800" t="n"/>
      <c r="J44" s="184" t="n">
        <v>42</v>
      </c>
      <c r="K44" s="287">
        <f>IF(AND(H44=H43,J44-J43&lt;3000,J44-J43&gt;0),J44-J43,0)</f>
        <v/>
      </c>
      <c r="L44" s="811" t="n"/>
      <c r="M44" s="812">
        <f>IF(AND(H44=H43,L44-L43&lt;1.1,L44-L43&gt;0),L44-L43,0)</f>
        <v/>
      </c>
      <c r="N44" s="227" t="n"/>
      <c r="O44" s="216">
        <f>IF(K44=0,"-",K44/M44)</f>
        <v/>
      </c>
      <c r="P44" s="260" t="n"/>
      <c r="Q44" s="545" t="n"/>
      <c r="R44" s="808" t="n"/>
      <c r="S44" s="378" t="n"/>
      <c r="X44" s="378" t="n"/>
      <c r="Y44" s="76" t="n"/>
      <c r="Z44" s="77" t="n"/>
    </row>
    <row r="45" ht="32.25" customHeight="1">
      <c r="B45" s="230" t="n"/>
      <c r="C45" s="190" t="n"/>
      <c r="D45" s="231" t="n"/>
      <c r="E45" s="231" t="n"/>
      <c r="F45" s="192" t="n"/>
      <c r="G45" s="719" t="n"/>
      <c r="H45" s="718" t="n"/>
      <c r="I45" s="800" t="n"/>
      <c r="J45" s="184" t="n">
        <v>42</v>
      </c>
      <c r="K45" s="287">
        <f>IF(AND(H45=H44,J45-J44&lt;3000,J45-J44&gt;0),J45-J44,0)</f>
        <v/>
      </c>
      <c r="L45" s="811" t="n"/>
      <c r="M45" s="812">
        <f>IF(AND(H45=H44,L45-L44&lt;1.1,L45-L44&gt;0),L45-L44,0)</f>
        <v/>
      </c>
      <c r="N45" s="227" t="n"/>
      <c r="O45" s="216">
        <f>IF(K45=0,"-",K45/M45)</f>
        <v/>
      </c>
      <c r="P45" s="318" t="n"/>
      <c r="Q45" s="610" t="n"/>
      <c r="R45" s="808" t="n"/>
      <c r="S45" s="378" t="n"/>
      <c r="X45" s="378" t="n"/>
      <c r="Y45" s="76" t="n"/>
      <c r="Z45" s="77" t="n"/>
    </row>
    <row r="46" ht="32.25" customHeight="1">
      <c r="B46" s="230" t="n"/>
      <c r="C46" s="190" t="n"/>
      <c r="D46" s="231" t="n"/>
      <c r="E46" s="231" t="n"/>
      <c r="F46" s="143" t="n"/>
      <c r="G46" s="719" t="n"/>
      <c r="H46" s="718" t="n"/>
      <c r="I46" s="800" t="n"/>
      <c r="J46" s="184" t="n"/>
      <c r="K46" s="287">
        <f>IF(AND(H46=H45,J46-J45&lt;3000,J46-J45&gt;0),J46-J45,0)</f>
        <v/>
      </c>
      <c r="L46" s="811" t="n"/>
      <c r="M46" s="812">
        <f>IF(AND(H46=H45,L46-L45&lt;1.1,L46-L45&gt;0),L46-L45,0)</f>
        <v/>
      </c>
      <c r="N46" s="227" t="n"/>
      <c r="O46" s="216">
        <f>IF(K46=0,"-",K46/M46)</f>
        <v/>
      </c>
      <c r="P46" s="260" t="n"/>
      <c r="Q46" s="545" t="n"/>
      <c r="R46" s="808" t="n"/>
      <c r="S46" s="378" t="n"/>
      <c r="X46" s="378" t="n"/>
      <c r="Y46" s="76" t="n"/>
      <c r="Z46" s="77" t="n"/>
    </row>
    <row r="47" ht="32.25" customHeight="1">
      <c r="B47" s="218" t="n"/>
      <c r="C47" s="200" t="n"/>
      <c r="D47" s="201" t="inlineStr">
        <is>
          <t>Vidange</t>
        </is>
      </c>
      <c r="E47" s="202" t="n"/>
      <c r="F47" s="203" t="n"/>
      <c r="G47" s="204" t="n"/>
      <c r="H47" s="817" t="n"/>
      <c r="I47" s="800" t="n"/>
      <c r="J47" s="180" t="n"/>
      <c r="K47" s="359">
        <f>IF(AND(H47=H46,J47-J46&lt;3000,J47-J46&gt;0),J47-J46,0)</f>
        <v/>
      </c>
      <c r="L47" s="360" t="n"/>
      <c r="M47" s="818">
        <f>IF(AND(H47=H46,L47-L46&lt;1.1,L47-L46&gt;0),L47-L46,0)</f>
        <v/>
      </c>
      <c r="N47" s="205" t="n"/>
      <c r="O47" s="250">
        <f>IF(K47=0,"-",K47/M47)</f>
        <v/>
      </c>
      <c r="P47" s="261" t="n"/>
      <c r="Q47" s="608" t="n"/>
      <c r="R47" s="808" t="n"/>
      <c r="S47" s="378" t="n"/>
      <c r="X47" s="378" t="n"/>
      <c r="Y47" s="76" t="n"/>
      <c r="Z47" s="77" t="n"/>
    </row>
    <row r="48" ht="32.25" customFormat="1" customHeight="1" s="378">
      <c r="B48" s="400" t="n"/>
      <c r="C48" s="398" t="inlineStr">
        <is>
          <t>TBT</t>
        </is>
      </c>
      <c r="D48" s="442" t="inlineStr">
        <is>
          <t>T1S200423</t>
        </is>
      </c>
      <c r="E48" s="442" t="inlineStr">
        <is>
          <t>EST 160-200</t>
        </is>
      </c>
      <c r="F48" s="488" t="inlineStr">
        <is>
          <t>SC-PW</t>
        </is>
      </c>
      <c r="G48" s="399" t="inlineStr">
        <is>
          <t>H4N 70/110</t>
        </is>
      </c>
      <c r="H48" s="704" t="inlineStr">
        <is>
          <t>H4</t>
        </is>
      </c>
      <c r="I48" s="800" t="n"/>
      <c r="J48" s="510" t="n">
        <v>164570</v>
      </c>
      <c r="K48" s="405" t="n"/>
      <c r="L48" s="819" t="n">
        <v>0.8</v>
      </c>
      <c r="M48" s="802" t="n"/>
      <c r="N48" s="409" t="n"/>
      <c r="O48" s="443">
        <f>IF(K48=0,"-",K48/M48)</f>
        <v/>
      </c>
      <c r="P48" s="490" t="n"/>
      <c r="Q48" s="540" t="n"/>
      <c r="R48" s="808" t="n"/>
      <c r="S48" s="378" t="n"/>
      <c r="X48" s="378" t="n"/>
      <c r="Y48" s="76" t="n"/>
      <c r="Z48" s="77" t="n"/>
    </row>
    <row r="49" ht="32.25" customHeight="1">
      <c r="B49" s="316" t="n">
        <v>0.08333333333333333</v>
      </c>
      <c r="C49" s="480" t="inlineStr">
        <is>
          <t>TBT</t>
        </is>
      </c>
      <c r="D49" s="294" t="n"/>
      <c r="E49" s="294" t="n"/>
      <c r="F49" s="482" t="inlineStr">
        <is>
          <t>SC-PW</t>
        </is>
      </c>
      <c r="G49" s="304" t="n"/>
      <c r="H49" s="806" t="inlineStr">
        <is>
          <t>H4</t>
        </is>
      </c>
      <c r="I49" s="800" t="n"/>
      <c r="J49" s="483" t="n">
        <v>166100</v>
      </c>
      <c r="K49" s="299">
        <f>IF(AND(H49=H48,J49-J48&lt;3000,J49-J48&gt;0),J49-J48,0)</f>
        <v/>
      </c>
      <c r="L49" s="811" t="n">
        <v>1.5</v>
      </c>
      <c r="M49" s="812">
        <f>IF(AND(H49=H48,L49-L48&lt;1.1,L49-L48&gt;0),L49-L48,0)</f>
        <v/>
      </c>
      <c r="N49" s="292" t="n">
        <v>1</v>
      </c>
      <c r="O49" s="301">
        <f>IF(K49=0,"-",K49/M49)</f>
        <v/>
      </c>
      <c r="P49" s="291" t="n"/>
      <c r="Q49" s="542" t="n"/>
      <c r="R49" s="808" t="n"/>
      <c r="S49" s="378" t="n"/>
      <c r="X49" s="378" t="n"/>
      <c r="Y49" s="76" t="n"/>
      <c r="Z49" s="77" t="n"/>
    </row>
    <row r="50" ht="32.25" customHeight="1">
      <c r="B50" s="316" t="n">
        <v>0.125</v>
      </c>
      <c r="C50" s="480" t="inlineStr">
        <is>
          <t>TBT</t>
        </is>
      </c>
      <c r="D50" s="294" t="n"/>
      <c r="E50" s="294" t="n"/>
      <c r="F50" s="482" t="inlineStr">
        <is>
          <t>SC-PW</t>
        </is>
      </c>
      <c r="G50" s="304" t="n"/>
      <c r="H50" s="806" t="inlineStr">
        <is>
          <t>H4</t>
        </is>
      </c>
      <c r="I50" s="800" t="n"/>
      <c r="J50" s="483" t="n">
        <v>166960</v>
      </c>
      <c r="K50" s="299">
        <f>IF(AND(H50=H49,J50-J49&lt;3000,J50-J49&gt;0),J50-J49,0)</f>
        <v/>
      </c>
      <c r="L50" s="811" t="n">
        <v>1.9</v>
      </c>
      <c r="M50" s="812">
        <f>IF(AND(H50=H49,L50-L49&lt;1.1,L50-L49&gt;0),L50-L49,0)</f>
        <v/>
      </c>
      <c r="N50" s="292" t="n">
        <v>1</v>
      </c>
      <c r="O50" s="301">
        <f>IF(K50=0,"-",K50/M50)</f>
        <v/>
      </c>
      <c r="P50" s="291" t="n"/>
      <c r="Q50" s="544" t="n"/>
      <c r="R50" s="808" t="n"/>
      <c r="S50" s="378" t="n"/>
      <c r="X50" s="378" t="n"/>
      <c r="Y50" s="76" t="n"/>
      <c r="Z50" s="77" t="n"/>
    </row>
    <row r="51" ht="32.25" customFormat="1" customHeight="1" s="332">
      <c r="B51" s="297" t="n"/>
      <c r="C51" s="336" t="n"/>
      <c r="D51" s="338" t="n"/>
      <c r="E51" s="338" t="n"/>
      <c r="F51" s="342" t="n"/>
      <c r="G51" s="337" t="n"/>
      <c r="H51" s="820" t="n"/>
      <c r="I51" s="800" t="n"/>
      <c r="J51" s="330" t="n"/>
      <c r="K51" s="299">
        <f>IF(AND(H51=H50,J51-J50&lt;3000,J51-J50&gt;0),J51-J50,0)</f>
        <v/>
      </c>
      <c r="L51" s="821" t="n"/>
      <c r="M51" s="822">
        <f>IF(AND(H51=H50,L51-L50&lt;1.1,L51-L50&gt;0),L51-L50,0)</f>
        <v/>
      </c>
      <c r="N51" s="343" t="n"/>
      <c r="O51" s="344">
        <f>IF(K51=0,"-",K51/M51)</f>
        <v/>
      </c>
      <c r="P51" s="339" t="n"/>
      <c r="Q51" s="340" t="n"/>
      <c r="R51" s="345" t="n"/>
      <c r="S51" s="332" t="n"/>
      <c r="X51" s="332" t="n"/>
      <c r="Y51" s="333" t="n"/>
      <c r="Z51" s="334" t="n"/>
    </row>
    <row r="52" ht="32.25" customHeight="1">
      <c r="B52" s="322" t="n"/>
      <c r="C52" s="323" t="n"/>
      <c r="D52" s="270" t="n"/>
      <c r="E52" s="270" t="n"/>
      <c r="F52" s="324" t="n"/>
      <c r="G52" s="272" t="n"/>
      <c r="H52" s="823" t="n"/>
      <c r="I52" s="815" t="n"/>
      <c r="J52" s="418" t="n"/>
      <c r="K52" s="287">
        <f>IF(AND(H52=H51,J52-J51&lt;3000,J52-J51&gt;0),J52-J51,0)</f>
        <v/>
      </c>
      <c r="L52" s="811" t="n"/>
      <c r="M52" s="812">
        <f>IF(AND(H52=H51,L52-L51&lt;1.1,L52-L51&gt;0),L52-L51,0)</f>
        <v/>
      </c>
      <c r="N52" s="423" t="n"/>
      <c r="O52" s="326">
        <f>IF(K52=0,"-",K52/M52)</f>
        <v/>
      </c>
      <c r="P52" s="260" t="n"/>
      <c r="Q52" s="545" t="n"/>
      <c r="R52" s="546" t="n"/>
      <c r="S52" s="378" t="n"/>
      <c r="X52" s="378" t="n"/>
      <c r="Y52" s="76" t="n"/>
      <c r="Z52" s="77" t="n"/>
    </row>
    <row r="53" ht="32.25" customHeight="1">
      <c r="B53" s="230" t="n"/>
      <c r="C53" s="190" t="n"/>
      <c r="D53" s="231" t="n"/>
      <c r="E53" s="231" t="n"/>
      <c r="F53" s="143" t="n"/>
      <c r="G53" s="197" t="n"/>
      <c r="H53" s="718" t="n"/>
      <c r="I53" s="800" t="n"/>
      <c r="J53" s="184" t="n"/>
      <c r="K53" s="287">
        <f>IF(AND(H53=H52,J53-J52&lt;3000,J53-J52&gt;0),J53-J52,0)</f>
        <v/>
      </c>
      <c r="L53" s="811" t="n"/>
      <c r="M53" s="812">
        <f>IF(AND(H53=H52,L53-L52&lt;1.1,L53-L52&gt;0),L53-L52,0)</f>
        <v/>
      </c>
      <c r="N53" s="227" t="n"/>
      <c r="O53" s="216">
        <f>IF(K53=0,"-",K53/M53)</f>
        <v/>
      </c>
      <c r="P53" s="260" t="n"/>
      <c r="Q53" s="545" t="n"/>
      <c r="R53" s="546" t="n"/>
      <c r="S53" s="378" t="n"/>
      <c r="X53" s="378" t="n"/>
      <c r="Y53" s="76" t="n"/>
      <c r="Z53" s="77" t="n"/>
    </row>
    <row r="54" ht="32.25" customHeight="1">
      <c r="B54" s="230" t="n"/>
      <c r="C54" s="206" t="n"/>
      <c r="D54" s="231" t="n"/>
      <c r="E54" s="231" t="n"/>
      <c r="F54" s="143" t="n"/>
      <c r="G54" s="719" t="n"/>
      <c r="H54" s="718" t="n"/>
      <c r="I54" s="800" t="n"/>
      <c r="J54" s="184" t="n"/>
      <c r="K54" s="287">
        <f>IF(AND(H54=H53,J54-J53&lt;3000,J54-J53&gt;0),J54-J53,0)</f>
        <v/>
      </c>
      <c r="L54" s="483" t="n"/>
      <c r="M54" s="812">
        <f>IF(AND(H54=H53,L54-L53&lt;1.1,L54-L53&gt;0),L54-L53,0)</f>
        <v/>
      </c>
      <c r="N54" s="227" t="n"/>
      <c r="O54" s="216">
        <f>IF(K54=0,"-",K54/M54)</f>
        <v/>
      </c>
      <c r="P54" s="260">
        <f>IF(F54="sc-ba"," SC-BA","")</f>
        <v/>
      </c>
      <c r="Q54" s="545" t="n"/>
      <c r="R54" s="808" t="n"/>
      <c r="S54" s="378" t="n"/>
      <c r="X54" s="378" t="n"/>
      <c r="Y54" s="76" t="n"/>
      <c r="Z54" s="77" t="n"/>
    </row>
    <row r="55" ht="32.25" customHeight="1" thickBot="1">
      <c r="B55" s="306" t="n"/>
      <c r="C55" s="357" t="n"/>
      <c r="D55" s="308" t="n"/>
      <c r="E55" s="308" t="n"/>
      <c r="F55" s="389" t="n"/>
      <c r="G55" s="721" t="n"/>
      <c r="H55" s="720" t="n"/>
      <c r="I55" s="824" t="n"/>
      <c r="J55" s="240" t="n"/>
      <c r="K55" s="363">
        <f>IF(AND(H55=H54,J55-J54&lt;3000,J55-J54&gt;0),J55-J54,0)</f>
        <v/>
      </c>
      <c r="L55" s="364" t="n"/>
      <c r="M55" s="825">
        <f>IF(AND(H55=H54,L55-L54&lt;1.1,L55-L54&gt;0),L55-L54,0)</f>
        <v/>
      </c>
      <c r="N55" s="235" t="n"/>
      <c r="O55" s="355">
        <f>IF(K55=0,"-",K55/M55)</f>
        <v/>
      </c>
      <c r="P55" s="262">
        <f>IF(F55="sc-ba"," SC-BA","")</f>
        <v/>
      </c>
      <c r="Q55" s="547" t="n"/>
      <c r="R55" s="826" t="n"/>
      <c r="S55" s="378" t="n"/>
      <c r="X55" s="378" t="n"/>
      <c r="Y55" s="76" t="n"/>
      <c r="Z55" s="77" t="n"/>
    </row>
    <row r="56" ht="17.25" customHeight="1" thickBot="1">
      <c r="H56" s="568" t="n"/>
      <c r="X56" s="378" t="n"/>
      <c r="Y56" s="76" t="n"/>
      <c r="Z56" s="77" t="n"/>
    </row>
    <row r="57" ht="30.4" customHeight="1" thickBot="1">
      <c r="B57" s="569" t="inlineStr">
        <is>
          <t>Qualité</t>
        </is>
      </c>
      <c r="C57" s="827" t="n"/>
      <c r="D57" s="570" t="inlineStr">
        <is>
          <t>Destination</t>
        </is>
      </c>
      <c r="E57" s="570" t="inlineStr">
        <is>
          <t>Tonnage brut</t>
        </is>
      </c>
      <c r="F57" s="827" t="n"/>
      <c r="G57" s="570" t="inlineStr">
        <is>
          <t>Tge S/M</t>
        </is>
      </c>
      <c r="H57" s="792" t="n"/>
      <c r="I57" s="827" t="n"/>
      <c r="J57" s="570" t="inlineStr">
        <is>
          <t>H.M</t>
        </is>
      </c>
      <c r="K57" s="570" t="inlineStr">
        <is>
          <t>T/H</t>
        </is>
      </c>
      <c r="L57" s="827" t="n"/>
      <c r="M57" s="568" t="n"/>
      <c r="N57" s="568" t="n"/>
      <c r="P57" s="82" t="inlineStr">
        <is>
          <t>Tonnage brut</t>
        </is>
      </c>
      <c r="Q57" s="83" t="inlineStr">
        <is>
          <t>HM</t>
        </is>
      </c>
      <c r="R57" s="84" t="inlineStr">
        <is>
          <t>T/H</t>
        </is>
      </c>
      <c r="S57" s="605" t="n"/>
      <c r="X57" s="378" t="n"/>
      <c r="Y57" s="76" t="n"/>
      <c r="Z57" s="77" t="n"/>
    </row>
    <row r="58" ht="32.25" customHeight="1">
      <c r="B58" s="828" t="inlineStr">
        <is>
          <t>BTR</t>
        </is>
      </c>
      <c r="C58" s="815" t="n"/>
      <c r="D58" s="253" t="inlineStr">
        <is>
          <t>SC-BA</t>
        </is>
      </c>
      <c r="E58" s="563">
        <f>SUMIFS('RPT1'!$K$17:$K$55,'RPT1'!$C$17:$C$55,'RPT1'!B58,'RPT1'!$F$17:$F$55,D58)</f>
        <v/>
      </c>
      <c r="F58" s="800" t="n"/>
      <c r="G58" s="563">
        <f>SUMIFS('RPT1'!$D$87:$D$120,'RPT1'!$B$87:$B$120,'RPT1'!D58,'RPT1'!$C$87:$C$120,'RPT1'!B58)*E58</f>
        <v/>
      </c>
      <c r="H58" s="829" t="n"/>
      <c r="I58" s="800" t="n"/>
      <c r="J58" s="830">
        <f>SUMIFS('RPT1'!$M$17:$M$55,'RPT1'!$C$17:$C$55,'RPT1'!B58,'RPT1'!$F$17:$F$55,D58)</f>
        <v/>
      </c>
      <c r="K58" s="831">
        <f>IF(E58=0,"-",E58/J58)</f>
        <v/>
      </c>
      <c r="L58" s="832" t="n"/>
      <c r="M58" s="10" t="n"/>
      <c r="N58" s="59" t="inlineStr">
        <is>
          <t>Poste</t>
        </is>
      </c>
      <c r="O58" s="64" t="n">
        <v>1</v>
      </c>
      <c r="P58" s="168">
        <f>SUMIFS('RPT1'!$K$17:$K$55,'RPT1'!$N$17:$N$55,O58)</f>
        <v/>
      </c>
      <c r="Q58" s="833">
        <f>SUMIFS('RPT1'!$M$17:$M$55,'RPT1'!$N$17:$N$55,O58)</f>
        <v/>
      </c>
      <c r="R58" s="169">
        <f>P58/Q58</f>
        <v/>
      </c>
      <c r="S58" s="11" t="n"/>
      <c r="X58" s="378" t="n"/>
      <c r="Y58" s="76" t="n"/>
      <c r="Z58" s="77" t="n"/>
    </row>
    <row r="59" ht="32.25" customHeight="1">
      <c r="B59" s="834" t="inlineStr">
        <is>
          <t>TBT</t>
        </is>
      </c>
      <c r="C59" s="800" t="n"/>
      <c r="D59" s="253" t="inlineStr">
        <is>
          <t>SC-PW</t>
        </is>
      </c>
      <c r="E59" s="563">
        <f>SUMIFS('RPT1'!$K$17:$K$55,'RPT1'!$C$17:$C$55,'RPT1'!B59,'RPT1'!$F$17:$F$55,D59)</f>
        <v/>
      </c>
      <c r="F59" s="800" t="n"/>
      <c r="G59" s="563">
        <f>SUMIFS('RPT1'!$D$87:$D$120,'RPT1'!$B$87:$B$120,'RPT1'!D59,'RPT1'!$C$87:$C$120,'RPT1'!B59)*E59</f>
        <v/>
      </c>
      <c r="H59" s="829" t="n"/>
      <c r="I59" s="800" t="n"/>
      <c r="J59" s="830">
        <f>SUMIFS('RPT1'!$M$17:$M$55,'RPT1'!$C$17:$C$55,'RPT1'!B59,'RPT1'!$F$17:$F$55,D59)</f>
        <v/>
      </c>
      <c r="K59" s="835">
        <f>IF(E59=0,"-",E59/J59)</f>
        <v/>
      </c>
      <c r="L59" s="836" t="n"/>
      <c r="M59" s="10" t="n"/>
      <c r="N59" s="60" t="inlineStr">
        <is>
          <t>Poste</t>
        </is>
      </c>
      <c r="O59" s="65" t="n">
        <v>2</v>
      </c>
      <c r="P59" s="170">
        <f>SUMIFS('RPT1'!$K$17:$K$55,'RPT1'!$N$17:$N$55,O59)</f>
        <v/>
      </c>
      <c r="Q59" s="837">
        <f>SUMIFS('RPT1'!$M$17:$M$55,'RPT1'!$N$17:$N$55,O59)</f>
        <v/>
      </c>
      <c r="R59" s="171">
        <f>P59/Q59</f>
        <v/>
      </c>
      <c r="S59" s="11" t="n"/>
      <c r="X59" s="378" t="n"/>
      <c r="Y59" s="76" t="n"/>
      <c r="Z59" s="77" t="n"/>
    </row>
    <row r="60" ht="32.25" customHeight="1" thickBot="1">
      <c r="B60" s="834" t="inlineStr">
        <is>
          <t>MT</t>
        </is>
      </c>
      <c r="C60" s="800" t="n"/>
      <c r="D60" s="134" t="inlineStr">
        <is>
          <t>SC-BA</t>
        </is>
      </c>
      <c r="E60" s="563">
        <f>SUMIFS('RPT1'!$K$17:$K$55,'RPT1'!$C$17:$C$55,'RPT1'!B60,'RPT1'!$F$17:$F$55,D60)</f>
        <v/>
      </c>
      <c r="F60" s="800" t="n"/>
      <c r="G60" s="563">
        <f>SUMIFS('RPT1'!$D$87:$D$120,'RPT1'!$B$87:$B$120,'RPT1'!D60,'RPT1'!$C$87:$C$120,'RPT1'!B60)*E60</f>
        <v/>
      </c>
      <c r="H60" s="829" t="n"/>
      <c r="I60" s="800" t="n"/>
      <c r="J60" s="830">
        <f>SUMIFS('RPT1'!$M$17:$M$55,'RPT1'!$C$17:$C$55,'RPT1'!B60,'RPT1'!$F$17:$F$55,D60)</f>
        <v/>
      </c>
      <c r="K60" s="835">
        <f>IF(E60=0,"-",E60/J60)</f>
        <v/>
      </c>
      <c r="L60" s="836" t="n"/>
      <c r="M60" s="10" t="n"/>
      <c r="N60" s="61" t="inlineStr">
        <is>
          <t>Poste</t>
        </is>
      </c>
      <c r="O60" s="66" t="n">
        <v>3</v>
      </c>
      <c r="P60" s="172">
        <f>SUMIFS('RPT1'!$K$17:$K$55,'RPT1'!$N$17:$N$55,O60)</f>
        <v/>
      </c>
      <c r="Q60" s="838">
        <f>SUMIFS('RPT1'!$M$17:$M$55,'RPT1'!$N$17:$N$55,O60)</f>
        <v/>
      </c>
      <c r="R60" s="173">
        <f>P60/Q60</f>
        <v/>
      </c>
      <c r="S60" s="11" t="n"/>
    </row>
    <row r="61" ht="32.25" customHeight="1">
      <c r="B61" s="834" t="n"/>
      <c r="C61" s="800" t="n"/>
      <c r="D61" s="134" t="n"/>
      <c r="E61" s="563">
        <f>SUMIFS('RPT1'!$K$17:$K$55,'RPT1'!$C$17:$C$55,'RPT1'!B61,'RPT1'!$F$17:$F$55,D61)</f>
        <v/>
      </c>
      <c r="F61" s="800" t="n"/>
      <c r="G61" s="563">
        <f>SUMIFS('RPT1'!$D$87:$D$120,'RPT1'!$B$87:$B$120,'RPT1'!D61,'RPT1'!$C$87:$C$120,'RPT1'!B61)*E61</f>
        <v/>
      </c>
      <c r="H61" s="829" t="n"/>
      <c r="I61" s="800" t="n"/>
      <c r="J61" s="830">
        <f>SUMIFS('RPT1'!$M$17:$M$55,'RPT1'!$C$17:$C$55,'RPT1'!B61,'RPT1'!$F$17:$F$55,D61)</f>
        <v/>
      </c>
      <c r="K61" s="835">
        <f>IF(E61=0,"-",E61/J61)</f>
        <v/>
      </c>
      <c r="L61" s="836" t="n"/>
      <c r="M61" s="10" t="n"/>
      <c r="N61" s="10" t="n"/>
      <c r="O61" s="605" t="n"/>
      <c r="S61" s="11" t="n"/>
    </row>
    <row r="62" ht="32.25" customHeight="1" thickBot="1">
      <c r="B62" s="834" t="n"/>
      <c r="C62" s="800" t="n"/>
      <c r="D62" s="134" t="n"/>
      <c r="E62" s="563">
        <f>SUMIFS('RPT1'!$K$17:$K$55,'RPT1'!$C$17:$C$55,'RPT1'!B62,'RPT1'!$F$17:$F$55,D62)</f>
        <v/>
      </c>
      <c r="F62" s="800" t="n"/>
      <c r="G62" s="563">
        <f>SUMIFS('RPT1'!$D$87:$D$120,'RPT1'!$B$87:$B$120,'RPT1'!D62,'RPT1'!$C$87:$C$120,'RPT1'!B62)*E62</f>
        <v/>
      </c>
      <c r="H62" s="829" t="n"/>
      <c r="I62" s="800" t="n"/>
      <c r="J62" s="830">
        <f>SUMIFS('RPT1'!$M$17:$M$55,'RPT1'!$C$17:$C$55,'RPT1'!B62,'RPT1'!$F$17:$F$55,D62)</f>
        <v/>
      </c>
      <c r="K62" s="835">
        <f>IF(E62=0,"-",E62/J62)</f>
        <v/>
      </c>
      <c r="L62" s="836" t="n"/>
      <c r="M62" s="10" t="n"/>
      <c r="N62" s="10" t="n"/>
      <c r="O62" s="11" t="n"/>
      <c r="P62" s="11" t="n"/>
      <c r="Q62" s="11" t="n"/>
      <c r="R62" s="11" t="n"/>
      <c r="S62" s="11" t="n"/>
    </row>
    <row r="63" ht="32.25" customHeight="1" thickBot="1">
      <c r="B63" s="834" t="n"/>
      <c r="C63" s="800" t="n"/>
      <c r="D63" s="134" t="n"/>
      <c r="E63" s="563">
        <f>SUMIFS('RPT1'!$K$17:$K$55,'RPT1'!$C$17:$C$55,'RPT1'!B63,'RPT1'!$F$17:$F$55,D63)</f>
        <v/>
      </c>
      <c r="F63" s="800" t="n"/>
      <c r="G63" s="563">
        <f>SUMIFS('RPT1'!$D$87:$D$120,'RPT1'!$B$87:$B$120,'RPT1'!D63,'RPT1'!$C$87:$C$120,'RPT1'!B63)*E63</f>
        <v/>
      </c>
      <c r="H63" s="829" t="n"/>
      <c r="I63" s="800" t="n"/>
      <c r="J63" s="830">
        <f>SUMIFS('RPT1'!$M$17:$M$55,'RPT1'!$C$17:$C$55,'RPT1'!B63,'RPT1'!$F$17:$F$55,D63)</f>
        <v/>
      </c>
      <c r="K63" s="835">
        <f>IF(E63=0,"-",E63/J63)</f>
        <v/>
      </c>
      <c r="L63" s="836" t="n"/>
      <c r="M63" s="10" t="n"/>
      <c r="P63" s="128" t="inlineStr">
        <is>
          <t>HM</t>
        </is>
      </c>
      <c r="Q63" s="11" t="n"/>
      <c r="R63" s="11" t="n"/>
      <c r="S63" s="11" t="n"/>
    </row>
    <row r="64" ht="32.25" customHeight="1" thickBot="1">
      <c r="B64" s="834" t="n"/>
      <c r="C64" s="800" t="n"/>
      <c r="D64" s="134" t="n"/>
      <c r="E64" s="563">
        <f>SUMIFS('RPT1'!$K$17:$K$55,'RPT1'!$C$17:$C$55,'RPT1'!B64,'RPT1'!$F$17:$F$55,D64)</f>
        <v/>
      </c>
      <c r="F64" s="800" t="n"/>
      <c r="G64" s="563">
        <f>SUMIFS('RPT1'!$D$87:$D$120,'RPT1'!$B$87:$B$120,'RPT1'!D64,'RPT1'!$C$87:$C$120,'RPT1'!B64)*E64</f>
        <v/>
      </c>
      <c r="H64" s="829" t="n"/>
      <c r="I64" s="800" t="n"/>
      <c r="J64" s="830">
        <f>SUMIFS('RPT1'!$M$17:$M$55,'RPT1'!$C$17:$C$55,'RPT1'!B64,'RPT1'!$F$17:$F$55,D64)</f>
        <v/>
      </c>
      <c r="K64" s="835">
        <f>IF(E64=0,"-",E64/J64)</f>
        <v/>
      </c>
      <c r="L64" s="836" t="n"/>
      <c r="M64" s="10" t="n"/>
      <c r="N64" s="839" t="inlineStr">
        <is>
          <t>H4</t>
        </is>
      </c>
      <c r="O64" s="793" t="n"/>
      <c r="P64" s="840">
        <f>SUMIFS('RPT1'!$M$17:$M$54,'RPT1'!$H$17:$H$54,'RPT1'!N64)</f>
        <v/>
      </c>
      <c r="Q64" s="11" t="n"/>
      <c r="R64" s="11" t="n"/>
      <c r="S64" s="11" t="n"/>
    </row>
    <row r="65" ht="32.25" customHeight="1" thickBot="1">
      <c r="B65" s="841" t="n"/>
      <c r="C65" s="824" t="n"/>
      <c r="D65" s="136" t="n"/>
      <c r="E65" s="626">
        <f>SUMIFS('RPT1'!$K$17:$K$55,'RPT1'!$C$17:$C$55,'RPT1'!B65,'RPT1'!$F$17:$F$55,D65)</f>
        <v/>
      </c>
      <c r="F65" s="824" t="n"/>
      <c r="G65" s="626">
        <f>SUMIFS('RPT1'!$D$87:$D$120,'RPT1'!$B$87:$B$120,'RPT1'!D65,'RPT1'!$C$87:$C$120,'RPT1'!B65)*E65</f>
        <v/>
      </c>
      <c r="H65" s="842" t="n"/>
      <c r="I65" s="824" t="n"/>
      <c r="J65" s="843">
        <f>SUMIFS('RPT1'!$M$17:$M$55,'RPT1'!$C$17:$C$55,'RPT1'!B65,'RPT1'!$F$17:$F$55,D65)</f>
        <v/>
      </c>
      <c r="K65" s="844">
        <f>IF(E65=0,"-",E65/J65)</f>
        <v/>
      </c>
      <c r="L65" s="845" t="n"/>
      <c r="N65" s="839" t="inlineStr">
        <is>
          <t>H6</t>
        </is>
      </c>
      <c r="O65" s="793" t="n"/>
      <c r="P65" s="840">
        <f>SUMIFS('RPT1'!$M$17:$M$54,'RPT1'!$H$17:$H$54,'RPT1'!N65)</f>
        <v/>
      </c>
      <c r="Q65" s="378" t="n"/>
      <c r="R65" s="378" t="n"/>
      <c r="S65" s="11" t="n"/>
    </row>
    <row r="66" ht="43.5" customHeight="1" thickBot="1">
      <c r="B66" s="846" t="inlineStr">
        <is>
          <t>Total</t>
        </is>
      </c>
      <c r="C66" s="792" t="n"/>
      <c r="D66" s="793" t="n"/>
      <c r="E66" s="847">
        <f>SUM(E58:F65)</f>
        <v/>
      </c>
      <c r="F66" s="793" t="n"/>
      <c r="G66" s="848">
        <f>SUM(G58:I65)</f>
        <v/>
      </c>
      <c r="H66" s="792" t="n"/>
      <c r="I66" s="793" t="n"/>
      <c r="J66" s="849">
        <f>SUM(J58:J65)</f>
        <v/>
      </c>
      <c r="K66" s="848">
        <f>E66/J66</f>
        <v/>
      </c>
      <c r="L66" s="793" t="n"/>
      <c r="N66" s="759" t="inlineStr">
        <is>
          <t>Total</t>
        </is>
      </c>
      <c r="O66" s="623" t="n"/>
      <c r="P66" s="840">
        <f>SUM(P64:P65)</f>
        <v/>
      </c>
    </row>
    <row r="67" ht="32.25" customHeight="1" thickBot="1">
      <c r="N67" s="378" t="n"/>
      <c r="O67" s="378" t="n"/>
      <c r="P67" s="378" t="n"/>
    </row>
    <row r="68" ht="33.6" customHeight="1" thickBot="1">
      <c r="B68" s="616" t="n"/>
      <c r="C68" s="850" t="n"/>
      <c r="D68" s="618" t="inlineStr">
        <is>
          <t>Destination</t>
        </is>
      </c>
      <c r="E68" s="618" t="inlineStr">
        <is>
          <t>Tonnage brut</t>
        </is>
      </c>
      <c r="F68" s="793" t="n"/>
      <c r="G68" s="618" t="inlineStr">
        <is>
          <t>Tge S/M</t>
        </is>
      </c>
      <c r="H68" s="792" t="n"/>
      <c r="I68" s="793" t="n"/>
      <c r="J68" s="618" t="inlineStr">
        <is>
          <t>H.M</t>
        </is>
      </c>
      <c r="K68" s="618" t="inlineStr">
        <is>
          <t>T/H</t>
        </is>
      </c>
      <c r="L68" s="793" t="n"/>
    </row>
    <row r="69" ht="32.25" customHeight="1" thickBot="1">
      <c r="B69" s="612" t="n"/>
      <c r="C69" s="850" t="n"/>
      <c r="D69" s="155" t="inlineStr">
        <is>
          <t>SC-PW</t>
        </is>
      </c>
      <c r="E69" s="614">
        <f>SUMIFS('RPT1'!$E$58:$E$65,'RPT1'!$D$58:$D$65,D69)</f>
        <v/>
      </c>
      <c r="F69" s="793" t="n"/>
      <c r="G69" s="615">
        <f>SUMIFS('RPT1'!$G$58:$G$65,'RPT1'!$D$58:$D$65,D69)</f>
        <v/>
      </c>
      <c r="H69" s="792" t="n"/>
      <c r="I69" s="793" t="n"/>
      <c r="J69" s="851">
        <f>SUMIFS('RPT1'!$J$58:$J$65,'RPT1'!$D$58:$D$65,D69)</f>
        <v/>
      </c>
      <c r="K69" s="615">
        <f>IF(E69=0,"-",E69/J69)</f>
        <v/>
      </c>
      <c r="L69" s="793" t="n"/>
      <c r="M69" s="10" t="n"/>
      <c r="N69" s="10" t="n"/>
      <c r="O69" s="62" t="n"/>
      <c r="P69" s="63" t="n"/>
      <c r="Q69" s="63" t="n"/>
      <c r="R69" s="63" t="n"/>
      <c r="S69" s="11" t="n"/>
    </row>
    <row r="70" ht="32.25" customHeight="1" thickBot="1">
      <c r="B70" s="612" t="n"/>
      <c r="C70" s="850" t="n"/>
      <c r="D70" s="155" t="inlineStr">
        <is>
          <t>SC-BA</t>
        </is>
      </c>
      <c r="E70" s="614">
        <f>SUMIFS('RPT1'!$E$58:$E$65,'RPT1'!$D$58:$D$65,D70)</f>
        <v/>
      </c>
      <c r="F70" s="793" t="n"/>
      <c r="G70" s="615">
        <f>SUMIFS('RPT1'!$G$58:$G$65,'RPT1'!$D$58:$D$65,D70)</f>
        <v/>
      </c>
      <c r="H70" s="792" t="n"/>
      <c r="I70" s="793" t="n"/>
      <c r="J70" s="851">
        <f>SUMIFS('RPT1'!$J$58:$J$65,'RPT1'!$D$58:$D$65,D70)</f>
        <v/>
      </c>
      <c r="K70" s="615">
        <f>IF(E70=0,"-",E70/J70)</f>
        <v/>
      </c>
      <c r="L70" s="793" t="n"/>
      <c r="P70" s="378" t="n"/>
      <c r="Q70" s="378" t="n"/>
      <c r="R70" s="378" t="n"/>
      <c r="S70" s="11" t="n"/>
    </row>
    <row r="71" ht="13.5" customHeight="1" thickBot="1"/>
    <row r="72" ht="36" customHeight="1" thickBot="1">
      <c r="D72" s="162" t="inlineStr">
        <is>
          <t>H M  RPSC1</t>
        </is>
      </c>
      <c r="E72" s="152">
        <f>SUM(M17:M46)</f>
        <v/>
      </c>
      <c r="Q72" s="48" t="n"/>
      <c r="R72" s="49" t="n"/>
    </row>
    <row r="73">
      <c r="Q73" s="48" t="n"/>
      <c r="R73" s="49" t="n"/>
    </row>
    <row r="74">
      <c r="Q74" s="50" t="n"/>
      <c r="R74" s="49" t="n"/>
    </row>
    <row r="75">
      <c r="Q75" s="48" t="n"/>
      <c r="R75" s="49" t="n"/>
    </row>
    <row r="76">
      <c r="Q76" s="48" t="n"/>
      <c r="R76" s="49" t="n"/>
    </row>
    <row r="77">
      <c r="Q77" s="48" t="n"/>
      <c r="R77" s="49" t="n"/>
    </row>
    <row r="78">
      <c r="Q78" s="48" t="n"/>
      <c r="R78" s="51" t="n"/>
    </row>
    <row r="80" ht="15.75" customHeight="1">
      <c r="D80" s="47" t="n"/>
      <c r="E80" s="47" t="n"/>
      <c r="F80" s="47" t="n"/>
      <c r="G80" s="47" t="n"/>
      <c r="H80" s="47" t="n"/>
      <c r="I80" s="47" t="n"/>
      <c r="J80" s="47" t="n"/>
      <c r="K80" s="47" t="n"/>
    </row>
    <row r="81" ht="15.75" customHeight="1">
      <c r="D81" s="47" t="n"/>
      <c r="E81" s="47" t="n"/>
      <c r="F81" s="47" t="n"/>
      <c r="G81" s="47" t="n"/>
      <c r="H81" s="47" t="n"/>
      <c r="I81" s="47" t="n"/>
      <c r="J81" s="47" t="n"/>
      <c r="K81" s="47" t="n"/>
    </row>
    <row r="82" ht="15.75" customHeight="1">
      <c r="D82" s="47" t="n"/>
      <c r="E82" s="47" t="n"/>
      <c r="F82" s="47" t="n"/>
      <c r="G82" s="47" t="n"/>
      <c r="H82" s="47" t="n"/>
      <c r="I82" s="47" t="n"/>
      <c r="J82" s="47" t="n"/>
      <c r="K82" s="47" t="n"/>
    </row>
    <row r="83" ht="15.75" customHeight="1">
      <c r="D83" s="47" t="n"/>
      <c r="E83" s="47" t="n"/>
      <c r="F83" s="47" t="n"/>
      <c r="G83" s="47" t="n"/>
      <c r="H83" s="47" t="n"/>
      <c r="I83" s="47" t="n"/>
      <c r="J83" s="47" t="n"/>
      <c r="K83" s="47" t="n"/>
    </row>
    <row r="84" ht="15.75" customHeight="1">
      <c r="D84" s="47" t="n"/>
      <c r="E84" s="47" t="n"/>
      <c r="F84" s="47" t="n"/>
      <c r="G84" s="47" t="n"/>
      <c r="H84" s="47" t="n"/>
      <c r="I84" s="47" t="n"/>
      <c r="J84" s="47" t="n"/>
      <c r="K84" s="47" t="n"/>
    </row>
    <row r="86">
      <c r="B86" s="54" t="inlineStr">
        <is>
          <t>destination</t>
        </is>
      </c>
      <c r="C86" s="54" t="inlineStr">
        <is>
          <t>Qualité</t>
        </is>
      </c>
      <c r="D86" s="54" t="inlineStr">
        <is>
          <t>Coef</t>
        </is>
      </c>
    </row>
    <row r="87" ht="18" customHeight="1">
      <c r="B87" s="71" t="inlineStr">
        <is>
          <t>SC-PW</t>
        </is>
      </c>
      <c r="C87" s="52" t="inlineStr">
        <is>
          <t>BTR</t>
        </is>
      </c>
      <c r="D87" s="379" t="n">
        <v>0.6</v>
      </c>
    </row>
    <row r="88" ht="18" customHeight="1">
      <c r="B88" s="71" t="inlineStr">
        <is>
          <t>SC-PW</t>
        </is>
      </c>
      <c r="C88" s="52" t="inlineStr">
        <is>
          <t>BT</t>
        </is>
      </c>
      <c r="D88" s="379" t="n">
        <v>0.5600000000000001</v>
      </c>
    </row>
    <row r="89" ht="18" customHeight="1">
      <c r="B89" s="71" t="inlineStr">
        <is>
          <t>SC-PW</t>
        </is>
      </c>
      <c r="C89" s="52" t="inlineStr">
        <is>
          <t>HTN</t>
        </is>
      </c>
      <c r="D89" s="379" t="n">
        <v>0.76</v>
      </c>
    </row>
    <row r="90" ht="18" customHeight="1">
      <c r="B90" s="71" t="inlineStr">
        <is>
          <t>SC-PW</t>
        </is>
      </c>
      <c r="C90" s="52" t="inlineStr">
        <is>
          <t>HTM</t>
        </is>
      </c>
      <c r="D90" s="379" t="n">
        <v>0.79</v>
      </c>
    </row>
    <row r="91" ht="18" customHeight="1">
      <c r="B91" s="71" t="inlineStr">
        <is>
          <t>SC-PW</t>
        </is>
      </c>
      <c r="C91" s="52" t="inlineStr">
        <is>
          <t>MT</t>
        </is>
      </c>
      <c r="D91" s="379" t="n">
        <v>0.64</v>
      </c>
    </row>
    <row r="92" ht="18" customHeight="1">
      <c r="B92" s="71" t="inlineStr">
        <is>
          <t>SC-PW</t>
        </is>
      </c>
      <c r="C92" s="52" t="inlineStr">
        <is>
          <t>TBT</t>
        </is>
      </c>
      <c r="D92" s="379" t="n">
        <v>0.49</v>
      </c>
    </row>
    <row r="93" ht="18" customHeight="1">
      <c r="B93" s="71" t="inlineStr">
        <is>
          <t>SC-PW</t>
        </is>
      </c>
      <c r="C93" s="52" t="inlineStr">
        <is>
          <t>THT</t>
        </is>
      </c>
      <c r="D93" s="379" t="n">
        <v>0.82</v>
      </c>
    </row>
    <row r="94" hidden="1" ht="18" customHeight="1">
      <c r="B94" s="71" t="inlineStr">
        <is>
          <t>TD-CRIBLAGE</t>
        </is>
      </c>
      <c r="C94" s="52" t="inlineStr">
        <is>
          <t>TBTTS</t>
        </is>
      </c>
      <c r="D94" s="379" t="n">
        <v>0.4</v>
      </c>
    </row>
    <row r="95" hidden="1" ht="18" customHeight="1">
      <c r="B95" s="71" t="inlineStr">
        <is>
          <t>PW-UB</t>
        </is>
      </c>
      <c r="C95" s="52" t="inlineStr">
        <is>
          <t>BTLSC</t>
        </is>
      </c>
      <c r="D95" s="379" t="n">
        <v>0.82</v>
      </c>
    </row>
    <row r="96" hidden="1" ht="18" customHeight="1">
      <c r="B96" s="71" t="inlineStr">
        <is>
          <t>PW-UB</t>
        </is>
      </c>
      <c r="C96" s="52" t="inlineStr">
        <is>
          <t>BTRLSC</t>
        </is>
      </c>
      <c r="D96" s="379" t="n">
        <v>0.82</v>
      </c>
    </row>
    <row r="97" hidden="1" ht="18" customHeight="1">
      <c r="B97" s="71" t="inlineStr">
        <is>
          <t>PW-UB</t>
        </is>
      </c>
      <c r="C97" s="52" t="inlineStr">
        <is>
          <t>MTLSC</t>
        </is>
      </c>
      <c r="D97" s="379" t="n">
        <v>0.82</v>
      </c>
    </row>
    <row r="98" hidden="1" ht="18" customHeight="1">
      <c r="B98" s="71" t="inlineStr">
        <is>
          <t>PW-UB</t>
        </is>
      </c>
      <c r="C98" s="52" t="inlineStr">
        <is>
          <t>HTMTLSC</t>
        </is>
      </c>
      <c r="D98" s="379" t="n">
        <v>0.82</v>
      </c>
    </row>
    <row r="99" hidden="1" ht="18" customHeight="1">
      <c r="B99" s="71" t="inlineStr">
        <is>
          <t>PW-UB</t>
        </is>
      </c>
      <c r="C99" s="52" t="inlineStr">
        <is>
          <t>TBTLSC</t>
        </is>
      </c>
      <c r="D99" s="379" t="n">
        <v>0.84</v>
      </c>
    </row>
    <row r="100" hidden="1" ht="18" customHeight="1">
      <c r="B100" s="71" t="inlineStr">
        <is>
          <t>PW-UB</t>
        </is>
      </c>
      <c r="C100" s="52" t="inlineStr">
        <is>
          <t>TBTLTS</t>
        </is>
      </c>
      <c r="D100" s="379" t="n">
        <v>0.85</v>
      </c>
    </row>
    <row r="101" hidden="1" ht="18" customHeight="1">
      <c r="B101" s="71" t="inlineStr">
        <is>
          <t>PW-UB</t>
        </is>
      </c>
      <c r="C101" s="52" t="inlineStr">
        <is>
          <t>BTLTS</t>
        </is>
      </c>
      <c r="D101" s="379" t="n">
        <v>0.84</v>
      </c>
    </row>
    <row r="102" hidden="1" ht="18" customHeight="1">
      <c r="B102" s="71" t="inlineStr">
        <is>
          <t>PW-UB</t>
        </is>
      </c>
      <c r="C102" s="52" t="inlineStr">
        <is>
          <t>HTMLTS</t>
        </is>
      </c>
      <c r="D102" s="379" t="n">
        <v>0.84</v>
      </c>
    </row>
    <row r="103" hidden="1" ht="18" customHeight="1">
      <c r="B103" s="71" t="inlineStr">
        <is>
          <t>PW-UB</t>
        </is>
      </c>
      <c r="C103" s="52" t="inlineStr">
        <is>
          <t>BT</t>
        </is>
      </c>
      <c r="D103" s="379" t="n">
        <v>0.75</v>
      </c>
    </row>
    <row r="104" hidden="1" ht="18" customHeight="1">
      <c r="B104" s="71" t="inlineStr">
        <is>
          <t>PW-UB</t>
        </is>
      </c>
      <c r="C104" s="52" t="inlineStr">
        <is>
          <t>BTR</t>
        </is>
      </c>
      <c r="D104" s="379" t="n">
        <v>0.76</v>
      </c>
    </row>
    <row r="105" hidden="1" ht="18" customHeight="1">
      <c r="B105" s="71" t="inlineStr">
        <is>
          <t>PW-UB</t>
        </is>
      </c>
      <c r="C105" s="52" t="inlineStr">
        <is>
          <t>TBT</t>
        </is>
      </c>
      <c r="D105" s="379" t="n">
        <v>0.71</v>
      </c>
    </row>
    <row r="106" hidden="1" ht="18" customHeight="1">
      <c r="B106" s="72" t="inlineStr">
        <is>
          <t>PW-UB</t>
        </is>
      </c>
      <c r="C106" s="73" t="inlineStr">
        <is>
          <t>HTNLSC</t>
        </is>
      </c>
      <c r="D106" s="380" t="n">
        <v>0.8</v>
      </c>
    </row>
    <row r="107" hidden="1" ht="18" customHeight="1">
      <c r="B107" s="72" t="inlineStr">
        <is>
          <t>PW-UB</t>
        </is>
      </c>
      <c r="C107" s="73" t="inlineStr">
        <is>
          <t>HTN</t>
        </is>
      </c>
      <c r="D107" s="380" t="n">
        <v>0.8</v>
      </c>
    </row>
    <row r="108" hidden="1" ht="18" customHeight="1">
      <c r="B108" s="72" t="inlineStr">
        <is>
          <t>PW-UB</t>
        </is>
      </c>
      <c r="C108" s="73" t="inlineStr">
        <is>
          <t>HTM</t>
        </is>
      </c>
      <c r="D108" s="380" t="n">
        <v>0.79</v>
      </c>
    </row>
    <row r="109" hidden="1" ht="18" customHeight="1">
      <c r="B109" s="72" t="inlineStr">
        <is>
          <t>PW-UB</t>
        </is>
      </c>
      <c r="C109" s="73" t="inlineStr">
        <is>
          <t>MT</t>
        </is>
      </c>
      <c r="D109" s="380" t="n">
        <v>0.78</v>
      </c>
    </row>
    <row r="110" ht="18" customHeight="1">
      <c r="B110" s="72" t="inlineStr">
        <is>
          <t>SC-BA</t>
        </is>
      </c>
      <c r="C110" s="73" t="inlineStr">
        <is>
          <t>BTR</t>
        </is>
      </c>
      <c r="D110" s="380" t="n">
        <v>0.63</v>
      </c>
    </row>
    <row r="111" ht="18" customHeight="1">
      <c r="B111" s="72" t="inlineStr">
        <is>
          <t>SC-BA</t>
        </is>
      </c>
      <c r="C111" s="73" t="inlineStr">
        <is>
          <t>BT</t>
        </is>
      </c>
      <c r="D111" s="380" t="n">
        <v>0.6</v>
      </c>
    </row>
    <row r="112" ht="18" customHeight="1">
      <c r="B112" s="72" t="inlineStr">
        <is>
          <t>SC-BA</t>
        </is>
      </c>
      <c r="C112" s="73" t="inlineStr">
        <is>
          <t>HTM</t>
        </is>
      </c>
      <c r="D112" s="380" t="n">
        <v>0.66</v>
      </c>
    </row>
    <row r="113" ht="18" customHeight="1">
      <c r="B113" s="72" t="inlineStr">
        <is>
          <t>SC-BA</t>
        </is>
      </c>
      <c r="C113" s="73" t="inlineStr">
        <is>
          <t>MT</t>
        </is>
      </c>
      <c r="D113" s="380" t="n">
        <v>0.66</v>
      </c>
    </row>
    <row r="114" ht="18" customHeight="1">
      <c r="B114" s="72" t="inlineStr">
        <is>
          <t>SC-BA</t>
        </is>
      </c>
      <c r="C114" s="73" t="inlineStr">
        <is>
          <t>TBT</t>
        </is>
      </c>
      <c r="D114" s="380" t="n">
        <v>0.44</v>
      </c>
    </row>
    <row r="115" hidden="1" ht="18" customHeight="1">
      <c r="B115" s="72" t="inlineStr">
        <is>
          <t>PW-UD</t>
        </is>
      </c>
      <c r="C115" s="73" t="inlineStr">
        <is>
          <t>BTR</t>
        </is>
      </c>
      <c r="D115" s="74" t="n">
        <v>0.62</v>
      </c>
    </row>
    <row r="116" hidden="1" ht="18" customHeight="1">
      <c r="B116" s="72" t="inlineStr">
        <is>
          <t>PW-UD</t>
        </is>
      </c>
      <c r="C116" s="73" t="inlineStr">
        <is>
          <t>BT</t>
        </is>
      </c>
      <c r="D116" s="74" t="n">
        <v>0.58</v>
      </c>
    </row>
    <row r="117" hidden="1" ht="18" customHeight="1">
      <c r="B117" s="72" t="inlineStr">
        <is>
          <t>PW-UD</t>
        </is>
      </c>
      <c r="C117" s="73" t="inlineStr">
        <is>
          <t>HTN</t>
        </is>
      </c>
      <c r="D117" s="74" t="n">
        <v>0.6899999999999999</v>
      </c>
    </row>
    <row r="118" hidden="1" ht="18" customHeight="1">
      <c r="B118" s="72" t="inlineStr">
        <is>
          <t>PW-UD</t>
        </is>
      </c>
      <c r="C118" s="73" t="inlineStr">
        <is>
          <t>HTM</t>
        </is>
      </c>
      <c r="D118" s="74" t="n">
        <v>0.71</v>
      </c>
    </row>
    <row r="119" hidden="1" ht="18" customHeight="1">
      <c r="B119" s="72" t="inlineStr">
        <is>
          <t>PW-UD</t>
        </is>
      </c>
      <c r="C119" s="73" t="inlineStr">
        <is>
          <t>MT</t>
        </is>
      </c>
      <c r="D119" s="74" t="n">
        <v>0.6899999999999999</v>
      </c>
    </row>
    <row r="120" hidden="1" ht="18" customHeight="1">
      <c r="B120" s="72" t="inlineStr">
        <is>
          <t>PW-UD</t>
        </is>
      </c>
      <c r="C120" s="73" t="inlineStr">
        <is>
          <t>TBT</t>
        </is>
      </c>
      <c r="D120" s="74" t="n">
        <v>0.55</v>
      </c>
    </row>
  </sheetData>
  <mergeCells count="145">
    <mergeCell ref="H53:I53"/>
    <mergeCell ref="H35:I35"/>
    <mergeCell ref="E62:F62"/>
    <mergeCell ref="B13:R14"/>
    <mergeCell ref="P36:R36"/>
    <mergeCell ref="G62:I62"/>
    <mergeCell ref="P17:R17"/>
    <mergeCell ref="H55:I55"/>
    <mergeCell ref="E64:F64"/>
    <mergeCell ref="H39:I39"/>
    <mergeCell ref="Q55:R55"/>
    <mergeCell ref="G65:I65"/>
    <mergeCell ref="E63:F63"/>
    <mergeCell ref="B61:C61"/>
    <mergeCell ref="Q26:R26"/>
    <mergeCell ref="H52:I52"/>
    <mergeCell ref="E65:F65"/>
    <mergeCell ref="K58:L58"/>
    <mergeCell ref="G63:I63"/>
    <mergeCell ref="B69:C69"/>
    <mergeCell ref="H45:I45"/>
    <mergeCell ref="H37:I37"/>
    <mergeCell ref="Q49:R49"/>
    <mergeCell ref="Q27:R27"/>
    <mergeCell ref="Q30:R30"/>
    <mergeCell ref="B64:C64"/>
    <mergeCell ref="H23:I23"/>
    <mergeCell ref="B63:C63"/>
    <mergeCell ref="N65:O65"/>
    <mergeCell ref="K69:L69"/>
    <mergeCell ref="I6:J6"/>
    <mergeCell ref="H54:I54"/>
    <mergeCell ref="Q37:R37"/>
    <mergeCell ref="G69:I69"/>
    <mergeCell ref="H41:I41"/>
    <mergeCell ref="F6:G6"/>
    <mergeCell ref="H50:I50"/>
    <mergeCell ref="M6:O6"/>
    <mergeCell ref="Q39:R39"/>
    <mergeCell ref="K64:L64"/>
    <mergeCell ref="P16:R16"/>
    <mergeCell ref="H56:I56"/>
    <mergeCell ref="H25:I25"/>
    <mergeCell ref="H34:I34"/>
    <mergeCell ref="Q54:R54"/>
    <mergeCell ref="P34:R34"/>
    <mergeCell ref="Q29:R29"/>
    <mergeCell ref="Q23:R23"/>
    <mergeCell ref="Q38:R38"/>
    <mergeCell ref="K63:L63"/>
    <mergeCell ref="H49:I49"/>
    <mergeCell ref="G64:I64"/>
    <mergeCell ref="H36:I36"/>
    <mergeCell ref="Q31:R31"/>
    <mergeCell ref="H17:I17"/>
    <mergeCell ref="Q40:R40"/>
    <mergeCell ref="Q15:R15"/>
    <mergeCell ref="H19:I19"/>
    <mergeCell ref="H28:I28"/>
    <mergeCell ref="H48:I48"/>
    <mergeCell ref="K66:L66"/>
    <mergeCell ref="E66:F66"/>
    <mergeCell ref="K6:L6"/>
    <mergeCell ref="E58:F58"/>
    <mergeCell ref="K68:L68"/>
    <mergeCell ref="G66:I66"/>
    <mergeCell ref="H38:I38"/>
    <mergeCell ref="E68:F68"/>
    <mergeCell ref="C2:D3"/>
    <mergeCell ref="H43:I43"/>
    <mergeCell ref="Q42:R42"/>
    <mergeCell ref="H31:I31"/>
    <mergeCell ref="G68:I68"/>
    <mergeCell ref="H40:I40"/>
    <mergeCell ref="E8:R8"/>
    <mergeCell ref="B58:C58"/>
    <mergeCell ref="K60:L60"/>
    <mergeCell ref="G58:I58"/>
    <mergeCell ref="H21:I21"/>
    <mergeCell ref="Q20:R20"/>
    <mergeCell ref="B60:C60"/>
    <mergeCell ref="E69:F69"/>
    <mergeCell ref="B57:C57"/>
    <mergeCell ref="E59:F59"/>
    <mergeCell ref="E9:R9"/>
    <mergeCell ref="H16:I16"/>
    <mergeCell ref="Q6:R6"/>
    <mergeCell ref="Q46:R46"/>
    <mergeCell ref="E61:F61"/>
    <mergeCell ref="H22:I22"/>
    <mergeCell ref="P35:R35"/>
    <mergeCell ref="E70:F70"/>
    <mergeCell ref="E57:F57"/>
    <mergeCell ref="Q48:R48"/>
    <mergeCell ref="B66:D66"/>
    <mergeCell ref="K65:L65"/>
    <mergeCell ref="G70:I70"/>
    <mergeCell ref="Q45:R45"/>
    <mergeCell ref="H42:I42"/>
    <mergeCell ref="Q32:R32"/>
    <mergeCell ref="K57:L57"/>
    <mergeCell ref="Q41:R41"/>
    <mergeCell ref="H30:I30"/>
    <mergeCell ref="Q47:R47"/>
    <mergeCell ref="B62:C62"/>
    <mergeCell ref="Q25:R25"/>
    <mergeCell ref="H20:I20"/>
    <mergeCell ref="O61:R61"/>
    <mergeCell ref="Q43:R43"/>
    <mergeCell ref="H29:I29"/>
    <mergeCell ref="B59:C59"/>
    <mergeCell ref="G57:I57"/>
    <mergeCell ref="Q24:R24"/>
    <mergeCell ref="Q18:R18"/>
    <mergeCell ref="Q33:R33"/>
    <mergeCell ref="H44:I44"/>
    <mergeCell ref="B70:C70"/>
    <mergeCell ref="H46:I46"/>
    <mergeCell ref="H51:I51"/>
    <mergeCell ref="Q19:R19"/>
    <mergeCell ref="Q50:R50"/>
    <mergeCell ref="E60:F60"/>
    <mergeCell ref="K59:L59"/>
    <mergeCell ref="N64:O64"/>
    <mergeCell ref="G60:I60"/>
    <mergeCell ref="H32:I32"/>
    <mergeCell ref="B10:C10"/>
    <mergeCell ref="Q44:R44"/>
    <mergeCell ref="Q22:R22"/>
    <mergeCell ref="K61:L61"/>
    <mergeCell ref="H47:I47"/>
    <mergeCell ref="G59:I59"/>
    <mergeCell ref="K70:L70"/>
    <mergeCell ref="B65:C65"/>
    <mergeCell ref="H27:I27"/>
    <mergeCell ref="C4:D5"/>
    <mergeCell ref="B68:C68"/>
    <mergeCell ref="B8:C9"/>
    <mergeCell ref="F10:Q10"/>
    <mergeCell ref="H24:I24"/>
    <mergeCell ref="H18:I18"/>
    <mergeCell ref="H33:I33"/>
    <mergeCell ref="G61:I61"/>
    <mergeCell ref="K62:L62"/>
    <mergeCell ref="H26:I26"/>
  </mergeCells>
  <conditionalFormatting sqref="C41:C46">
    <cfRule type="cellIs" priority="1401" operator="equal" dxfId="5">
      <formula>MT</formula>
    </cfRule>
  </conditionalFormatting>
  <conditionalFormatting sqref="C51 C53:C54">
    <cfRule type="cellIs" priority="1301" operator="equal" dxfId="5">
      <formula>MT</formula>
    </cfRule>
  </conditionalFormatting>
  <conditionalFormatting sqref="P18:R18 Q19:R20">
    <cfRule type="expression" priority="1161" dxfId="548">
      <formula>IF(OR($F18="SC-BA"),$O18&lt;1400)</formula>
    </cfRule>
    <cfRule type="expression" priority="1162" dxfId="547">
      <formula>IF(OR($F18="SC-PW"),$O18&lt;1800)</formula>
    </cfRule>
  </conditionalFormatting>
  <conditionalFormatting sqref="P19">
    <cfRule type="expression" priority="1105" dxfId="548">
      <formula>IF(OR($F19="SC-BA"),$O19&lt;1400)</formula>
    </cfRule>
    <cfRule type="expression" priority="1106" dxfId="547">
      <formula>IF(OR($F19="SC-PW"),$O19&lt;1800)</formula>
    </cfRule>
  </conditionalFormatting>
  <conditionalFormatting sqref="P20">
    <cfRule type="expression" priority="1103" dxfId="548">
      <formula>IF(OR($F20="SC-BA"),$O20&lt;1400)</formula>
    </cfRule>
    <cfRule type="expression" priority="1104" dxfId="547">
      <formula>IF(OR($F20="SC-PW"),$O20&lt;1800)</formula>
    </cfRule>
  </conditionalFormatting>
  <conditionalFormatting sqref="P21">
    <cfRule type="expression" priority="1101" dxfId="548">
      <formula>IF(OR($F21="SC-BA"),$O21&lt;1400)</formula>
    </cfRule>
    <cfRule type="expression" priority="1102" dxfId="547">
      <formula>IF(OR($F21="SC-PW"),$O21&lt;1800)</formula>
    </cfRule>
  </conditionalFormatting>
  <conditionalFormatting sqref="P22:R22">
    <cfRule type="expression" priority="1099" dxfId="548">
      <formula>IF(OR($F22="SC-BA"),$O22&lt;1400)</formula>
    </cfRule>
    <cfRule type="expression" priority="1100" dxfId="547">
      <formula>IF(OR($F22="SC-PW"),$O22&lt;1800)</formula>
    </cfRule>
  </conditionalFormatting>
  <conditionalFormatting sqref="P23:R24">
    <cfRule type="expression" priority="1097" dxfId="548">
      <formula>IF(OR($F23="SC-BA"),$O23&lt;1400)</formula>
    </cfRule>
    <cfRule type="expression" priority="1098" dxfId="547">
      <formula>IF(OR($F23="SC-PW"),$O23&lt;1800)</formula>
    </cfRule>
  </conditionalFormatting>
  <conditionalFormatting sqref="P25:R25">
    <cfRule type="expression" priority="1095" dxfId="548">
      <formula>IF(OR($F25="SC-BA"),$O25&lt;1400)</formula>
    </cfRule>
    <cfRule type="expression" priority="1096" dxfId="547">
      <formula>IF(OR($F25="SC-PW"),$O25&lt;1800)</formula>
    </cfRule>
  </conditionalFormatting>
  <conditionalFormatting sqref="Q33:R33">
    <cfRule type="expression" priority="1039" dxfId="548">
      <formula>IF(OR($F33="SC-BA"),$O33&lt;1400)</formula>
    </cfRule>
    <cfRule type="expression" priority="1040" dxfId="547">
      <formula>IF(OR($F33="SC-PW"),$O33&lt;1800)</formula>
    </cfRule>
  </conditionalFormatting>
  <conditionalFormatting sqref="P26:R26">
    <cfRule type="expression" priority="1093" dxfId="548">
      <formula>IF(OR($F26="SC-BA"),$O26&lt;1400)</formula>
    </cfRule>
    <cfRule type="expression" priority="1094" dxfId="547">
      <formula>IF(OR($F26="SC-PW"),$O26&lt;1800)</formula>
    </cfRule>
  </conditionalFormatting>
  <conditionalFormatting sqref="P27:R27">
    <cfRule type="expression" priority="1091" dxfId="548">
      <formula>IF(OR($F27="SC-BA"),$O27&lt;1400)</formula>
    </cfRule>
    <cfRule type="expression" priority="1092" dxfId="547">
      <formula>IF(OR($F27="SC-PW"),$O27&lt;1800)</formula>
    </cfRule>
  </conditionalFormatting>
  <conditionalFormatting sqref="P28">
    <cfRule type="expression" priority="1089" dxfId="548">
      <formula>IF(OR($F28="SC-BA"),$O28&lt;1400)</formula>
    </cfRule>
    <cfRule type="expression" priority="1090" dxfId="547">
      <formula>IF(OR($F28="SC-PW"),$O28&lt;1800)</formula>
    </cfRule>
  </conditionalFormatting>
  <conditionalFormatting sqref="P29">
    <cfRule type="expression" priority="1083" dxfId="548">
      <formula>IF(OR($F29="SC-BA"),$O29&lt;1400)</formula>
    </cfRule>
    <cfRule type="expression" priority="1084" dxfId="547">
      <formula>IF(OR($F29="SC-PW"),$O29&lt;1800)</formula>
    </cfRule>
  </conditionalFormatting>
  <conditionalFormatting sqref="P30">
    <cfRule type="expression" priority="1081" dxfId="548">
      <formula>IF(OR($F30="SC-BA"),$O30&lt;1400)</formula>
    </cfRule>
    <cfRule type="expression" priority="1082" dxfId="547">
      <formula>IF(OR($F30="SC-PW"),$O30&lt;1800)</formula>
    </cfRule>
  </conditionalFormatting>
  <conditionalFormatting sqref="P31">
    <cfRule type="expression" priority="1079" dxfId="548">
      <formula>IF(OR($F31="SC-BA"),$O31&lt;1400)</formula>
    </cfRule>
    <cfRule type="expression" priority="1080" dxfId="547">
      <formula>IF(OR($F31="SC-PW"),$O31&lt;1800)</formula>
    </cfRule>
  </conditionalFormatting>
  <conditionalFormatting sqref="P32">
    <cfRule type="expression" priority="1077" dxfId="548">
      <formula>IF(OR($F32="SC-BA"),$O32&lt;1400)</formula>
    </cfRule>
    <cfRule type="expression" priority="1078" dxfId="547">
      <formula>IF(OR($F32="SC-PW"),$O32&lt;1800)</formula>
    </cfRule>
  </conditionalFormatting>
  <conditionalFormatting sqref="P33">
    <cfRule type="expression" priority="1075" dxfId="548">
      <formula>IF(OR($F33="SC-BA"),$O33&lt;1400)</formula>
    </cfRule>
    <cfRule type="expression" priority="1076" dxfId="547">
      <formula>IF(OR($F33="SC-PW"),$O33&lt;1800)</formula>
    </cfRule>
  </conditionalFormatting>
  <conditionalFormatting sqref="P34">
    <cfRule type="expression" priority="1073" dxfId="548">
      <formula>IF(OR($F34="SC-BA"),$O34&lt;1400)</formula>
    </cfRule>
    <cfRule type="expression" priority="1074" dxfId="547">
      <formula>IF(OR($F34="SC-PW"),$O34&lt;1800)</formula>
    </cfRule>
  </conditionalFormatting>
  <conditionalFormatting sqref="P35">
    <cfRule type="expression" priority="1071" dxfId="548">
      <formula>IF(OR($F35="SC-BA"),$O35&lt;1400)</formula>
    </cfRule>
    <cfRule type="expression" priority="1072" dxfId="547">
      <formula>IF(OR($F35="SC-PW"),$O35&lt;1800)</formula>
    </cfRule>
  </conditionalFormatting>
  <conditionalFormatting sqref="P37">
    <cfRule type="expression" priority="1067" dxfId="548">
      <formula>IF(OR($F37="SC-BA"),$O37&lt;1400)</formula>
    </cfRule>
    <cfRule type="expression" priority="1068" dxfId="547">
      <formula>IF(OR($F37="SC-PW"),$O37&lt;1800)</formula>
    </cfRule>
  </conditionalFormatting>
  <conditionalFormatting sqref="P46:R46">
    <cfRule type="expression" priority="1055" dxfId="548">
      <formula>IF(OR($F46="SC-BA"),$O46&lt;1400)</formula>
    </cfRule>
    <cfRule type="expression" priority="1056" dxfId="547">
      <formula>IF(OR($F46="SC-PW"),$O46&lt;1800)</formula>
    </cfRule>
  </conditionalFormatting>
  <conditionalFormatting sqref="P49:R49">
    <cfRule type="expression" priority="1053" dxfId="548">
      <formula>IF(OR($F49="SC-BA"),$O49&lt;1400)</formula>
    </cfRule>
    <cfRule type="expression" priority="1054" dxfId="547">
      <formula>IF(OR($F49="SC-PW"),$O49&lt;1800)</formula>
    </cfRule>
  </conditionalFormatting>
  <conditionalFormatting sqref="P50:R53">
    <cfRule type="expression" priority="1051" dxfId="548">
      <formula>IF(OR($F50="SC-BA"),$O50&lt;1400)</formula>
    </cfRule>
    <cfRule type="expression" priority="1052" dxfId="547">
      <formula>IF(OR($F50="SC-PW"),$O50&lt;1800)</formula>
    </cfRule>
  </conditionalFormatting>
  <conditionalFormatting sqref="P54:R54">
    <cfRule type="expression" priority="1049" dxfId="548">
      <formula>IF(OR($F54="SC-BA"),$O54&lt;1400)</formula>
    </cfRule>
    <cfRule type="expression" priority="1050" dxfId="547">
      <formula>IF(OR($F54="SC-PW"),$O54&lt;1800)</formula>
    </cfRule>
  </conditionalFormatting>
  <conditionalFormatting sqref="P55:R55">
    <cfRule type="expression" priority="1047" dxfId="548">
      <formula>IF(OR($F55="SC-BA"),$O55&lt;1400)</formula>
    </cfRule>
    <cfRule type="expression" priority="1048" dxfId="547">
      <formula>IF(OR($F55="SC-PW"),$O55&lt;1800)</formula>
    </cfRule>
  </conditionalFormatting>
  <conditionalFormatting sqref="P47:R47">
    <cfRule type="expression" priority="1045" dxfId="548">
      <formula>IF(OR($F47="SC-BA"),$O47&lt;1400)</formula>
    </cfRule>
    <cfRule type="expression" priority="1046" dxfId="547">
      <formula>IF(OR($F47="SC-PW"),$O47&lt;1800)</formula>
    </cfRule>
  </conditionalFormatting>
  <conditionalFormatting sqref="P48:R48">
    <cfRule type="expression" priority="1043" dxfId="548">
      <formula>IF(OR($F48="SC-BA"),$O48&lt;1400)</formula>
    </cfRule>
    <cfRule type="expression" priority="1044" dxfId="547">
      <formula>IF(OR($F48="SC-PW"),$O48&lt;1800)</formula>
    </cfRule>
  </conditionalFormatting>
  <conditionalFormatting sqref="Q37:R37">
    <cfRule type="expression" priority="1037" dxfId="548">
      <formula>IF(OR($F37="SC-BA"),$O37&lt;1400)</formula>
    </cfRule>
    <cfRule type="expression" priority="1038" dxfId="547">
      <formula>IF(OR($F37="SC-PW"),$O37&lt;1800)</formula>
    </cfRule>
  </conditionalFormatting>
  <conditionalFormatting sqref="C18:C40">
    <cfRule type="cellIs" priority="996" operator="equal" dxfId="5">
      <formula>MT</formula>
    </cfRule>
  </conditionalFormatting>
  <conditionalFormatting sqref="O18:O51 O53:O55">
    <cfRule type="expression" priority="701" dxfId="548">
      <formula>IF(OR($F18="SC-BA"),$O18&lt;1400)</formula>
    </cfRule>
    <cfRule type="expression" priority="702" dxfId="547">
      <formula>IF(OR($F18="SC-PW"),$O18&lt;1999)</formula>
    </cfRule>
  </conditionalFormatting>
  <conditionalFormatting sqref="Q32:R32">
    <cfRule type="expression" priority="663" dxfId="548">
      <formula>IF(OR($F32="SC-BA"),$O32&lt;1400)</formula>
    </cfRule>
    <cfRule type="expression" priority="664" dxfId="547">
      <formula>IF(OR($F32="SC-PW"),$O32&lt;1800)</formula>
    </cfRule>
  </conditionalFormatting>
  <conditionalFormatting sqref="C52">
    <cfRule type="cellIs" priority="590" operator="equal" dxfId="5">
      <formula>MT</formula>
    </cfRule>
  </conditionalFormatting>
  <conditionalFormatting sqref="O52">
    <cfRule type="expression" priority="553" dxfId="548">
      <formula>IF(OR($F52="SC-BA"),$O52&lt;1400)</formula>
    </cfRule>
    <cfRule type="expression" priority="554" dxfId="547">
      <formula>IF(OR($F52="SC-PW"),$O52&lt;1999)</formula>
    </cfRule>
  </conditionalFormatting>
  <conditionalFormatting sqref="P38:P45">
    <cfRule type="expression" priority="407" dxfId="548">
      <formula>IF(OR($F38="SC-BA"),$O38&lt;1400)</formula>
    </cfRule>
    <cfRule type="expression" priority="408" dxfId="547">
      <formula>IF(OR($F38="SC-PW"),$O38&lt;1800)</formula>
    </cfRule>
  </conditionalFormatting>
  <conditionalFormatting sqref="Q38:R45">
    <cfRule type="expression" priority="405" dxfId="548">
      <formula>IF(OR($F38="SC-BA"),$O38&lt;1400)</formula>
    </cfRule>
    <cfRule type="expression" priority="406" dxfId="547">
      <formula>IF(OR($F38="SC-PW"),$O38&lt;1800)</formula>
    </cfRule>
  </conditionalFormatting>
  <conditionalFormatting sqref="Q29:R31">
    <cfRule type="expression" priority="331" dxfId="548">
      <formula>IF(OR($F29="SC-BA"),$O29&lt;1400)</formula>
    </cfRule>
    <cfRule type="expression" priority="332" dxfId="547">
      <formula>IF(OR($F29="SC-PW"),$O29&lt;1800)</formula>
    </cfRule>
  </conditionalFormatting>
  <conditionalFormatting sqref="C49:C50">
    <cfRule type="cellIs" priority="294" operator="equal" dxfId="5">
      <formula>MT</formula>
    </cfRule>
  </conditionalFormatting>
  <conditionalFormatting sqref="P36">
    <cfRule type="expression" priority="149" dxfId="548">
      <formula>IF(OR($F36="SC-BA"),$O36&lt;1400)</formula>
    </cfRule>
    <cfRule type="expression" priority="150" dxfId="547">
      <formula>IF(OR($F36="SC-PW"),$O36&lt;1800)</formula>
    </cfRule>
  </conditionalFormatting>
  <conditionalFormatting sqref="C48">
    <cfRule type="cellIs" priority="36" operator="equal" dxfId="5">
      <formula>MT</formula>
    </cfRule>
  </conditionalFormatting>
  <conditionalFormatting sqref="O17">
    <cfRule type="expression" priority="75" dxfId="548">
      <formula>IF(OR($F17="SC-BA"),$O17&lt;1400)</formula>
    </cfRule>
    <cfRule type="expression" priority="76" dxfId="547">
      <formula>IF(OR($F17="SC-PW"),$O17&lt;1999)</formula>
    </cfRule>
  </conditionalFormatting>
  <conditionalFormatting sqref="P17">
    <cfRule type="expression" priority="73" dxfId="548">
      <formula>IF(OR($F17="SC-BA"),$O17&lt;1400)</formula>
    </cfRule>
    <cfRule type="expression" priority="74" dxfId="547">
      <formula>IF(OR($F17="SC-PW"),$O17&lt;1800)</formula>
    </cfRule>
  </conditionalFormatting>
  <conditionalFormatting sqref="C17">
    <cfRule type="cellIs" priority="72" operator="equal" dxfId="5">
      <formula>MT</formula>
    </cfRule>
  </conditionalFormatting>
  <dataValidations count="1">
    <dataValidation sqref="B69:C70" showDropDown="0" showInputMessage="1" showErrorMessage="1" allowBlank="0" type="list">
      <formula1>$A$2:$A$15</formula1>
    </dataValidation>
  </dataValidations>
  <printOptions horizontalCentered="1" verticalCentered="1"/>
  <pageMargins left="0" right="0.1968503937007874" top="0" bottom="0" header="0" footer="0"/>
  <pageSetup orientation="landscape" paperSize="9" scale="29" horizontalDpi="180" verticalDpi="180"/>
  <rowBreaks count="1" manualBreakCount="1">
    <brk id="65" min="0" max="18" man="1"/>
  </rowBreaks>
</worksheet>
</file>

<file path=xl/worksheets/sheet2.xml><?xml version="1.0" encoding="utf-8"?>
<worksheet xmlns="http://schemas.openxmlformats.org/spreadsheetml/2006/main">
  <sheetPr codeName="Feuil2">
    <tabColor theme="9" tint="0.3999755851924192"/>
    <outlinePr summaryBelow="1" summaryRight="1"/>
    <pageSetUpPr fitToPage="1"/>
  </sheetPr>
  <dimension ref="A2:Z122"/>
  <sheetViews>
    <sheetView showGridLines="0" topLeftCell="A25" zoomScale="70" zoomScaleNormal="70" zoomScaleSheetLayoutView="55" workbookViewId="0">
      <selection activeCell="H45" sqref="H45:I45"/>
    </sheetView>
  </sheetViews>
  <sheetFormatPr baseColWidth="8" defaultColWidth="11.25" defaultRowHeight="12.75"/>
  <cols>
    <col width="3.625" customWidth="1" style="378" min="1" max="1"/>
    <col width="31.25" bestFit="1" customWidth="1" style="378" min="2" max="2"/>
    <col width="23.625" customWidth="1" style="378" min="3" max="3"/>
    <col width="25.25" bestFit="1" customWidth="1" style="378" min="4" max="4"/>
    <col width="29.375" bestFit="1" customWidth="1" style="378" min="5" max="5"/>
    <col width="19.25" customWidth="1" style="378" min="6" max="6"/>
    <col width="23.25" customWidth="1" style="378" min="7" max="7"/>
    <col width="7.75" customWidth="1" style="378" min="8" max="8"/>
    <col width="9.875" customWidth="1" style="378" min="9" max="9"/>
    <col width="26.25" customWidth="1" style="378" min="10" max="10"/>
    <col width="18.25" customWidth="1" style="378" min="11" max="11"/>
    <col width="20.375" customWidth="1" style="378" min="12" max="12"/>
    <col width="18.375" customWidth="1" style="378" min="13" max="14"/>
    <col width="12.25" customWidth="1" style="378" min="15" max="15"/>
    <col width="23.75" customWidth="1" style="378" min="16" max="16"/>
    <col width="16.25" customWidth="1" style="378" min="17" max="17"/>
    <col width="20.125" customWidth="1" style="378" min="18" max="18"/>
    <col width="5.75" customWidth="1" style="378" min="19" max="19"/>
    <col width="11.25" customWidth="1" style="378" min="20" max="22"/>
    <col width="11.25" customWidth="1" style="378" min="23" max="16384"/>
  </cols>
  <sheetData>
    <row r="1" ht="18.75" customHeight="1" thickBot="1"/>
    <row r="2" ht="34.5" customHeight="1" thickBot="1">
      <c r="B2" s="19" t="n"/>
      <c r="C2" s="571">
        <f>TODAY()</f>
        <v/>
      </c>
      <c r="E2" s="26" t="n"/>
      <c r="F2" s="26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  <c r="P2" s="19" t="n"/>
      <c r="Q2" s="19" t="n"/>
      <c r="R2" s="20" t="n"/>
      <c r="S2" s="28" t="n"/>
    </row>
    <row r="3" ht="34.5" customHeight="1" thickBot="1">
      <c r="B3" s="19" t="n"/>
      <c r="E3" s="26" t="n"/>
      <c r="F3" s="26" t="n"/>
      <c r="G3" s="21" t="n"/>
      <c r="H3" s="19" t="n"/>
      <c r="I3" s="19" t="n"/>
      <c r="J3" s="19" t="n"/>
      <c r="K3" s="19" t="n"/>
      <c r="L3" s="19" t="n"/>
      <c r="M3" s="19" t="n"/>
      <c r="N3" s="19" t="n"/>
      <c r="O3" s="19" t="n"/>
      <c r="P3" s="22" t="n"/>
      <c r="Q3" s="21" t="n"/>
      <c r="R3" s="20" t="n"/>
      <c r="S3" s="28" t="n"/>
    </row>
    <row r="4" ht="34.5" customHeight="1" thickBot="1">
      <c r="B4" s="19" t="n"/>
      <c r="C4" s="789">
        <f>NOW()</f>
        <v/>
      </c>
      <c r="E4" s="26" t="n"/>
      <c r="F4" s="26" t="n"/>
      <c r="G4" s="21" t="n"/>
      <c r="H4" s="19" t="n"/>
      <c r="I4" s="19" t="n"/>
      <c r="J4" s="19" t="n"/>
      <c r="K4" s="19" t="n"/>
      <c r="L4" s="19" t="n"/>
      <c r="M4" s="19" t="n"/>
      <c r="N4" s="19" t="n"/>
      <c r="O4" s="19" t="n"/>
      <c r="P4" s="22" t="n"/>
      <c r="Q4" s="21" t="n"/>
      <c r="R4" s="20" t="n"/>
      <c r="S4" s="28" t="n"/>
    </row>
    <row r="5" ht="34.5" customHeight="1" thickBot="1">
      <c r="B5" s="19" t="n"/>
      <c r="E5" s="26" t="n"/>
      <c r="F5" s="26" t="n"/>
      <c r="G5" s="21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  <c r="R5" s="20" t="n"/>
      <c r="S5" s="28" t="n"/>
    </row>
    <row r="6" ht="34.5" customHeight="1">
      <c r="B6" s="19" t="n"/>
      <c r="C6" s="24" t="n"/>
      <c r="D6" s="25" t="n"/>
      <c r="E6" s="26" t="n"/>
      <c r="F6" s="573" t="inlineStr">
        <is>
          <t>Fin</t>
        </is>
      </c>
      <c r="H6" s="574" t="inlineStr">
        <is>
          <t>Durée</t>
        </is>
      </c>
      <c r="I6" s="574" t="inlineStr">
        <is>
          <t>Type d'arrêt</t>
        </is>
      </c>
      <c r="K6" s="574" t="inlineStr">
        <is>
          <t>Zone</t>
        </is>
      </c>
      <c r="M6" s="574" t="inlineStr">
        <is>
          <t>Equipement</t>
        </is>
      </c>
      <c r="P6" s="574" t="n"/>
      <c r="Q6" s="574" t="n"/>
      <c r="S6" s="29" t="n"/>
    </row>
    <row r="7" ht="18.75" customHeight="1" thickBot="1"/>
    <row r="8" ht="36" customHeight="1" thickBot="1">
      <c r="A8" s="5" t="n"/>
      <c r="B8" s="790" t="n"/>
      <c r="C8" s="791" t="n"/>
      <c r="D8" s="38" t="inlineStr">
        <is>
          <t>Formulaire</t>
        </is>
      </c>
      <c r="E8" s="593" t="inlineStr">
        <is>
          <t>PRL-LA-IT-06-F-02</t>
        </is>
      </c>
      <c r="F8" s="792" t="n"/>
      <c r="G8" s="792" t="n"/>
      <c r="H8" s="792" t="n"/>
      <c r="I8" s="792" t="n"/>
      <c r="J8" s="792" t="n"/>
      <c r="K8" s="792" t="n"/>
      <c r="L8" s="792" t="n"/>
      <c r="M8" s="792" t="n"/>
      <c r="N8" s="792" t="n"/>
      <c r="O8" s="792" t="n"/>
      <c r="P8" s="792" t="n"/>
      <c r="Q8" s="792" t="n"/>
      <c r="R8" s="793" t="n"/>
    </row>
    <row r="9" ht="38.25" customHeight="1" thickBot="1">
      <c r="A9" s="5" t="n"/>
      <c r="B9" s="794" t="n"/>
      <c r="C9" s="795" t="n"/>
      <c r="D9" s="38" t="inlineStr">
        <is>
          <t>Entité</t>
        </is>
      </c>
      <c r="E9" s="594" t="inlineStr">
        <is>
          <t>Entités de Traitement de Site de Khouribga</t>
        </is>
      </c>
      <c r="F9" s="792" t="n"/>
      <c r="G9" s="792" t="n"/>
      <c r="H9" s="792" t="n"/>
      <c r="I9" s="792" t="n"/>
      <c r="J9" s="792" t="n"/>
      <c r="K9" s="792" t="n"/>
      <c r="L9" s="792" t="n"/>
      <c r="M9" s="792" t="n"/>
      <c r="N9" s="792" t="n"/>
      <c r="O9" s="792" t="n"/>
      <c r="P9" s="792" t="n"/>
      <c r="Q9" s="792" t="n"/>
      <c r="R9" s="793" t="n"/>
    </row>
    <row r="10" ht="38.25" customHeight="1" thickBot="1">
      <c r="A10" s="5" t="n"/>
      <c r="B10" s="796" t="inlineStr">
        <is>
          <t>DIRECTION EXECUTIVE
OPERATIONSINDUSTRIELLES
DIRECTION DE SITE  DE KHOURIBGA</t>
        </is>
      </c>
      <c r="C10" s="797" t="n"/>
      <c r="D10" s="38" t="inlineStr">
        <is>
          <t>Version</t>
        </is>
      </c>
      <c r="E10" s="593" t="n">
        <v>5</v>
      </c>
      <c r="F10" s="594" t="inlineStr">
        <is>
          <t xml:space="preserve">Applicable le </t>
        </is>
      </c>
      <c r="G10" s="792" t="n"/>
      <c r="H10" s="792" t="n"/>
      <c r="I10" s="792" t="n"/>
      <c r="J10" s="792" t="n"/>
      <c r="K10" s="792" t="n"/>
      <c r="L10" s="792" t="n"/>
      <c r="M10" s="792" t="n"/>
      <c r="N10" s="792" t="n"/>
      <c r="O10" s="792" t="n"/>
      <c r="P10" s="792" t="n"/>
      <c r="Q10" s="793" t="n"/>
      <c r="R10" s="37" t="n">
        <v>45000</v>
      </c>
    </row>
    <row r="11" ht="26.25" customHeight="1">
      <c r="A11" s="5" t="n"/>
      <c r="B11" s="32" t="inlineStr">
        <is>
          <t>OIK/BD/E- 428</t>
        </is>
      </c>
      <c r="C11" s="30" t="n"/>
      <c r="D11" s="31" t="n"/>
    </row>
    <row r="12" ht="5.25" customHeight="1"/>
    <row r="13" ht="24" customHeight="1">
      <c r="B13" s="583" t="inlineStr">
        <is>
          <t>Titre: Rapport de tonnage</t>
        </is>
      </c>
    </row>
    <row r="14" ht="21" customHeight="1">
      <c r="A14" s="6" t="n"/>
    </row>
    <row r="15" ht="33.75" customHeight="1" thickBot="1">
      <c r="A15" s="7" t="n"/>
      <c r="B15" s="166" t="inlineStr">
        <is>
          <t>Installation : RP T2</t>
        </is>
      </c>
      <c r="C15" s="39" t="n"/>
      <c r="E15" s="36" t="n"/>
      <c r="J15" s="34" t="n"/>
      <c r="K15" s="34" t="n"/>
      <c r="P15" s="70" t="inlineStr">
        <is>
          <t>Journée du :</t>
        </is>
      </c>
      <c r="Q15" s="584">
        <f>'RPT1'!Q15:R15</f>
        <v/>
      </c>
    </row>
    <row r="16" ht="42.75" customFormat="1" customHeight="1" s="40" thickBot="1">
      <c r="B16" s="67" t="inlineStr">
        <is>
          <t>Heures</t>
        </is>
      </c>
      <c r="C16" s="68" t="n"/>
      <c r="D16" s="68" t="inlineStr">
        <is>
          <t>Code</t>
        </is>
      </c>
      <c r="E16" s="68" t="inlineStr">
        <is>
          <t>Repère déstockage</t>
        </is>
      </c>
      <c r="F16" s="68" t="inlineStr">
        <is>
          <t>Destination</t>
        </is>
      </c>
      <c r="G16" s="68" t="inlineStr">
        <is>
          <t>Repère stockage</t>
        </is>
      </c>
      <c r="H16" s="798" t="inlineStr">
        <is>
          <t>Bascule
(H4/H6)*</t>
        </is>
      </c>
      <c r="I16" s="799" t="n"/>
      <c r="J16" s="68" t="inlineStr">
        <is>
          <t>Index bascule</t>
        </is>
      </c>
      <c r="K16" s="83" t="inlineStr">
        <is>
          <t>Tonnage</t>
        </is>
      </c>
      <c r="L16" s="68" t="inlineStr">
        <is>
          <t>Index horaire
LS0-LT3</t>
        </is>
      </c>
      <c r="M16" s="83" t="inlineStr">
        <is>
          <t>HM</t>
        </is>
      </c>
      <c r="N16" s="68" t="inlineStr">
        <is>
          <t>POSTE</t>
        </is>
      </c>
      <c r="O16" s="83" t="inlineStr">
        <is>
          <t>T/H</t>
        </is>
      </c>
      <c r="P16" s="69" t="inlineStr">
        <is>
          <t>Sous vitesses/Causes marche à vide</t>
        </is>
      </c>
      <c r="Q16" s="792" t="n"/>
      <c r="R16" s="793" t="n"/>
      <c r="S16" s="41" t="n"/>
    </row>
    <row r="17" ht="32.25" customFormat="1" customHeight="1" s="332">
      <c r="B17" s="444" t="n"/>
      <c r="C17" s="398" t="inlineStr">
        <is>
          <t>TBT</t>
        </is>
      </c>
      <c r="D17" s="446" t="inlineStr">
        <is>
          <t>T2S 36 04 23</t>
        </is>
      </c>
      <c r="E17" s="442" t="inlineStr">
        <is>
          <t>EST 140-190</t>
        </is>
      </c>
      <c r="F17" s="488" t="inlineStr">
        <is>
          <t>SC-BA</t>
        </is>
      </c>
      <c r="G17" s="520" t="n"/>
      <c r="H17" s="852" t="inlineStr">
        <is>
          <t>LT3</t>
        </is>
      </c>
      <c r="I17" s="815" t="n"/>
      <c r="J17" s="506" t="n">
        <v>62200</v>
      </c>
      <c r="K17" s="503" t="n"/>
      <c r="L17" s="853" t="n">
        <v>0.4</v>
      </c>
      <c r="M17" s="802" t="n"/>
      <c r="N17" s="519" t="n"/>
      <c r="O17" s="443" t="n"/>
      <c r="P17" s="454" t="n"/>
      <c r="Q17" s="640" t="n"/>
      <c r="R17" s="854" t="n"/>
      <c r="S17" s="332" t="n"/>
      <c r="X17" s="354" t="n"/>
      <c r="Y17" s="354" t="n"/>
      <c r="Z17" s="354" t="n"/>
    </row>
    <row r="18" ht="32.25" customFormat="1" customHeight="1" s="332">
      <c r="B18" s="386" t="n">
        <v>0.04166666666666666</v>
      </c>
      <c r="C18" s="383" t="inlineStr">
        <is>
          <t>TBT</t>
        </is>
      </c>
      <c r="D18" s="387" t="n"/>
      <c r="E18" s="294" t="n"/>
      <c r="F18" s="417" t="inlineStr">
        <is>
          <t>SC-BA</t>
        </is>
      </c>
      <c r="G18" s="426" t="n"/>
      <c r="H18" s="814" t="inlineStr">
        <is>
          <t>LT3</t>
        </is>
      </c>
      <c r="I18" s="815" t="n"/>
      <c r="J18" s="431" t="n">
        <v>62980</v>
      </c>
      <c r="K18" s="177">
        <f>IF(AND(H18=H17,J18-J17&lt;3000,J18-J17&gt;0),J18-J17,0)</f>
        <v/>
      </c>
      <c r="L18" s="855" t="n">
        <v>0.8</v>
      </c>
      <c r="M18" s="807">
        <f>IF(AND(H18=H17,L18-L17&lt;1.1,L18-L17&gt;0),L18-L17,0)</f>
        <v/>
      </c>
      <c r="N18" s="430" t="n">
        <v>1</v>
      </c>
      <c r="O18" s="301">
        <f>IF(K18=0,"-",K18/M18)</f>
        <v/>
      </c>
      <c r="P18" s="303" t="n"/>
      <c r="Q18" s="543" t="n"/>
      <c r="R18" s="805" t="n"/>
      <c r="S18" s="332" t="n"/>
      <c r="X18" s="332" t="n"/>
      <c r="Y18" s="333" t="n"/>
      <c r="Z18" s="334" t="n"/>
    </row>
    <row r="19" ht="32.25" customFormat="1" customHeight="1" s="332">
      <c r="B19" s="511" t="n"/>
      <c r="C19" s="398" t="inlineStr">
        <is>
          <t>TBT</t>
        </is>
      </c>
      <c r="D19" s="446" t="inlineStr">
        <is>
          <t>T2S 36 04 23</t>
        </is>
      </c>
      <c r="E19" s="442" t="inlineStr">
        <is>
          <t>EST 140-190</t>
        </is>
      </c>
      <c r="F19" s="515" t="inlineStr">
        <is>
          <t>SC-PW</t>
        </is>
      </c>
      <c r="G19" s="520" t="inlineStr">
        <is>
          <t>H4N 70-30</t>
        </is>
      </c>
      <c r="H19" s="852" t="inlineStr">
        <is>
          <t>H4</t>
        </is>
      </c>
      <c r="I19" s="815" t="n"/>
      <c r="J19" s="521" t="n">
        <v>166960</v>
      </c>
      <c r="K19" s="405" t="n"/>
      <c r="L19" s="819" t="n">
        <v>1.9</v>
      </c>
      <c r="M19" s="802" t="n"/>
      <c r="N19" s="519" t="n"/>
      <c r="O19" s="443">
        <f>IF(K19=0,"-",K19/M19)</f>
        <v/>
      </c>
      <c r="P19" s="516" t="n"/>
      <c r="Q19" s="540" t="n"/>
      <c r="R19" s="808" t="n"/>
      <c r="S19" s="332" t="n"/>
      <c r="X19" s="332" t="n"/>
      <c r="Y19" s="333" t="n"/>
      <c r="Z19" s="334" t="n"/>
    </row>
    <row r="20" ht="32.25" customFormat="1" customHeight="1" s="332">
      <c r="B20" s="386" t="n">
        <v>0.1666666666666667</v>
      </c>
      <c r="C20" s="323" t="inlineStr">
        <is>
          <t>TBT</t>
        </is>
      </c>
      <c r="D20" s="387" t="n"/>
      <c r="E20" s="294" t="n"/>
      <c r="F20" s="417" t="inlineStr">
        <is>
          <t>SC-PW</t>
        </is>
      </c>
      <c r="G20" s="426" t="n"/>
      <c r="H20" s="814" t="inlineStr">
        <is>
          <t>H4</t>
        </is>
      </c>
      <c r="I20" s="815" t="n"/>
      <c r="J20" s="184" t="n">
        <v>168200</v>
      </c>
      <c r="K20" s="177">
        <f>IF(AND(H20=H19,J20-J19&lt;3000,J20-J19&gt;0),J20-J19,0)</f>
        <v/>
      </c>
      <c r="L20" s="809" t="n">
        <v>2.5</v>
      </c>
      <c r="M20" s="807">
        <f>IF(AND(H20=H19,L20-L19&lt;1.1,L20-L19&gt;0),L20-L19,0)</f>
        <v/>
      </c>
      <c r="N20" s="430" t="n">
        <v>1</v>
      </c>
      <c r="O20" s="301">
        <f>IF(K20=0,"-",K20/M20)</f>
        <v/>
      </c>
      <c r="P20" s="493" t="n"/>
      <c r="Q20" s="598" t="n"/>
      <c r="R20" s="808" t="n"/>
      <c r="S20" s="332" t="n"/>
      <c r="X20" s="332" t="n"/>
      <c r="Y20" s="333" t="n"/>
      <c r="Z20" s="334" t="n"/>
    </row>
    <row r="21" ht="32.25" customFormat="1" customHeight="1" s="332">
      <c r="B21" s="386" t="n">
        <v>0.2083333333333333</v>
      </c>
      <c r="C21" s="323" t="inlineStr">
        <is>
          <t>TBT</t>
        </is>
      </c>
      <c r="D21" s="387" t="n"/>
      <c r="E21" s="294" t="n"/>
      <c r="F21" s="417" t="inlineStr">
        <is>
          <t>SC-PW</t>
        </is>
      </c>
      <c r="G21" s="426" t="n"/>
      <c r="H21" s="814" t="inlineStr">
        <is>
          <t>H4</t>
        </is>
      </c>
      <c r="I21" s="815" t="n"/>
      <c r="J21" s="431" t="n">
        <v>168600</v>
      </c>
      <c r="K21" s="177">
        <f>IF(AND(H21=H20,J21-J20&lt;3000,J21-J20&gt;0),J21-J20,0)</f>
        <v/>
      </c>
      <c r="L21" s="855" t="n">
        <v>2.7</v>
      </c>
      <c r="M21" s="807">
        <f>IF(AND(H21=H20,L21-L20&lt;1.1,L21-L20&gt;0),L21-L20,0)</f>
        <v/>
      </c>
      <c r="N21" s="430" t="n">
        <v>1</v>
      </c>
      <c r="O21" s="301">
        <f>IF(K21=0,"-",K21/M21)</f>
        <v/>
      </c>
      <c r="P21" s="303" t="n"/>
      <c r="Q21" s="544" t="n"/>
      <c r="R21" s="808" t="n"/>
      <c r="S21" s="332" t="n"/>
      <c r="X21" s="332" t="n"/>
      <c r="Y21" s="333" t="n"/>
      <c r="Z21" s="334" t="n"/>
    </row>
    <row r="22" ht="32.25" customFormat="1" customHeight="1" s="332">
      <c r="B22" s="386" t="n">
        <v>0.3333333333333333</v>
      </c>
      <c r="C22" s="383" t="inlineStr">
        <is>
          <t>TBT</t>
        </is>
      </c>
      <c r="D22" s="387" t="n"/>
      <c r="E22" s="294" t="n"/>
      <c r="F22" s="417" t="inlineStr">
        <is>
          <t>SC-PW</t>
        </is>
      </c>
      <c r="G22" s="426" t="n"/>
      <c r="H22" s="814" t="inlineStr">
        <is>
          <t>H4</t>
        </is>
      </c>
      <c r="I22" s="815" t="n"/>
      <c r="J22" s="431" t="n">
        <v>169600</v>
      </c>
      <c r="K22" s="177">
        <f>IF(AND(H22=H21,J22-J21&lt;3000,J22-J21&gt;0),J22-J21,0)</f>
        <v/>
      </c>
      <c r="L22" s="855" t="n">
        <v>3.3</v>
      </c>
      <c r="M22" s="807">
        <f>IF(AND(H22=H21,L22-L21&lt;1.1,L22-L21&gt;0),L22-L21,0)</f>
        <v/>
      </c>
      <c r="N22" s="430" t="n">
        <v>1</v>
      </c>
      <c r="O22" s="301">
        <f>IF(K22=0,"-",K22/M22)</f>
        <v/>
      </c>
      <c r="P22" s="496" t="n"/>
      <c r="Q22" s="642" t="n"/>
      <c r="R22" s="856" t="n"/>
      <c r="S22" s="332" t="n"/>
      <c r="X22" s="332" t="n"/>
      <c r="Y22" s="333" t="n"/>
      <c r="Z22" s="334" t="n"/>
    </row>
    <row r="23" ht="32.25" customFormat="1" customHeight="1" s="332">
      <c r="B23" s="386" t="n">
        <v>0.375</v>
      </c>
      <c r="C23" s="383" t="inlineStr">
        <is>
          <t>TBT</t>
        </is>
      </c>
      <c r="D23" s="387" t="n"/>
      <c r="E23" s="294" t="n"/>
      <c r="F23" s="417" t="inlineStr">
        <is>
          <t>SC-PW</t>
        </is>
      </c>
      <c r="G23" s="384" t="n"/>
      <c r="H23" s="814" t="inlineStr">
        <is>
          <t>H4</t>
        </is>
      </c>
      <c r="I23" s="815" t="n"/>
      <c r="J23" s="184" t="n">
        <v>171000</v>
      </c>
      <c r="K23" s="177">
        <f>IF(AND(H23=H22,J23-J22&lt;3000,J23-J22&gt;0),J23-J22,0)</f>
        <v/>
      </c>
      <c r="L23" s="855" t="n">
        <v>4.3</v>
      </c>
      <c r="M23" s="807">
        <f>IF(AND(H23=H22,L23-L22&lt;1.1,L23-L22&gt;0),L23-L22,0)</f>
        <v/>
      </c>
      <c r="N23" s="430" t="n">
        <v>2</v>
      </c>
      <c r="O23" s="301">
        <f>IF(K23=0,"-",K23/M23)</f>
        <v/>
      </c>
      <c r="P23" s="496" t="n"/>
      <c r="Q23" s="643" t="n"/>
      <c r="R23" s="805" t="n"/>
      <c r="S23" s="332" t="n"/>
      <c r="X23" s="332" t="n"/>
      <c r="Y23" s="333" t="n"/>
      <c r="Z23" s="334" t="n"/>
    </row>
    <row r="24" ht="32.25" customFormat="1" customHeight="1" s="332">
      <c r="B24" s="511" t="n">
        <v>0.4166666666666667</v>
      </c>
      <c r="C24" s="445" t="inlineStr">
        <is>
          <t>TBT</t>
        </is>
      </c>
      <c r="D24" s="522" t="n"/>
      <c r="E24" s="523" t="n"/>
      <c r="F24" s="524" t="inlineStr">
        <is>
          <t>SC-PW</t>
        </is>
      </c>
      <c r="G24" s="520" t="inlineStr">
        <is>
          <t>H4N 190-210</t>
        </is>
      </c>
      <c r="H24" s="857" t="inlineStr">
        <is>
          <t>H4</t>
        </is>
      </c>
      <c r="I24" s="815" t="n"/>
      <c r="J24" s="521" t="n">
        <v>172300</v>
      </c>
      <c r="K24" s="405">
        <f>IF(AND(H24=H23,J24-J23&lt;3000,J24-J23&gt;0),J24-J23,0)</f>
        <v/>
      </c>
      <c r="L24" s="819" t="n">
        <v>5.3</v>
      </c>
      <c r="M24" s="802">
        <f>IF(AND(H24=H23,L24-L23&lt;1.1,L24-L23&gt;0),L24-L23,0)</f>
        <v/>
      </c>
      <c r="N24" s="519" t="n">
        <v>2</v>
      </c>
      <c r="O24" s="443">
        <f>IF(K24=0,"-",K24/M24)</f>
        <v/>
      </c>
      <c r="P24" s="532" t="n"/>
      <c r="Q24" s="858" t="n"/>
      <c r="R24" s="805" t="n"/>
      <c r="S24" s="332" t="n"/>
      <c r="X24" s="332" t="n"/>
      <c r="Y24" s="333" t="n"/>
      <c r="Z24" s="334" t="n"/>
    </row>
    <row r="25" ht="32.25" customFormat="1" customHeight="1" s="332">
      <c r="B25" s="386" t="n">
        <v>0.4583333333333333</v>
      </c>
      <c r="C25" s="383" t="inlineStr">
        <is>
          <t>TBT</t>
        </is>
      </c>
      <c r="D25" s="387" t="n"/>
      <c r="E25" s="294" t="n"/>
      <c r="F25" s="417" t="inlineStr">
        <is>
          <t>SC-PW</t>
        </is>
      </c>
      <c r="G25" s="272" t="n"/>
      <c r="H25" s="814" t="inlineStr">
        <is>
          <t>H4</t>
        </is>
      </c>
      <c r="I25" s="815" t="n"/>
      <c r="J25" s="184" t="n">
        <v>173600</v>
      </c>
      <c r="K25" s="177">
        <f>IF(AND(H25=H24,J25-J24&lt;3000,J25-J24&gt;0),J25-J24,0)</f>
        <v/>
      </c>
      <c r="L25" s="809" t="n">
        <v>5.8</v>
      </c>
      <c r="M25" s="807">
        <f>IF(AND(H25=H24,L25-L24&lt;1.1,L25-L24&gt;0),L25-L24,0)</f>
        <v/>
      </c>
      <c r="N25" s="182" t="n">
        <v>2</v>
      </c>
      <c r="O25" s="301">
        <f>IF(K25=0,"-",K25/M25)</f>
        <v/>
      </c>
      <c r="P25" s="496" t="n"/>
      <c r="Q25" s="643" t="n"/>
      <c r="R25" s="805" t="n"/>
      <c r="S25" s="497" t="n"/>
      <c r="T25" s="497" t="n"/>
      <c r="X25" s="332" t="n"/>
      <c r="Y25" s="333" t="n"/>
      <c r="Z25" s="334" t="n"/>
    </row>
    <row r="26" ht="32.25" customFormat="1" customHeight="1" s="332">
      <c r="B26" s="386" t="n">
        <v>0.5</v>
      </c>
      <c r="C26" s="383" t="inlineStr">
        <is>
          <t>TBT</t>
        </is>
      </c>
      <c r="D26" s="387" t="n"/>
      <c r="E26" s="294" t="n"/>
      <c r="F26" s="417" t="inlineStr">
        <is>
          <t>SC-PW</t>
        </is>
      </c>
      <c r="G26" s="272" t="n"/>
      <c r="H26" s="814" t="inlineStr">
        <is>
          <t>H4</t>
        </is>
      </c>
      <c r="I26" s="815" t="n"/>
      <c r="J26" s="184" t="n">
        <v>174800</v>
      </c>
      <c r="K26" s="177">
        <f>IF(AND(H26=H25,J26-J25&lt;3000,J26-J25&gt;0),J26-J25,0)</f>
        <v/>
      </c>
      <c r="L26" s="809" t="n">
        <v>6.8</v>
      </c>
      <c r="M26" s="807">
        <f>IF(AND(H26=H25,L26-L25&lt;1.1,L26-L25&gt;0),L26-L25,0)</f>
        <v/>
      </c>
      <c r="N26" s="492" t="n">
        <v>2</v>
      </c>
      <c r="O26" s="301">
        <f>IF(K26=0,"-",K26/M26)</f>
        <v/>
      </c>
      <c r="P26" s="496" t="n"/>
      <c r="Q26" s="642" t="n"/>
      <c r="R26" s="856" t="n"/>
      <c r="S26" s="332" t="n"/>
      <c r="X26" s="332" t="n"/>
      <c r="Y26" s="333" t="n"/>
      <c r="Z26" s="334" t="n"/>
    </row>
    <row r="27" ht="32.25" customFormat="1" customHeight="1" s="332">
      <c r="B27" s="386" t="n">
        <v>0.5416666666666666</v>
      </c>
      <c r="C27" s="383" t="inlineStr">
        <is>
          <t>TBT</t>
        </is>
      </c>
      <c r="D27" s="387" t="n"/>
      <c r="E27" s="294" t="n"/>
      <c r="F27" s="417" t="inlineStr">
        <is>
          <t>SC-PW</t>
        </is>
      </c>
      <c r="G27" s="426" t="n"/>
      <c r="H27" s="814" t="inlineStr">
        <is>
          <t>H4</t>
        </is>
      </c>
      <c r="I27" s="815" t="n"/>
      <c r="J27" s="184" t="n">
        <v>175500</v>
      </c>
      <c r="K27" s="177">
        <f>IF(AND(H27=H26,J27-J26&lt;3000,J27-J26&gt;0),J27-J26,0)</f>
        <v/>
      </c>
      <c r="L27" s="809" t="n">
        <v>7.7</v>
      </c>
      <c r="M27" s="807">
        <f>IF(AND(H27=H26,L27-L26&lt;1.1,L27-L26&gt;0),L27-L26,0)</f>
        <v/>
      </c>
      <c r="N27" s="182" t="n">
        <v>2</v>
      </c>
      <c r="O27" s="301">
        <f>IF(K27=0,"-",K27/M27)</f>
        <v/>
      </c>
      <c r="P27" s="303" t="inlineStr">
        <is>
          <t>bourrage lt4 lt2</t>
        </is>
      </c>
      <c r="Q27" s="544" t="n"/>
      <c r="R27" s="808" t="n"/>
      <c r="S27" s="332" t="n"/>
      <c r="X27" s="332" t="n"/>
      <c r="Y27" s="333" t="n"/>
      <c r="Z27" s="334" t="n"/>
    </row>
    <row r="28" ht="32.25" customFormat="1" customHeight="1" s="332">
      <c r="B28" s="444" t="n"/>
      <c r="C28" s="445" t="inlineStr">
        <is>
          <t>TBT</t>
        </is>
      </c>
      <c r="D28" s="446" t="inlineStr">
        <is>
          <t>T2S 29 04 23</t>
        </is>
      </c>
      <c r="E28" s="442" t="inlineStr">
        <is>
          <t>OUEST 170-220</t>
        </is>
      </c>
      <c r="F28" s="515" t="inlineStr">
        <is>
          <t>SC-PW</t>
        </is>
      </c>
      <c r="G28" s="520" t="inlineStr">
        <is>
          <t>H4N 230-300</t>
        </is>
      </c>
      <c r="H28" s="852" t="inlineStr">
        <is>
          <t>H4</t>
        </is>
      </c>
      <c r="I28" s="815" t="n"/>
      <c r="J28" s="489" t="n">
        <v>175500</v>
      </c>
      <c r="K28" s="405">
        <f>IF(AND(H28=H27,J28-J27&lt;3000,J28-J27&gt;0),J28-J27,0)</f>
        <v/>
      </c>
      <c r="L28" s="801" t="n">
        <v>7.7</v>
      </c>
      <c r="M28" s="802">
        <f>IF(AND(H28=H27,L28-L27&lt;1.1,L28-L27&gt;0),L28-L27,0)</f>
        <v/>
      </c>
      <c r="N28" s="519" t="n">
        <v>2</v>
      </c>
      <c r="O28" s="443">
        <f>IF(K28=0,"-",K28/M28)</f>
        <v/>
      </c>
      <c r="P28" s="516" t="n"/>
      <c r="Q28" s="540" t="n"/>
      <c r="R28" s="808" t="n"/>
      <c r="S28" s="332" t="n"/>
      <c r="X28" s="332" t="n"/>
      <c r="Y28" s="333" t="n"/>
      <c r="Z28" s="334" t="n"/>
    </row>
    <row r="29" ht="32.25" customFormat="1" customHeight="1" s="332">
      <c r="B29" s="386" t="n">
        <v>0.5833333333333334</v>
      </c>
      <c r="C29" s="383" t="inlineStr">
        <is>
          <t>TBT</t>
        </is>
      </c>
      <c r="D29" s="387" t="n"/>
      <c r="E29" s="294" t="n"/>
      <c r="F29" s="417" t="inlineStr">
        <is>
          <t>SC-PW</t>
        </is>
      </c>
      <c r="G29" s="426" t="n"/>
      <c r="H29" s="814" t="inlineStr">
        <is>
          <t>H4</t>
        </is>
      </c>
      <c r="I29" s="815" t="n"/>
      <c r="J29" s="431" t="n">
        <v>177100</v>
      </c>
      <c r="K29" s="177">
        <f>IF(AND(H29=H28,J29-J28&lt;3000,J29-J28&gt;0),J29-J28,0)</f>
        <v/>
      </c>
      <c r="L29" s="855" t="n">
        <v>8.699999999999999</v>
      </c>
      <c r="M29" s="807">
        <f>IF(AND(H29=H28,L29-L28&lt;1.1,L29-L28&gt;0),L29-L28,0)</f>
        <v/>
      </c>
      <c r="N29" s="430" t="n">
        <v>2</v>
      </c>
      <c r="O29" s="301">
        <f>IF(K29=0,"-",K29/M29)</f>
        <v/>
      </c>
      <c r="P29" s="303">
        <f>IF(F29="sc-ba"," SC-BA","")</f>
        <v/>
      </c>
      <c r="Q29" s="544" t="n"/>
      <c r="R29" s="808" t="n"/>
      <c r="S29" s="332" t="n"/>
      <c r="X29" s="332" t="n"/>
      <c r="Y29" s="333" t="n"/>
      <c r="Z29" s="334" t="n"/>
    </row>
    <row r="30" ht="32.25" customFormat="1" customHeight="1" s="332">
      <c r="B30" s="386" t="n">
        <v>0.625</v>
      </c>
      <c r="C30" s="383" t="inlineStr">
        <is>
          <t>TBT</t>
        </is>
      </c>
      <c r="D30" s="387" t="n"/>
      <c r="E30" s="294" t="n"/>
      <c r="F30" s="417" t="inlineStr">
        <is>
          <t>SC-PW</t>
        </is>
      </c>
      <c r="G30" s="384" t="n"/>
      <c r="H30" s="814" t="inlineStr">
        <is>
          <t>H4</t>
        </is>
      </c>
      <c r="I30" s="815" t="n"/>
      <c r="J30" s="431" t="n">
        <v>178700</v>
      </c>
      <c r="K30" s="177">
        <f>IF(AND(H30=H29,J30-J29&lt;3000,J30-J29&gt;0),J30-J29,0)</f>
        <v/>
      </c>
      <c r="L30" s="855" t="n">
        <v>9.5</v>
      </c>
      <c r="M30" s="807">
        <f>IF(AND(H30=H29,L30-L29&lt;1.1,L30-L29&gt;0),L30-L29,0)</f>
        <v/>
      </c>
      <c r="N30" s="430" t="n">
        <v>2</v>
      </c>
      <c r="O30" s="301">
        <f>IF(K30=0,"-",K30/M30)</f>
        <v/>
      </c>
      <c r="P30" s="385">
        <f>IF(F30="sc-ba"," SC-BA","")</f>
        <v/>
      </c>
      <c r="Q30" s="598" t="n"/>
      <c r="R30" s="808" t="n"/>
      <c r="S30" s="332" t="n"/>
      <c r="X30" s="332" t="n"/>
      <c r="Y30" s="333" t="n"/>
      <c r="Z30" s="334" t="n"/>
    </row>
    <row r="31" ht="32.25" customFormat="1" customHeight="1" s="332">
      <c r="B31" s="386" t="n">
        <v>0.6666666666666666</v>
      </c>
      <c r="C31" s="383" t="inlineStr">
        <is>
          <t>TBT</t>
        </is>
      </c>
      <c r="D31" s="387" t="n"/>
      <c r="E31" s="294" t="n"/>
      <c r="F31" s="417" t="inlineStr">
        <is>
          <t>SC-PW</t>
        </is>
      </c>
      <c r="G31" s="426" t="n"/>
      <c r="H31" s="814" t="inlineStr">
        <is>
          <t>H4</t>
        </is>
      </c>
      <c r="I31" s="815" t="n"/>
      <c r="J31" s="431" t="n">
        <v>180500</v>
      </c>
      <c r="K31" s="177">
        <f>IF(AND(H31=H30,J31-J30&lt;3000,J31-J30&gt;0),J31-J30,0)</f>
        <v/>
      </c>
      <c r="L31" s="855" t="n">
        <v>10.5</v>
      </c>
      <c r="M31" s="807">
        <f>IF(AND(H31=H30,L31-L30&lt;1.1,L31-L30&gt;0),L31-L30,0)</f>
        <v/>
      </c>
      <c r="N31" s="430" t="n">
        <v>2</v>
      </c>
      <c r="O31" s="301">
        <f>IF(K31=0,"-",K31/M31)</f>
        <v/>
      </c>
      <c r="P31" s="303" t="n"/>
      <c r="Q31" s="544" t="n"/>
      <c r="R31" s="808" t="n"/>
      <c r="S31" s="332" t="n"/>
      <c r="X31" s="332" t="n"/>
      <c r="Y31" s="333" t="n"/>
      <c r="Z31" s="334" t="n"/>
    </row>
    <row r="32" ht="32.25" customFormat="1" customHeight="1" s="310">
      <c r="B32" s="386" t="n">
        <v>0.7083333333333334</v>
      </c>
      <c r="C32" s="383" t="inlineStr">
        <is>
          <t>TBT</t>
        </is>
      </c>
      <c r="D32" s="387" t="n"/>
      <c r="E32" s="294" t="n"/>
      <c r="F32" s="417" t="inlineStr">
        <is>
          <t>SC-PW</t>
        </is>
      </c>
      <c r="G32" s="272" t="n"/>
      <c r="H32" s="814" t="inlineStr">
        <is>
          <t>H4</t>
        </is>
      </c>
      <c r="I32" s="815" t="n"/>
      <c r="J32" s="431" t="n">
        <v>182600</v>
      </c>
      <c r="K32" s="177">
        <f>IF(AND(H32=H31,J32-J31&lt;3000,J32-J31&gt;0),J32-J31,0)</f>
        <v/>
      </c>
      <c r="L32" s="855" t="n">
        <v>11.5</v>
      </c>
      <c r="M32" s="807">
        <f>IF(AND(H32=H31,L32-L31&lt;1.1,L32-L31&gt;0),L32-L31,0)</f>
        <v/>
      </c>
      <c r="N32" s="495" t="n">
        <v>2</v>
      </c>
      <c r="O32" s="326">
        <f>IF(K32=0,"-",K32/M32)</f>
        <v/>
      </c>
      <c r="P32" s="385">
        <f>IF(F32="sc-ba"," SC-BA","")</f>
        <v/>
      </c>
      <c r="Q32" s="598" t="n"/>
      <c r="R32" s="808" t="n"/>
      <c r="S32" s="310" t="n"/>
      <c r="X32" s="310" t="n"/>
      <c r="Y32" s="311" t="n"/>
      <c r="Z32" s="312" t="n"/>
    </row>
    <row r="33" ht="32.25" customFormat="1" customHeight="1" s="332">
      <c r="B33" s="386" t="n">
        <v>0.75</v>
      </c>
      <c r="C33" s="383" t="inlineStr">
        <is>
          <t>TBT</t>
        </is>
      </c>
      <c r="D33" s="387" t="n"/>
      <c r="E33" s="294" t="n"/>
      <c r="F33" s="417" t="inlineStr">
        <is>
          <t>SC-PW</t>
        </is>
      </c>
      <c r="G33" s="426" t="n"/>
      <c r="H33" s="814" t="inlineStr">
        <is>
          <t>H4</t>
        </is>
      </c>
      <c r="I33" s="815" t="n"/>
      <c r="J33" s="431" t="n">
        <v>184600</v>
      </c>
      <c r="K33" s="177">
        <f>IF(AND(H33=H32,J33-J32&lt;3000,J33-J32&gt;0),J33-J32,0)</f>
        <v/>
      </c>
      <c r="L33" s="855" t="n">
        <v>12.5</v>
      </c>
      <c r="M33" s="807">
        <f>IF(AND(H33=H32,L33-L32&lt;1.1,L33-L32&gt;0),L33-L32,0)</f>
        <v/>
      </c>
      <c r="N33" s="430" t="n">
        <v>2</v>
      </c>
      <c r="O33" s="216">
        <f>IF(K33=0,"-",K33/M33)</f>
        <v/>
      </c>
      <c r="P33" s="263" t="n"/>
      <c r="Q33" s="545" t="n"/>
      <c r="R33" s="808" t="n"/>
      <c r="S33" s="332" t="n"/>
      <c r="X33" s="332" t="n"/>
      <c r="Y33" s="333" t="n"/>
      <c r="Z33" s="334" t="n"/>
    </row>
    <row r="34" ht="32.25" customFormat="1" customHeight="1" s="332">
      <c r="B34" s="386" t="n">
        <v>0.7916666666666666</v>
      </c>
      <c r="C34" s="383" t="inlineStr">
        <is>
          <t>TBT</t>
        </is>
      </c>
      <c r="D34" s="387" t="n"/>
      <c r="E34" s="294" t="n"/>
      <c r="F34" s="417" t="inlineStr">
        <is>
          <t>SC-PW</t>
        </is>
      </c>
      <c r="G34" s="426" t="n"/>
      <c r="H34" s="814" t="inlineStr">
        <is>
          <t>H4</t>
        </is>
      </c>
      <c r="I34" s="815" t="n"/>
      <c r="J34" s="431" t="n">
        <v>186000</v>
      </c>
      <c r="K34" s="177">
        <f>IF(AND(H34=H33,J34-J33&lt;3000,J34-J33&gt;0),J34-J33,0)</f>
        <v/>
      </c>
      <c r="L34" s="855" t="n">
        <v>13.2</v>
      </c>
      <c r="M34" s="807">
        <f>IF(AND(H34=H33,L34-L33&lt;1.1,L34-L33&gt;0),L34-L33,0)</f>
        <v/>
      </c>
      <c r="N34" s="430" t="n">
        <v>3</v>
      </c>
      <c r="O34" s="216">
        <f>IF(K34=0,"-",K34/M34)</f>
        <v/>
      </c>
      <c r="P34" s="263" t="n"/>
      <c r="Q34" s="545" t="n"/>
      <c r="R34" s="808" t="n"/>
      <c r="S34" s="332" t="n"/>
      <c r="X34" s="332" t="n"/>
      <c r="Y34" s="333" t="n"/>
      <c r="Z34" s="334" t="n"/>
    </row>
    <row r="35" ht="32.25" customFormat="1" customHeight="1" s="332">
      <c r="B35" s="511" t="n">
        <v>0.8333333333333334</v>
      </c>
      <c r="C35" s="445" t="inlineStr">
        <is>
          <t>TBT</t>
        </is>
      </c>
      <c r="D35" s="446" t="inlineStr">
        <is>
          <t>T2S 29 04 23</t>
        </is>
      </c>
      <c r="E35" s="442" t="inlineStr">
        <is>
          <t>OUEST 170-220</t>
        </is>
      </c>
      <c r="F35" s="524" t="inlineStr">
        <is>
          <t>SC-PW</t>
        </is>
      </c>
      <c r="G35" s="520" t="inlineStr">
        <is>
          <t>H4S280/300</t>
        </is>
      </c>
      <c r="H35" s="857" t="inlineStr">
        <is>
          <t>H4</t>
        </is>
      </c>
      <c r="I35" s="815" t="n"/>
      <c r="J35" s="525" t="n">
        <v>187800</v>
      </c>
      <c r="K35" s="526">
        <f>IF(AND(H35=H34,J35-J34&lt;3000,J35-J34&gt;0),J35-J34,0)</f>
        <v/>
      </c>
      <c r="L35" s="859" t="n">
        <v>14</v>
      </c>
      <c r="M35" s="860">
        <f>IF(AND(H35=H34,L35-L34&lt;1.1,L35-L34&gt;0),L35-L34,0)</f>
        <v/>
      </c>
      <c r="N35" s="529" t="n">
        <v>3</v>
      </c>
      <c r="O35" s="530">
        <f>IF(K35=0,"-",K35/M35)</f>
        <v/>
      </c>
      <c r="P35" s="531">
        <f>IF(F35="sc-ba"," SC-BA","")</f>
        <v/>
      </c>
      <c r="Q35" s="653" t="n"/>
      <c r="R35" s="808" t="n"/>
      <c r="S35" s="332" t="n"/>
      <c r="X35" s="332" t="n"/>
      <c r="Y35" s="333" t="n"/>
      <c r="Z35" s="334" t="n"/>
    </row>
    <row r="36" ht="32.25" customFormat="1" customHeight="1" s="332">
      <c r="B36" s="386" t="n">
        <v>0.875</v>
      </c>
      <c r="C36" s="383" t="inlineStr">
        <is>
          <t>TBT</t>
        </is>
      </c>
      <c r="D36" s="387" t="n"/>
      <c r="E36" s="294" t="n"/>
      <c r="F36" s="417" t="inlineStr">
        <is>
          <t>SC-PW</t>
        </is>
      </c>
      <c r="G36" s="384" t="n"/>
      <c r="H36" s="814" t="inlineStr">
        <is>
          <t>H4</t>
        </is>
      </c>
      <c r="I36" s="815" t="n"/>
      <c r="J36" s="431" t="n">
        <v>189800</v>
      </c>
      <c r="K36" s="177">
        <f>IF(AND(H36=H35,J36-J35&lt;3000,J36-J35&gt;0),J36-J35,0)</f>
        <v/>
      </c>
      <c r="L36" s="855" t="n">
        <v>15</v>
      </c>
      <c r="M36" s="807">
        <f>IF(AND(H36=H35,L36-L35&lt;1.1,L36-L35&gt;0),L36-L35,0)</f>
        <v/>
      </c>
      <c r="N36" s="430" t="n">
        <v>3</v>
      </c>
      <c r="O36" s="216">
        <f>IF(K36=0,"-",K36/M36)</f>
        <v/>
      </c>
      <c r="P36" s="263">
        <f>IF(F36="sc-ba"," SC-BA","")</f>
        <v/>
      </c>
      <c r="Q36" s="545" t="n"/>
      <c r="R36" s="808" t="n"/>
      <c r="S36" s="332" t="n"/>
      <c r="X36" s="332" t="n"/>
      <c r="Y36" s="333" t="n"/>
      <c r="Z36" s="334" t="n"/>
    </row>
    <row r="37" ht="32.25" customFormat="1" customHeight="1" s="332">
      <c r="B37" s="230" t="n">
        <v>0.8958333333333334</v>
      </c>
      <c r="C37" s="383" t="inlineStr">
        <is>
          <t>TBT</t>
        </is>
      </c>
      <c r="D37" s="387" t="n"/>
      <c r="E37" s="294" t="n"/>
      <c r="F37" s="417" t="inlineStr">
        <is>
          <t>SC-PW</t>
        </is>
      </c>
      <c r="G37" s="426" t="n"/>
      <c r="H37" s="814" t="inlineStr">
        <is>
          <t>H4</t>
        </is>
      </c>
      <c r="I37" s="815" t="n"/>
      <c r="J37" s="431" t="n">
        <v>190800</v>
      </c>
      <c r="K37" s="177">
        <f>IF(AND(H37=H36,J37-J36&lt;3000,J37-J36&gt;0),J37-J36,0)</f>
        <v/>
      </c>
      <c r="L37" s="855" t="n">
        <v>15.5</v>
      </c>
      <c r="M37" s="807">
        <f>IF(AND(H37=H36,L37-L36&lt;1.1,L37-L36&gt;0),L37-L36,0)</f>
        <v/>
      </c>
      <c r="N37" s="430" t="n">
        <v>3</v>
      </c>
      <c r="O37" s="216">
        <f>IF(K37=0,"-",K37/M37)</f>
        <v/>
      </c>
      <c r="P37" s="263">
        <f>IF(F37="sc-ba"," SC-BA","")</f>
        <v/>
      </c>
      <c r="Q37" s="545" t="n"/>
      <c r="R37" s="808" t="n"/>
      <c r="S37" s="332" t="n"/>
      <c r="X37" s="332" t="n"/>
      <c r="Y37" s="333" t="n"/>
      <c r="Z37" s="334" t="n"/>
    </row>
    <row r="38" ht="32.25" customFormat="1" customHeight="1" s="332">
      <c r="B38" s="400" t="n"/>
      <c r="C38" s="398" t="inlineStr">
        <is>
          <t>BT</t>
        </is>
      </c>
      <c r="D38" s="446" t="inlineStr">
        <is>
          <t>T2S 39 04 23</t>
        </is>
      </c>
      <c r="E38" s="442" t="inlineStr">
        <is>
          <t>EST 90-120</t>
        </is>
      </c>
      <c r="F38" s="488" t="inlineStr">
        <is>
          <t>SC-PW</t>
        </is>
      </c>
      <c r="G38" s="520" t="inlineStr">
        <is>
          <t>H4S 300-320</t>
        </is>
      </c>
      <c r="H38" s="852" t="inlineStr">
        <is>
          <t>H4</t>
        </is>
      </c>
      <c r="I38" s="815" t="n"/>
      <c r="J38" s="521" t="n">
        <v>190800</v>
      </c>
      <c r="K38" s="405">
        <f>IF(AND(H38=H37,J38-J37&lt;3000,J38-J37&gt;0),J38-J37,0)</f>
        <v/>
      </c>
      <c r="L38" s="819" t="n">
        <v>15.5</v>
      </c>
      <c r="M38" s="802">
        <f>IF(AND(H38=H37,L38-L37&lt;1.1,L38-L37&gt;0),L38-L37,0)</f>
        <v/>
      </c>
      <c r="N38" s="519" t="n"/>
      <c r="O38" s="216">
        <f>IF(K38=0,"-",K38/M38)</f>
        <v/>
      </c>
      <c r="P38" s="263">
        <f>IF(F38="sc-ba"," SC-BA","")</f>
        <v/>
      </c>
      <c r="Q38" s="545" t="n"/>
      <c r="R38" s="808" t="n"/>
      <c r="S38" s="332" t="n"/>
      <c r="X38" s="332" t="n"/>
      <c r="Y38" s="333" t="n"/>
      <c r="Z38" s="334" t="n"/>
    </row>
    <row r="39" ht="33.75" customFormat="1" customHeight="1" s="332">
      <c r="B39" s="230" t="n">
        <v>0.9166666666666666</v>
      </c>
      <c r="C39" s="480" t="inlineStr">
        <is>
          <t>BT</t>
        </is>
      </c>
      <c r="D39" s="387" t="n"/>
      <c r="E39" s="294" t="n"/>
      <c r="F39" s="482" t="inlineStr">
        <is>
          <t>SC-PW</t>
        </is>
      </c>
      <c r="G39" s="426" t="n"/>
      <c r="H39" s="814" t="inlineStr">
        <is>
          <t>H4</t>
        </is>
      </c>
      <c r="I39" s="815" t="n"/>
      <c r="J39" s="431" t="n">
        <v>191400</v>
      </c>
      <c r="K39" s="177">
        <f>IF(AND(H39=H38,J39-J38&lt;3000,J39-J38&gt;0),J39-J38,0)</f>
        <v/>
      </c>
      <c r="L39" s="855" t="n">
        <v>16</v>
      </c>
      <c r="M39" s="807">
        <f>IF(AND(H39=H38,L39-L38&lt;1.1,L39-L38&gt;0),L39-L38,0)</f>
        <v/>
      </c>
      <c r="N39" s="430" t="n">
        <v>3</v>
      </c>
      <c r="O39" s="216">
        <f>IF(K39=0,"-",K39/M39)</f>
        <v/>
      </c>
      <c r="P39" s="263">
        <f>IF(F39="sc-ba"," SC-BA","")</f>
        <v/>
      </c>
      <c r="Q39" s="545" t="n"/>
      <c r="R39" s="808" t="n"/>
      <c r="S39" s="332" t="n"/>
      <c r="X39" s="332" t="n"/>
      <c r="Y39" s="333" t="n"/>
      <c r="Z39" s="334" t="n"/>
    </row>
    <row r="40" ht="32.25" customFormat="1" customHeight="1" s="332">
      <c r="B40" s="424" t="n">
        <v>0.9583333333333334</v>
      </c>
      <c r="C40" s="480" t="inlineStr">
        <is>
          <t>BT</t>
        </is>
      </c>
      <c r="D40" s="387" t="n"/>
      <c r="E40" s="280" t="n"/>
      <c r="F40" s="417" t="inlineStr">
        <is>
          <t>SC-PW</t>
        </is>
      </c>
      <c r="G40" s="426" t="n"/>
      <c r="H40" s="814" t="inlineStr">
        <is>
          <t>H4</t>
        </is>
      </c>
      <c r="I40" s="815" t="n"/>
      <c r="J40" s="431" t="n">
        <v>192000</v>
      </c>
      <c r="K40" s="177">
        <f>IF(AND(H40=H39,J40-J39&lt;3000,J40-J39&gt;0),J40-J39,0)</f>
        <v/>
      </c>
      <c r="L40" s="810" t="n">
        <v>16.3</v>
      </c>
      <c r="M40" s="807">
        <f>IF(AND(H40=H39,L40-L39&lt;1.1,L40-L39&gt;0),L40-L39,0)</f>
        <v/>
      </c>
      <c r="N40" s="455" t="n">
        <v>3</v>
      </c>
      <c r="O40" s="301">
        <f>IF(K40=0,"-",K40/M40)</f>
        <v/>
      </c>
      <c r="P40" s="303">
        <f>IF(F40="sc-ba"," SC-BA","")</f>
        <v/>
      </c>
      <c r="Q40" s="544" t="n"/>
      <c r="R40" s="808" t="n"/>
      <c r="S40" s="332" t="n"/>
      <c r="X40" s="332" t="n"/>
      <c r="Y40" s="333" t="n"/>
      <c r="Z40" s="334" t="n"/>
    </row>
    <row r="41" ht="32.25" customFormat="1" customHeight="1" s="332">
      <c r="B41" s="534" t="n"/>
      <c r="C41" s="535" t="inlineStr">
        <is>
          <t>BT</t>
        </is>
      </c>
      <c r="D41" s="522" t="n"/>
      <c r="E41" s="536" t="n"/>
      <c r="F41" s="524" t="inlineStr">
        <is>
          <t>SC-PW</t>
        </is>
      </c>
      <c r="G41" s="537" t="n"/>
      <c r="H41" s="857" t="inlineStr">
        <is>
          <t>H4</t>
        </is>
      </c>
      <c r="I41" s="815" t="n"/>
      <c r="J41" s="525" t="n">
        <v>192000</v>
      </c>
      <c r="K41" s="526">
        <f>IF(AND(H41=H40,J41-J40&lt;3000,J41-J40&gt;0),J41-J40,0)</f>
        <v/>
      </c>
      <c r="L41" s="853" t="n">
        <v>0</v>
      </c>
      <c r="M41" s="860">
        <f>IF(AND(H41=H40,L41-L40&lt;1.1,L41-L40&gt;0),L41-L40,0)</f>
        <v/>
      </c>
      <c r="N41" s="538" t="n"/>
      <c r="O41" s="505">
        <f>IF(K41=0,"-",K41/M41)</f>
        <v/>
      </c>
      <c r="P41" s="539">
        <f>IF(F41="sc-ba"," SC-BA","")</f>
        <v/>
      </c>
      <c r="Q41" s="638" t="n"/>
      <c r="R41" s="808" t="n"/>
      <c r="S41" s="332" t="n"/>
      <c r="X41" s="332" t="n"/>
      <c r="Y41" s="333" t="n"/>
      <c r="Z41" s="334" t="n"/>
    </row>
    <row r="42" ht="32.25" customFormat="1" customHeight="1" s="332">
      <c r="B42" s="424" t="n">
        <v>0</v>
      </c>
      <c r="C42" s="480" t="inlineStr">
        <is>
          <t>BT</t>
        </is>
      </c>
      <c r="D42" s="456" t="n"/>
      <c r="E42" s="460" t="n"/>
      <c r="F42" s="417" t="inlineStr">
        <is>
          <t>SC-PW</t>
        </is>
      </c>
      <c r="G42" s="457" t="n"/>
      <c r="H42" s="814" t="inlineStr">
        <is>
          <t>H4</t>
        </is>
      </c>
      <c r="I42" s="815" t="n"/>
      <c r="J42" s="458" t="n">
        <v>193300</v>
      </c>
      <c r="K42" s="177">
        <f>IF(AND(H42=H41,J42-J41&lt;3000,J42-J41&gt;0),J42-J41,0)</f>
        <v/>
      </c>
      <c r="L42" s="810" t="n">
        <v>0.6</v>
      </c>
      <c r="M42" s="807">
        <f>IF(AND(H42=H41,L42-L41&lt;1.1,L42-L41&gt;0),L42-L41,0)</f>
        <v/>
      </c>
      <c r="N42" s="459" t="n">
        <v>3</v>
      </c>
      <c r="O42" s="301">
        <f>IF(K42=0,"-",K42/M42)</f>
        <v/>
      </c>
      <c r="P42" s="303" t="n"/>
      <c r="Q42" s="544" t="n"/>
      <c r="R42" s="543" t="n"/>
      <c r="S42" s="332" t="n"/>
      <c r="X42" s="332" t="n"/>
      <c r="Y42" s="333" t="n"/>
      <c r="Z42" s="334" t="n"/>
    </row>
    <row r="43" ht="32.25" customFormat="1" customHeight="1" s="332">
      <c r="B43" s="424" t="n"/>
      <c r="C43" s="425" t="n"/>
      <c r="D43" s="456" t="n"/>
      <c r="E43" s="460" t="n"/>
      <c r="F43" s="417" t="n"/>
      <c r="G43" s="457" t="n"/>
      <c r="H43" s="814" t="n"/>
      <c r="I43" s="815" t="n"/>
      <c r="J43" s="458" t="n"/>
      <c r="K43" s="287">
        <f>IF(AND(H43=H42,J43-J42&lt;3000,J43-J42&gt;0),J43-J42,0)</f>
        <v/>
      </c>
      <c r="L43" s="810" t="n"/>
      <c r="M43" s="812">
        <f>IF(AND(H43=H42,L43-L42&lt;1.1,L43-L42&gt;0),L43-L42,0)</f>
        <v/>
      </c>
      <c r="N43" s="459" t="n"/>
      <c r="O43" s="301">
        <f>IF(K43=0,"-",K43/M43)</f>
        <v/>
      </c>
      <c r="P43" s="303" t="n"/>
      <c r="Q43" s="544" t="n"/>
      <c r="R43" s="543" t="n"/>
      <c r="S43" s="332" t="n"/>
      <c r="X43" s="332" t="n"/>
      <c r="Y43" s="333" t="n"/>
      <c r="Z43" s="334" t="n"/>
    </row>
    <row r="44" ht="32.25" customFormat="1" customHeight="1" s="332">
      <c r="B44" s="424" t="n"/>
      <c r="C44" s="425" t="n"/>
      <c r="D44" s="456" t="n"/>
      <c r="E44" s="460" t="n"/>
      <c r="F44" s="417" t="n"/>
      <c r="G44" s="457" t="n"/>
      <c r="H44" s="814" t="n"/>
      <c r="I44" s="815" t="n"/>
      <c r="J44" s="458" t="n"/>
      <c r="K44" s="287">
        <f>IF(AND(H44=H43,J44-J43&lt;3000,J44-J43&gt;0),J44-J43,0)</f>
        <v/>
      </c>
      <c r="L44" s="810" t="n"/>
      <c r="M44" s="812">
        <f>IF(AND(H44=H43,L44-L43&lt;1.1,L44-L43&gt;0),L44-L43,0)</f>
        <v/>
      </c>
      <c r="N44" s="459" t="n"/>
      <c r="O44" s="301">
        <f>IF(K44=0,"-",K44/M44)</f>
        <v/>
      </c>
      <c r="P44" s="303" t="n"/>
      <c r="Q44" s="544" t="n"/>
      <c r="R44" s="543" t="n"/>
      <c r="S44" s="332" t="n"/>
      <c r="X44" s="332" t="n"/>
      <c r="Y44" s="333" t="n"/>
      <c r="Z44" s="334" t="n"/>
    </row>
    <row r="45" ht="32.25" customFormat="1" customHeight="1" s="332">
      <c r="B45" s="424" t="n"/>
      <c r="C45" s="425" t="n"/>
      <c r="D45" s="456" t="n"/>
      <c r="E45" s="460" t="n"/>
      <c r="F45" s="417" t="n"/>
      <c r="G45" s="457" t="n"/>
      <c r="H45" s="814" t="n"/>
      <c r="I45" s="815" t="n"/>
      <c r="J45" s="458" t="n"/>
      <c r="K45" s="287">
        <f>IF(AND(H45=H44,J45-J44&lt;3000,J45-J44&gt;0),J45-J44,0)</f>
        <v/>
      </c>
      <c r="L45" s="810" t="n"/>
      <c r="M45" s="812">
        <f>IF(AND(H45=H44,L45-L44&lt;1.1,L45-L44&gt;0),L45-L44,0)</f>
        <v/>
      </c>
      <c r="N45" s="459" t="n"/>
      <c r="O45" s="301">
        <f>IF(K45=0,"-",K45/M45)</f>
        <v/>
      </c>
      <c r="P45" s="303" t="n"/>
      <c r="Q45" s="544" t="n"/>
      <c r="R45" s="543" t="n"/>
      <c r="S45" s="332" t="n"/>
      <c r="X45" s="332" t="n"/>
      <c r="Y45" s="333" t="n"/>
      <c r="Z45" s="334" t="n"/>
    </row>
    <row r="46" ht="32.25" customFormat="1" customHeight="1" s="332">
      <c r="B46" s="424" t="n"/>
      <c r="C46" s="425" t="n"/>
      <c r="D46" s="456" t="n"/>
      <c r="E46" s="460" t="n"/>
      <c r="F46" s="417" t="n"/>
      <c r="G46" s="457" t="n"/>
      <c r="H46" s="814" t="n"/>
      <c r="I46" s="815" t="n"/>
      <c r="J46" s="458" t="n"/>
      <c r="K46" s="287">
        <f>IF(AND(H46=H45,J46-J45&lt;3000,J46-J45&gt;0),J46-J45,0)</f>
        <v/>
      </c>
      <c r="L46" s="810" t="n"/>
      <c r="M46" s="812">
        <f>IF(AND(H46=H45,L46-L45&lt;1.1,L46-L45&gt;0),L46-L45,0)</f>
        <v/>
      </c>
      <c r="N46" s="459" t="n"/>
      <c r="O46" s="301">
        <f>IF(K46=0,"-",K46/M46)</f>
        <v/>
      </c>
      <c r="P46" s="303" t="n"/>
      <c r="Q46" s="544" t="n"/>
      <c r="R46" s="543" t="n"/>
      <c r="S46" s="332" t="n"/>
      <c r="X46" s="332" t="n"/>
      <c r="Y46" s="333" t="n"/>
      <c r="Z46" s="334" t="n"/>
    </row>
    <row r="47" ht="32.25" customFormat="1" customHeight="1" s="332">
      <c r="B47" s="424" t="n"/>
      <c r="C47" s="425" t="n"/>
      <c r="D47" s="456" t="n"/>
      <c r="E47" s="460" t="n"/>
      <c r="F47" s="417" t="n"/>
      <c r="G47" s="457" t="n"/>
      <c r="H47" s="814" t="n"/>
      <c r="I47" s="815" t="n"/>
      <c r="J47" s="458" t="n"/>
      <c r="K47" s="287">
        <f>IF(AND(H47=H46,J47-J46&lt;3000,J47-J46&gt;0),J47-J46,0)</f>
        <v/>
      </c>
      <c r="L47" s="810" t="n"/>
      <c r="M47" s="812">
        <f>IF(AND(H47=H46,L47-L46&lt;1.1,L47-L46&gt;0),L47-L46,0)</f>
        <v/>
      </c>
      <c r="N47" s="459" t="n"/>
      <c r="O47" s="301" t="n"/>
      <c r="P47" s="303" t="n"/>
      <c r="Q47" s="544" t="n"/>
      <c r="R47" s="543" t="n"/>
      <c r="S47" s="332" t="n"/>
      <c r="X47" s="332" t="n"/>
      <c r="Y47" s="333" t="n"/>
      <c r="Z47" s="334" t="n"/>
    </row>
    <row r="48" ht="32.25" customFormat="1" customHeight="1" s="332">
      <c r="B48" s="424" t="n"/>
      <c r="C48" s="425" t="n"/>
      <c r="D48" s="456" t="n"/>
      <c r="E48" s="460" t="n"/>
      <c r="F48" s="417" t="n"/>
      <c r="G48" s="457" t="n"/>
      <c r="H48" s="814" t="n"/>
      <c r="I48" s="815" t="n"/>
      <c r="J48" s="458" t="n"/>
      <c r="K48" s="287">
        <f>IF(AND(H48=H47,J48-J47&lt;3000,J48-J47&gt;0),J48-J47,0)</f>
        <v/>
      </c>
      <c r="L48" s="810" t="n"/>
      <c r="M48" s="812">
        <f>IF(AND(H48=H47,L48-L47&lt;1.1,L48-L47&gt;0),L48-L47,0)</f>
        <v/>
      </c>
      <c r="N48" s="459" t="n"/>
      <c r="O48" s="301" t="n"/>
      <c r="P48" s="303" t="n"/>
      <c r="Q48" s="544" t="n"/>
      <c r="R48" s="543" t="n"/>
      <c r="S48" s="332" t="n"/>
      <c r="X48" s="332" t="n"/>
      <c r="Y48" s="333" t="n"/>
      <c r="Z48" s="334" t="n"/>
    </row>
    <row r="49" ht="32.25" customFormat="1" customHeight="1" s="332">
      <c r="B49" s="424" t="n"/>
      <c r="C49" s="425" t="n"/>
      <c r="D49" s="456" t="n"/>
      <c r="E49" s="460" t="n"/>
      <c r="F49" s="417" t="n"/>
      <c r="G49" s="457" t="n"/>
      <c r="H49" s="814" t="n"/>
      <c r="I49" s="815" t="n"/>
      <c r="J49" s="458" t="n"/>
      <c r="K49" s="287">
        <f>IF(AND(H49=H48,J49-J48&lt;3000,J49-J48&gt;0),J49-J48,0)</f>
        <v/>
      </c>
      <c r="L49" s="810" t="n"/>
      <c r="M49" s="812">
        <f>IF(AND(H49=H48,L49-L48&lt;1.1,L49-L48&gt;0),L49-L48,0)</f>
        <v/>
      </c>
      <c r="N49" s="459" t="n"/>
      <c r="O49" s="301">
        <f>IF(K49=0,"-",K49/M49)</f>
        <v/>
      </c>
      <c r="P49" s="303" t="n"/>
      <c r="Q49" s="544" t="n"/>
      <c r="R49" s="543" t="n"/>
      <c r="S49" s="332" t="n"/>
      <c r="X49" s="332" t="n"/>
      <c r="Y49" s="333" t="n"/>
      <c r="Z49" s="334" t="n"/>
    </row>
    <row r="50" ht="32.25" customHeight="1">
      <c r="B50" s="217" t="n"/>
      <c r="C50" s="215" t="n"/>
      <c r="D50" s="274" t="n"/>
      <c r="E50" s="274" t="n"/>
      <c r="F50" s="335" t="n"/>
      <c r="G50" s="275" t="n"/>
      <c r="H50" s="861" t="n"/>
      <c r="I50" s="815" t="n"/>
      <c r="J50" s="276" t="n"/>
      <c r="K50" s="299">
        <f>IF(AND(H50=H45,J50-J45&lt;3000,J50-J45&gt;0),J50-J45,0)</f>
        <v/>
      </c>
      <c r="L50" s="810" t="n"/>
      <c r="M50" s="822">
        <f>IF(AND(H50=H49,L50-L49&lt;1.1,L50-L49&gt;0),L50-L49,0)</f>
        <v/>
      </c>
      <c r="N50" s="277" t="n"/>
      <c r="O50" s="216">
        <f>IF(K50=0,"-",K50/M50)</f>
        <v/>
      </c>
      <c r="P50" s="263">
        <f>IF(F50="sc-ba"," SC-BA","")</f>
        <v/>
      </c>
      <c r="Q50" s="545" t="n"/>
      <c r="R50" s="808" t="n"/>
      <c r="S50" s="378" t="n"/>
      <c r="X50" s="378" t="n"/>
      <c r="Y50" s="76" t="n"/>
      <c r="Z50" s="77" t="n"/>
    </row>
    <row r="51" ht="32.25" customHeight="1">
      <c r="B51" s="218" t="n"/>
      <c r="C51" s="219" t="n"/>
      <c r="D51" s="298" t="n"/>
      <c r="E51" s="202" t="n"/>
      <c r="F51" s="220" t="n"/>
      <c r="G51" s="221" t="n"/>
      <c r="H51" s="817" t="n"/>
      <c r="I51" s="800" t="n"/>
      <c r="J51" s="180" t="n"/>
      <c r="K51" s="359" t="n"/>
      <c r="L51" s="862" t="n"/>
      <c r="M51" s="818" t="n"/>
      <c r="N51" s="205" t="n"/>
      <c r="O51" s="250">
        <f>IF(K51=0,"-",K51/M51)</f>
        <v/>
      </c>
      <c r="P51" s="264">
        <f>IF(F51="sc-ba"," SC-BA","")</f>
        <v/>
      </c>
      <c r="Q51" s="608" t="n"/>
      <c r="R51" s="808" t="n"/>
      <c r="S51" s="378" t="n"/>
      <c r="X51" s="378" t="n"/>
      <c r="Y51" s="76" t="n"/>
      <c r="Z51" s="77" t="n"/>
    </row>
    <row r="52" ht="32.25" customFormat="1" customHeight="1" s="378">
      <c r="B52" s="400" t="n"/>
      <c r="C52" s="445" t="n"/>
      <c r="D52" s="446" t="n"/>
      <c r="E52" s="442" t="n"/>
      <c r="F52" s="468" t="n"/>
      <c r="G52" s="399" t="n"/>
      <c r="H52" s="704" t="n"/>
      <c r="I52" s="800" t="n"/>
      <c r="J52" s="478" t="n"/>
      <c r="K52" s="405">
        <f>IF(AND(H52=H51,J52-J51&lt;3000,J52-J51&gt;0),J52-J51,0)</f>
        <v/>
      </c>
      <c r="L52" s="801" t="n"/>
      <c r="M52" s="802">
        <f>IF(AND(H52=H51,L52-L51&lt;1.1,L52-L51&gt;0),L52-L51,0)</f>
        <v/>
      </c>
      <c r="N52" s="409" t="n"/>
      <c r="O52" s="443">
        <f>IF(K52=0,"-",K52/M52)</f>
        <v/>
      </c>
      <c r="P52" s="479">
        <f>IF(F52="sc-ba"," SC-BA","")</f>
        <v/>
      </c>
      <c r="Q52" s="540" t="n"/>
      <c r="R52" s="808" t="n"/>
      <c r="S52" s="378" t="n"/>
      <c r="X52" s="378" t="n"/>
      <c r="Y52" s="76" t="n"/>
      <c r="Z52" s="77" t="n"/>
    </row>
    <row r="53" ht="32.25" customHeight="1">
      <c r="B53" s="230" t="n"/>
      <c r="C53" s="215" t="n"/>
      <c r="D53" s="191" t="n"/>
      <c r="E53" s="191" t="n"/>
      <c r="F53" s="143" t="n"/>
      <c r="G53" s="197" t="n"/>
      <c r="H53" s="718" t="n"/>
      <c r="I53" s="800" t="n"/>
      <c r="J53" s="305" t="n"/>
      <c r="K53" s="287">
        <f>IF(AND(H53=H52,J53-J52&lt;3000,J53-J52&gt;0),J53-J52,0)</f>
        <v/>
      </c>
      <c r="L53" s="811" t="n"/>
      <c r="M53" s="812">
        <f>IF(AND(H53=H52,L53-L52&lt;1.1,L53-L52&gt;0),L53-L52,0)</f>
        <v/>
      </c>
      <c r="N53" s="227" t="n"/>
      <c r="O53" s="216">
        <f>IF(K53=0,"-",K53/M53)</f>
        <v/>
      </c>
      <c r="P53" s="263">
        <f>IF(F53="sc-ba"," SC-BA","")</f>
        <v/>
      </c>
      <c r="Q53" s="545" t="n"/>
      <c r="R53" s="808" t="n"/>
      <c r="S53" s="378" t="n"/>
      <c r="X53" s="378" t="n"/>
      <c r="Y53" s="76" t="n"/>
      <c r="Z53" s="77" t="n"/>
    </row>
    <row r="54" ht="32.25" customFormat="1" customHeight="1" s="378">
      <c r="B54" s="230" t="n"/>
      <c r="C54" s="383" t="n"/>
      <c r="D54" s="494" t="n"/>
      <c r="E54" s="270" t="n"/>
      <c r="F54" s="417" t="n"/>
      <c r="G54" s="384" t="n"/>
      <c r="H54" s="863" t="n"/>
      <c r="I54" s="800" t="n"/>
      <c r="J54" s="184" t="n"/>
      <c r="K54" s="287">
        <f>IF(AND(H54=H53,J54-J53&lt;3000,J54-J53&gt;0),J54-J53,0)</f>
        <v/>
      </c>
      <c r="L54" s="811" t="n"/>
      <c r="M54" s="812">
        <f>IF(AND(H54=H53,L54-L53&lt;1.1,L54-L53&gt;0),L54-L53,0)</f>
        <v/>
      </c>
      <c r="N54" s="292" t="n"/>
      <c r="O54" s="301">
        <f>IF(K54=0,"-",K54/M54)</f>
        <v/>
      </c>
      <c r="P54" s="303" t="n"/>
      <c r="Q54" s="598" t="n"/>
      <c r="R54" s="808" t="n"/>
      <c r="S54" s="378" t="n"/>
      <c r="X54" s="378" t="n"/>
      <c r="Y54" s="76" t="n"/>
      <c r="Z54" s="77" t="n"/>
    </row>
    <row r="55" ht="32.25" customHeight="1">
      <c r="B55" s="230" t="n"/>
      <c r="C55" s="215" t="n"/>
      <c r="D55" s="251" t="n"/>
      <c r="E55" s="270" t="n"/>
      <c r="F55" s="143" t="n"/>
      <c r="G55" s="197" t="n"/>
      <c r="H55" s="718" t="n"/>
      <c r="I55" s="800" t="n"/>
      <c r="J55" s="184" t="n"/>
      <c r="K55" s="287">
        <f>IF(AND(H55=H54,J55-J54&lt;3000,J55-J54&gt;0),J55-J54,0)</f>
        <v/>
      </c>
      <c r="L55" s="810" t="n"/>
      <c r="M55" s="812">
        <f>IF(AND(H55=H54,L55-L54&lt;1.1,L55-L54&gt;0),L55-L54,0)</f>
        <v/>
      </c>
      <c r="N55" s="227" t="n"/>
      <c r="O55" s="216">
        <f>IF(K55=0,"-",K55/M55)</f>
        <v/>
      </c>
      <c r="P55" s="263" t="n"/>
      <c r="Q55" s="545" t="n"/>
      <c r="R55" s="546" t="n"/>
      <c r="S55" s="378" t="n"/>
      <c r="X55" s="378" t="n"/>
      <c r="Y55" s="76" t="n"/>
      <c r="Z55" s="77" t="n"/>
    </row>
    <row r="56" ht="32.25" customHeight="1">
      <c r="B56" s="230" t="n"/>
      <c r="C56" s="215" t="n"/>
      <c r="D56" s="251" t="n"/>
      <c r="E56" s="270" t="n"/>
      <c r="F56" s="143" t="n"/>
      <c r="G56" s="197" t="n"/>
      <c r="H56" s="718" t="n"/>
      <c r="I56" s="800" t="n"/>
      <c r="J56" s="184" t="n"/>
      <c r="K56" s="287">
        <f>IF(AND(H56=H55,J56-J55&lt;3000,J56-J55&gt;0),J56-J55,0)</f>
        <v/>
      </c>
      <c r="L56" s="810" t="n"/>
      <c r="M56" s="812">
        <f>IF(AND(H56=H55,L56-L55&lt;1.1,L56-L55&gt;0),L56-L55,0)</f>
        <v/>
      </c>
      <c r="N56" s="227" t="n"/>
      <c r="O56" s="216">
        <f>IF(K56=0,"-",K56/M56)</f>
        <v/>
      </c>
      <c r="P56" s="263" t="n"/>
      <c r="Q56" s="545" t="n"/>
      <c r="R56" s="546" t="n"/>
      <c r="S56" s="378" t="n"/>
      <c r="X56" s="378" t="n"/>
      <c r="Y56" s="76" t="n"/>
      <c r="Z56" s="77" t="n"/>
    </row>
    <row r="57" ht="32.25" customHeight="1">
      <c r="B57" s="230" t="n"/>
      <c r="C57" s="215" t="n"/>
      <c r="D57" s="231" t="n"/>
      <c r="E57" s="231" t="n"/>
      <c r="F57" s="143" t="n"/>
      <c r="G57" s="197" t="n"/>
      <c r="H57" s="634" t="n"/>
      <c r="I57" s="635" t="n"/>
      <c r="J57" s="184" t="n"/>
      <c r="K57" s="287">
        <f>IF(AND(H57=H56,J57-J56&lt;3000,J57-J56&gt;0),J57-J56,0)</f>
        <v/>
      </c>
      <c r="L57" s="810" t="n"/>
      <c r="M57" s="812">
        <f>IF(AND(H57=H56,L57-L56&lt;1.1,L57-L56&gt;0),L57-L56,0)</f>
        <v/>
      </c>
      <c r="N57" s="227" t="n"/>
      <c r="O57" s="216">
        <f>IF(K57=0,"-",K57/M57)</f>
        <v/>
      </c>
      <c r="P57" s="263" t="n"/>
      <c r="Q57" s="545" t="n"/>
      <c r="R57" s="546" t="n"/>
      <c r="S57" s="378" t="n"/>
      <c r="X57" s="378" t="n"/>
      <c r="Y57" s="76" t="n"/>
      <c r="Z57" s="77" t="n"/>
    </row>
    <row r="58" ht="32.25" customHeight="1">
      <c r="B58" s="230" t="n"/>
      <c r="C58" s="215" t="n"/>
      <c r="D58" s="231" t="n"/>
      <c r="E58" s="231" t="n"/>
      <c r="F58" s="143" t="n"/>
      <c r="G58" s="197" t="n"/>
      <c r="H58" s="634" t="n"/>
      <c r="I58" s="635" t="n"/>
      <c r="J58" s="184" t="n"/>
      <c r="K58" s="287">
        <f>IF(AND(H58=H57,J58-J57&lt;3000,J58-J57&gt;0),J58-J57,0)</f>
        <v/>
      </c>
      <c r="L58" s="810" t="n"/>
      <c r="M58" s="812">
        <f>IF(AND(H58=H57,L58-L57&lt;1.1,L58-L57&gt;0),L58-L57,0)</f>
        <v/>
      </c>
      <c r="N58" s="227" t="n"/>
      <c r="O58" s="216">
        <f>IF(K58=0,"-",K58/M58)</f>
        <v/>
      </c>
      <c r="P58" s="263" t="n"/>
      <c r="Q58" s="545" t="n"/>
      <c r="R58" s="546" t="n"/>
      <c r="S58" s="378" t="n"/>
      <c r="X58" s="378" t="n"/>
      <c r="Y58" s="76" t="n"/>
      <c r="Z58" s="77" t="n"/>
    </row>
    <row r="59" ht="32.25" customHeight="1">
      <c r="B59" s="230" t="n"/>
      <c r="C59" s="215" t="n"/>
      <c r="D59" s="231" t="n"/>
      <c r="E59" s="231" t="n"/>
      <c r="F59" s="143" t="n"/>
      <c r="G59" s="224" t="n"/>
      <c r="H59" s="718" t="n"/>
      <c r="I59" s="800" t="n"/>
      <c r="J59" s="184" t="n"/>
      <c r="K59" s="287">
        <f>IF(AND(H59=H58,J59-J58&lt;3000,J59-J58&gt;0),J59-J58,0)</f>
        <v/>
      </c>
      <c r="L59" s="810" t="n"/>
      <c r="M59" s="812">
        <f>IF(AND(H59=H58,L59-L58&lt;1.1,L59-L58&gt;0),L59-L58,0)</f>
        <v/>
      </c>
      <c r="N59" s="227" t="n"/>
      <c r="O59" s="216">
        <f>IF(K59=0,"-",K59/M59)</f>
        <v/>
      </c>
      <c r="P59" s="263">
        <f>IF(F59="sc-ba"," SC-BA","")</f>
        <v/>
      </c>
      <c r="Q59" s="545" t="n"/>
      <c r="R59" s="808" t="n"/>
      <c r="S59" s="378" t="n"/>
      <c r="X59" s="378" t="n"/>
      <c r="Y59" s="76" t="n"/>
      <c r="Z59" s="77" t="n"/>
    </row>
    <row r="60" ht="32.25" customHeight="1" thickBot="1">
      <c r="B60" s="306" t="n"/>
      <c r="C60" s="282" t="n"/>
      <c r="D60" s="308" t="n"/>
      <c r="E60" s="308" t="n"/>
      <c r="F60" s="389" t="n"/>
      <c r="G60" s="226" t="n"/>
      <c r="H60" s="720" t="n"/>
      <c r="I60" s="824" t="n"/>
      <c r="J60" s="240" t="n"/>
      <c r="K60" s="368">
        <f>IF(AND(H60=H59,J60-J59&lt;3000,J60-J59&gt;0),J60-J59,0)</f>
        <v/>
      </c>
      <c r="L60" s="864" t="n"/>
      <c r="M60" s="865">
        <f>IF(AND(H60=H59,L60-L59&lt;1.1,L60-L59&gt;0),L60-L59,0)</f>
        <v/>
      </c>
      <c r="N60" s="235" t="n"/>
      <c r="O60" s="355">
        <f>IF(K60=0,"-",K60/M60)</f>
        <v/>
      </c>
      <c r="P60" s="265">
        <f>IF(F60="sc-ba"," SC-BA","")</f>
        <v/>
      </c>
      <c r="Q60" s="547" t="n"/>
      <c r="R60" s="826" t="n"/>
      <c r="S60" s="378" t="n"/>
      <c r="X60" s="378" t="n"/>
      <c r="Y60" s="76" t="n"/>
      <c r="Z60" s="77" t="n"/>
    </row>
    <row r="61" ht="17.25" customHeight="1" thickBot="1">
      <c r="H61" s="568" t="n"/>
      <c r="X61" s="378" t="n"/>
      <c r="Y61" s="76" t="n"/>
      <c r="Z61" s="77" t="n"/>
    </row>
    <row r="62" ht="30.4" customHeight="1" thickBot="1">
      <c r="B62" s="569" t="inlineStr">
        <is>
          <t>Qualité</t>
        </is>
      </c>
      <c r="C62" s="827" t="n"/>
      <c r="D62" s="570" t="inlineStr">
        <is>
          <t>Destination</t>
        </is>
      </c>
      <c r="E62" s="570" t="inlineStr">
        <is>
          <t>Tonnage brut</t>
        </is>
      </c>
      <c r="F62" s="827" t="n"/>
      <c r="G62" s="570" t="inlineStr">
        <is>
          <t>Tge S/M</t>
        </is>
      </c>
      <c r="H62" s="792" t="n"/>
      <c r="I62" s="827" t="n"/>
      <c r="J62" s="570" t="inlineStr">
        <is>
          <t>H.M</t>
        </is>
      </c>
      <c r="K62" s="570" t="inlineStr">
        <is>
          <t>T/H</t>
        </is>
      </c>
      <c r="L62" s="827" t="n"/>
      <c r="M62" s="568" t="n"/>
      <c r="N62" s="568" t="n"/>
      <c r="P62" s="82" t="inlineStr">
        <is>
          <t>Tonnage brut</t>
        </is>
      </c>
      <c r="Q62" s="83" t="inlineStr">
        <is>
          <t>HM</t>
        </is>
      </c>
      <c r="R62" s="84" t="inlineStr">
        <is>
          <t>T/H</t>
        </is>
      </c>
      <c r="S62" s="605" t="n"/>
      <c r="X62" s="378" t="n"/>
      <c r="Y62" s="76" t="n"/>
      <c r="Z62" s="77" t="n"/>
    </row>
    <row r="63" ht="32.25" customHeight="1">
      <c r="B63" s="828" t="inlineStr">
        <is>
          <t>TBT</t>
        </is>
      </c>
      <c r="C63" s="815" t="n"/>
      <c r="D63" s="253" t="inlineStr">
        <is>
          <t>SC-BA</t>
        </is>
      </c>
      <c r="E63" s="662">
        <f>SUMIFS('RPT2 '!$K$17:$K$60,'RPT2 '!$C$17:$C$60,'RPT2 '!B63,'RPT2 '!$F$17:$F$60,D63)</f>
        <v/>
      </c>
      <c r="F63" s="815" t="n"/>
      <c r="G63" s="663">
        <f>SUMIFS('RPT2 '!$D$89:$D$122,'RPT2 '!$B$89:$B$122,'RPT2 '!D63,'RPT2 '!$C$89:$C$122,'RPT2 '!B63)*E63</f>
        <v/>
      </c>
      <c r="H63" s="866" t="n"/>
      <c r="I63" s="815" t="n"/>
      <c r="J63" s="867">
        <f>SUMIFS('RPT2 '!$M$17:$M$60,'RPT2 '!$C$17:$C$60,'RPT2 '!B63,'RPT2 '!$F$17:$F$60,D63)</f>
        <v/>
      </c>
      <c r="K63" s="831">
        <f>IF(E63=0,"-",E63/J63)</f>
        <v/>
      </c>
      <c r="L63" s="832" t="n"/>
      <c r="M63" s="10" t="n"/>
      <c r="N63" s="59" t="inlineStr">
        <is>
          <t>Poste</t>
        </is>
      </c>
      <c r="O63" s="64" t="n">
        <v>1</v>
      </c>
      <c r="P63" s="168">
        <f>SUMIFS('RPT2 '!$K$17:$K$60,'RPT2 '!$N$17:$N$60,O63)</f>
        <v/>
      </c>
      <c r="Q63" s="833">
        <f>SUMIFS('RPT2 '!$M$17:$M$60,'RPT2 '!$N$17:$N$60,O63)</f>
        <v/>
      </c>
      <c r="R63" s="169">
        <f>P63/Q63</f>
        <v/>
      </c>
      <c r="S63" s="11" t="n"/>
      <c r="X63" s="378" t="n"/>
      <c r="Y63" s="76" t="n"/>
      <c r="Z63" s="77" t="n"/>
    </row>
    <row r="64" ht="32.25" customHeight="1">
      <c r="B64" s="828" t="inlineStr">
        <is>
          <t>TBT</t>
        </is>
      </c>
      <c r="C64" s="815" t="n"/>
      <c r="D64" s="253" t="inlineStr">
        <is>
          <t>SC-PW</t>
        </is>
      </c>
      <c r="E64" s="660">
        <f>SUMIFS('RPT2 '!$K$17:$K$60,'RPT2 '!$C$17:$C$60,'RPT2 '!B64,'RPT2 '!$F$17:$F$60,D64)</f>
        <v/>
      </c>
      <c r="F64" s="800" t="n"/>
      <c r="G64" s="661">
        <f>SUMIFS('RPT2 '!$D$89:$D$122,'RPT2 '!$B$89:$B$122,'RPT2 '!D64,'RPT2 '!$C$89:$C$122,'RPT2 '!B64)*E64</f>
        <v/>
      </c>
      <c r="H64" s="829" t="n"/>
      <c r="I64" s="800" t="n"/>
      <c r="J64" s="830">
        <f>SUMIFS('RPT2 '!$M$17:$M$60,'RPT2 '!$C$17:$C$60,'RPT2 '!B64,'RPT2 '!$F$17:$F$60,D64)</f>
        <v/>
      </c>
      <c r="K64" s="835">
        <f>IF(E64=0,"-",E64/J64)</f>
        <v/>
      </c>
      <c r="L64" s="836" t="n"/>
      <c r="M64" s="10" t="n"/>
      <c r="N64" s="60" t="inlineStr">
        <is>
          <t>Poste</t>
        </is>
      </c>
      <c r="O64" s="65" t="n">
        <v>2</v>
      </c>
      <c r="P64" s="170">
        <f>SUMIFS('RPT2 '!$K$17:$K$60,'RPT2 '!$N$17:$N$60,O64)</f>
        <v/>
      </c>
      <c r="Q64" s="837">
        <f>SUMIFS('RPT2 '!$M$17:$M$60,'RPT2 '!$N$17:$N$60,O64)</f>
        <v/>
      </c>
      <c r="R64" s="171">
        <f>P64/Q64</f>
        <v/>
      </c>
      <c r="S64" s="11" t="n"/>
      <c r="X64" s="378" t="n"/>
      <c r="Y64" s="76" t="n"/>
      <c r="Z64" s="77" t="n"/>
    </row>
    <row r="65" ht="32.25" customHeight="1" thickBot="1">
      <c r="B65" s="834" t="inlineStr">
        <is>
          <t>BT</t>
        </is>
      </c>
      <c r="C65" s="800" t="n"/>
      <c r="D65" s="253" t="inlineStr">
        <is>
          <t>SC-PW</t>
        </is>
      </c>
      <c r="E65" s="660">
        <f>SUMIFS('RPT2 '!$K$17:$K$60,'RPT2 '!$C$17:$C$60,'RPT2 '!B65,'RPT2 '!$F$17:$F$60,D65)</f>
        <v/>
      </c>
      <c r="F65" s="800" t="n"/>
      <c r="G65" s="661">
        <f>SUMIFS('RPT2 '!$D$89:$D$122,'RPT2 '!$B$89:$B$122,'RPT2 '!D65,'RPT2 '!$C$89:$C$122,'RPT2 '!B65)*E65</f>
        <v/>
      </c>
      <c r="H65" s="829" t="n"/>
      <c r="I65" s="800" t="n"/>
      <c r="J65" s="830">
        <f>SUMIFS('RPT2 '!$M$17:$M$60,'RPT2 '!$C$17:$C$60,'RPT2 '!B65,'RPT2 '!$F$17:$F$60,D65)</f>
        <v/>
      </c>
      <c r="K65" s="835">
        <f>IF(E65=0,"-",E65/J65)</f>
        <v/>
      </c>
      <c r="L65" s="836" t="n"/>
      <c r="M65" s="10" t="n"/>
      <c r="N65" s="61" t="inlineStr">
        <is>
          <t>Poste</t>
        </is>
      </c>
      <c r="O65" s="66" t="n">
        <v>3</v>
      </c>
      <c r="P65" s="172">
        <f>SUMIFS('RPT2 '!$K$17:$K$60,'RPT2 '!$N$17:$N$60,O65)</f>
        <v/>
      </c>
      <c r="Q65" s="838">
        <f>SUMIFS('RPT2 '!$M$17:$M$60,'RPT2 '!$N$17:$N$60,O65)</f>
        <v/>
      </c>
      <c r="R65" s="173">
        <f>P65/Q65</f>
        <v/>
      </c>
      <c r="S65" s="11" t="n"/>
    </row>
    <row r="66" ht="32.25" customHeight="1" thickBot="1">
      <c r="B66" s="834" t="n"/>
      <c r="C66" s="800" t="n"/>
      <c r="D66" s="134" t="n"/>
      <c r="E66" s="660">
        <f>SUMIFS('RPT2 '!$K$17:$K$60,'RPT2 '!$C$17:$C$60,'RPT2 '!B66,'RPT2 '!$F$17:$F$60,D66)</f>
        <v/>
      </c>
      <c r="F66" s="800" t="n"/>
      <c r="G66" s="661">
        <f>SUMIFS('RPT2 '!$D$89:$D$122,'RPT2 '!$B$89:$B$122,'RPT2 '!D66,'RPT2 '!$C$89:$C$122,'RPT2 '!B66)*E66</f>
        <v/>
      </c>
      <c r="H66" s="829" t="n"/>
      <c r="I66" s="800" t="n"/>
      <c r="J66" s="830">
        <f>SUMIFS('RPT2 '!$M$17:$M$60,'RPT2 '!$C$17:$C$60,'RPT2 '!B66,'RPT2 '!$F$17:$F$60,D66)</f>
        <v/>
      </c>
      <c r="K66" s="835">
        <f>IF(E66=0,"-",E66/J66)</f>
        <v/>
      </c>
      <c r="L66" s="836" t="n"/>
      <c r="M66" s="10" t="n"/>
      <c r="N66" s="10" t="n"/>
      <c r="O66" s="605" t="n"/>
      <c r="S66" s="11" t="n"/>
    </row>
    <row r="67" ht="32.25" customHeight="1" thickBot="1">
      <c r="B67" s="834" t="n"/>
      <c r="C67" s="800" t="n"/>
      <c r="D67" s="134" t="n"/>
      <c r="E67" s="660">
        <f>SUMIFS('RPT2 '!$K$17:$K$60,'RPT2 '!$C$17:$C$60,'RPT2 '!B67,'RPT2 '!$F$17:$F$60,D67)</f>
        <v/>
      </c>
      <c r="F67" s="800" t="n"/>
      <c r="G67" s="661">
        <f>SUMIFS('RPT2 '!$D$89:$D$122,'RPT2 '!$B$89:$B$122,'RPT2 '!D67,'RPT2 '!$C$89:$C$122,'RPT2 '!B67)*E67</f>
        <v/>
      </c>
      <c r="H67" s="829" t="n"/>
      <c r="I67" s="800" t="n"/>
      <c r="J67" s="830">
        <f>SUMIFS('RPT2 '!$M$17:$M$60,'RPT2 '!$C$17:$C$60,'RPT2 '!B67,'RPT2 '!$F$17:$F$60,D67)</f>
        <v/>
      </c>
      <c r="K67" s="835">
        <f>IF(E67=0,"-",E67/J67)</f>
        <v/>
      </c>
      <c r="L67" s="836" t="n"/>
      <c r="M67" s="10" t="n"/>
      <c r="P67" s="128" t="inlineStr">
        <is>
          <t>HM</t>
        </is>
      </c>
      <c r="Q67" s="128" t="inlineStr">
        <is>
          <t>cumul HM</t>
        </is>
      </c>
      <c r="R67" s="11" t="n"/>
      <c r="S67" s="11" t="n"/>
    </row>
    <row r="68" ht="32.25" customHeight="1" thickBot="1">
      <c r="B68" s="834" t="n"/>
      <c r="C68" s="800" t="n"/>
      <c r="D68" s="134" t="n"/>
      <c r="E68" s="660">
        <f>SUMIFS('RPT2 '!$K$17:$K$60,'RPT2 '!$C$17:$C$60,'RPT2 '!B68,'RPT2 '!$F$17:$F$60,D68)</f>
        <v/>
      </c>
      <c r="F68" s="800" t="n"/>
      <c r="G68" s="661">
        <f>SUMIFS('RPT2 '!$D$89:$D$122,'RPT2 '!$B$89:$B$122,'RPT2 '!D68,'RPT2 '!$C$89:$C$122,'RPT2 '!B68)*E68</f>
        <v/>
      </c>
      <c r="H68" s="829" t="n"/>
      <c r="I68" s="800" t="n"/>
      <c r="J68" s="830">
        <f>SUMIFS('RPT2 '!$M$17:$M$60,'RPT2 '!$C$17:$C$60,'RPT2 '!B68,'RPT2 '!$F$17:$F$60,D68)</f>
        <v/>
      </c>
      <c r="K68" s="835">
        <f>IF(E68=0,"-",E68/J68)</f>
        <v/>
      </c>
      <c r="L68" s="836" t="n"/>
      <c r="M68" s="10" t="n"/>
      <c r="N68" s="839" t="inlineStr">
        <is>
          <t>H4</t>
        </is>
      </c>
      <c r="O68" s="793" t="n"/>
      <c r="P68" s="840">
        <f>SUMIFS('RPT2 '!$M$17:$M$60,'RPT2 '!$H$17:$H$60,'RPT2 '!N68)</f>
        <v/>
      </c>
      <c r="Q68" s="840">
        <f>+P68+'RPT1'!P64</f>
        <v/>
      </c>
      <c r="R68" s="11" t="n"/>
      <c r="S68" s="11" t="n"/>
    </row>
    <row r="69" ht="32.25" customHeight="1" thickBot="1">
      <c r="B69" s="834" t="n"/>
      <c r="C69" s="800" t="n"/>
      <c r="D69" s="134" t="n"/>
      <c r="E69" s="660">
        <f>SUMIFS('RPT2 '!$K$17:$K$60,'RPT2 '!$C$17:$C$60,'RPT2 '!B69,'RPT2 '!$F$17:$F$60,D69)</f>
        <v/>
      </c>
      <c r="F69" s="800" t="n"/>
      <c r="G69" s="661">
        <f>SUMIFS('RPT2 '!$D$89:$D$122,'RPT2 '!$B$89:$B$122,'RPT2 '!D69,'RPT2 '!$C$89:$C$122,'RPT2 '!B69)*E69</f>
        <v/>
      </c>
      <c r="H69" s="829" t="n"/>
      <c r="I69" s="800" t="n"/>
      <c r="J69" s="830">
        <f>SUMIFS('RPT2 '!$M$17:$M$60,'RPT2 '!$C$17:$C$60,'RPT2 '!B69,'RPT2 '!$F$17:$F$60,D69)</f>
        <v/>
      </c>
      <c r="K69" s="835">
        <f>IF(E69=0,"-",E69/J69)</f>
        <v/>
      </c>
      <c r="L69" s="836" t="n"/>
      <c r="M69" s="10" t="n"/>
      <c r="N69" s="839" t="inlineStr">
        <is>
          <t>H6</t>
        </is>
      </c>
      <c r="O69" s="793" t="n"/>
      <c r="P69" s="840">
        <f>SUMIFS('RPT2 '!$M$17:$M$60,'RPT2 '!$H$17:$H$60,'RPT2 '!N69)</f>
        <v/>
      </c>
      <c r="Q69" s="840">
        <f>+P69+'RPT1'!P65</f>
        <v/>
      </c>
      <c r="R69" s="11" t="n"/>
      <c r="S69" s="11" t="n"/>
    </row>
    <row r="70" ht="32.25" customHeight="1" thickBot="1">
      <c r="B70" s="841" t="n"/>
      <c r="C70" s="824" t="n"/>
      <c r="D70" s="136" t="n"/>
      <c r="E70" s="664">
        <f>SUMIFS('RPT2 '!$K$17:$K$60,'RPT2 '!$C$17:$C$60,'RPT2 '!B70,'RPT2 '!$F$17:$F$60,D70)</f>
        <v/>
      </c>
      <c r="F70" s="824" t="n"/>
      <c r="G70" s="665">
        <f>SUMIFS('RPT2 '!$D$89:$D$122,'RPT2 '!$B$89:$B$122,'RPT2 '!D70,'RPT2 '!$C$89:$C$122,'RPT2 '!B70)*E70</f>
        <v/>
      </c>
      <c r="H70" s="842" t="n"/>
      <c r="I70" s="824" t="n"/>
      <c r="J70" s="843">
        <f>SUMIFS('RPT2 '!$M$17:$M$60,'RPT2 '!$C$17:$C$60,'RPT2 '!B70,'RPT2 '!$F$17:$F$60,D70)</f>
        <v/>
      </c>
      <c r="K70" s="844">
        <f>IF(E70=0,"-",E70/J70)</f>
        <v/>
      </c>
      <c r="L70" s="845" t="n"/>
      <c r="N70" s="759" t="inlineStr">
        <is>
          <t>Total</t>
        </is>
      </c>
      <c r="O70" s="623" t="n"/>
      <c r="P70" s="840">
        <f>SUM(P68:P69)</f>
        <v/>
      </c>
      <c r="Q70" s="840">
        <f>SUM(Q68:Q69)</f>
        <v/>
      </c>
      <c r="R70" s="378" t="n"/>
      <c r="S70" s="11" t="n"/>
    </row>
    <row r="71" ht="43.5" customHeight="1" thickBot="1">
      <c r="B71" s="846" t="inlineStr">
        <is>
          <t>Total</t>
        </is>
      </c>
      <c r="C71" s="792" t="n"/>
      <c r="D71" s="793" t="n"/>
      <c r="E71" s="847">
        <f>SUM(E63:F70)</f>
        <v/>
      </c>
      <c r="F71" s="793" t="n"/>
      <c r="G71" s="848">
        <f>SUM(G63:I70)</f>
        <v/>
      </c>
      <c r="H71" s="792" t="n"/>
      <c r="I71" s="793" t="n"/>
      <c r="J71" s="849">
        <f>SUM(J63:J70)</f>
        <v/>
      </c>
      <c r="K71" s="848">
        <f>E71/J71</f>
        <v/>
      </c>
      <c r="L71" s="793" t="n"/>
    </row>
    <row r="72" ht="13.5" customHeight="1" thickBot="1"/>
    <row r="73" ht="33.6" customHeight="1" thickBot="1">
      <c r="B73" s="616" t="n"/>
      <c r="C73" s="850" t="n"/>
      <c r="D73" s="618" t="inlineStr">
        <is>
          <t>Destination</t>
        </is>
      </c>
      <c r="E73" s="618" t="inlineStr">
        <is>
          <t>Tonnage brut</t>
        </is>
      </c>
      <c r="F73" s="793" t="n"/>
      <c r="G73" s="618" t="inlineStr">
        <is>
          <t>Tge S/M</t>
        </is>
      </c>
      <c r="H73" s="792" t="n"/>
      <c r="I73" s="793" t="n"/>
      <c r="J73" s="618" t="inlineStr">
        <is>
          <t>H.M</t>
        </is>
      </c>
      <c r="K73" s="618" t="inlineStr">
        <is>
          <t>T/H</t>
        </is>
      </c>
      <c r="L73" s="793" t="n"/>
    </row>
    <row r="74" ht="32.25" customHeight="1" thickBot="1">
      <c r="B74" s="612" t="n"/>
      <c r="C74" s="850" t="n"/>
      <c r="D74" s="155" t="inlineStr">
        <is>
          <t>SC-PW</t>
        </is>
      </c>
      <c r="E74" s="614">
        <f>SUMIFS('RPT2 '!$E$63:$E$70,'RPT2 '!$D$63:$D$70,D74)</f>
        <v/>
      </c>
      <c r="F74" s="793" t="n"/>
      <c r="G74" s="615">
        <f>SUMIFS('RPT2 '!$G$63:$G$70,'RPT2 '!$D$63:$D$70,D74)</f>
        <v/>
      </c>
      <c r="H74" s="792" t="n"/>
      <c r="I74" s="793" t="n"/>
      <c r="J74" s="851">
        <f>SUMIFS('RPT2 '!$J$63:$J$70,'RPT2 '!$D$63:$D$70,D74)</f>
        <v/>
      </c>
      <c r="K74" s="615">
        <f>IF(E74=0,"-",E74/J74)</f>
        <v/>
      </c>
      <c r="L74" s="793" t="n"/>
      <c r="M74" s="10" t="n"/>
      <c r="N74" s="10" t="n"/>
      <c r="O74" s="62" t="n"/>
      <c r="P74" s="63" t="n"/>
      <c r="Q74" s="63" t="n"/>
      <c r="R74" s="63" t="n"/>
      <c r="S74" s="11" t="n"/>
    </row>
    <row r="75" ht="32.25" customHeight="1" thickBot="1">
      <c r="B75" s="612" t="n"/>
      <c r="C75" s="850" t="n"/>
      <c r="D75" s="155" t="inlineStr">
        <is>
          <t>SC-BA</t>
        </is>
      </c>
      <c r="E75" s="614">
        <f>SUMIFS('RPT2 '!$E$63:$E$70,'RPT2 '!$D$63:$D$70,D75)</f>
        <v/>
      </c>
      <c r="F75" s="793" t="n"/>
      <c r="G75" s="615">
        <f>SUMIFS('RPT2 '!$G$63:$G$70,'RPT2 '!$D$63:$D$70,D75)</f>
        <v/>
      </c>
      <c r="H75" s="792" t="n"/>
      <c r="I75" s="793" t="n"/>
      <c r="J75" s="851">
        <f>SUMIFS('RPT2 '!$J$63:$J$70,'RPT2 '!$D$63:$D$70,D75)</f>
        <v/>
      </c>
      <c r="K75" s="615">
        <f>IF(E75=0,"-",E75/J75)</f>
        <v/>
      </c>
      <c r="L75" s="793" t="n"/>
      <c r="P75" s="378" t="n"/>
      <c r="Q75" s="378" t="n"/>
      <c r="R75" s="378" t="n"/>
      <c r="S75" s="11" t="n"/>
    </row>
    <row r="77">
      <c r="Q77" s="48" t="n"/>
      <c r="R77" s="49" t="n"/>
    </row>
    <row r="78" ht="40.5" customHeight="1" thickBot="1">
      <c r="D78" s="161" t="inlineStr">
        <is>
          <t>Global</t>
        </is>
      </c>
      <c r="Q78" s="48" t="n"/>
      <c r="R78" s="49" t="n"/>
    </row>
    <row r="79" ht="33" customHeight="1" thickBot="1">
      <c r="D79" s="618" t="inlineStr">
        <is>
          <t>Destination</t>
        </is>
      </c>
      <c r="E79" s="618" t="inlineStr">
        <is>
          <t>Tonnage brut</t>
        </is>
      </c>
      <c r="F79" s="793" t="n"/>
      <c r="G79" s="618" t="inlineStr">
        <is>
          <t>Tge S/M</t>
        </is>
      </c>
      <c r="H79" s="792" t="n"/>
      <c r="I79" s="793" t="n"/>
      <c r="J79" s="618" t="inlineStr">
        <is>
          <t>H.M</t>
        </is>
      </c>
      <c r="K79" s="618" t="inlineStr">
        <is>
          <t>T/H</t>
        </is>
      </c>
      <c r="L79" s="793" t="n"/>
      <c r="Q79" s="50" t="n"/>
      <c r="R79" s="49" t="n"/>
    </row>
    <row r="80" ht="35.1" customHeight="1" thickBot="1">
      <c r="D80" s="155" t="inlineStr">
        <is>
          <t>SC-PW</t>
        </is>
      </c>
      <c r="E80" s="614">
        <f>SUMIFS('RPT2 '!$E$63:$E$70,'RPT2 '!$D$63:$D$70,D80)+SUMIFS('RPT1'!$E$58:$E$65,'RPT1'!$D$58:$D$65,D80)</f>
        <v/>
      </c>
      <c r="F80" s="793" t="n"/>
      <c r="G80" s="615">
        <f>SUMIFS('RPT2 '!$G$63:$G$70,'RPT2 '!$D$63:$D$70,D80)+SUMIFS('RPT1'!$G$58:$G$65,'RPT1'!$D$58:$D$65,D80)</f>
        <v/>
      </c>
      <c r="H80" s="792" t="n"/>
      <c r="I80" s="793" t="n"/>
      <c r="J80" s="851">
        <f>SUMIFS('RPT2 '!$J$63:$J$70,'RPT2 '!$D$63:$D$70,D80)+SUMIFS('RPT1'!$J$58:$J$65,'RPT1'!$D$58:$D$65,D80)</f>
        <v/>
      </c>
      <c r="K80" s="615">
        <f>IF(E80=0,"-",E80/J80)</f>
        <v/>
      </c>
      <c r="L80" s="793" t="n"/>
      <c r="Q80" s="48" t="n"/>
      <c r="R80" s="49" t="n"/>
    </row>
    <row r="81" ht="35.1" customHeight="1" thickBot="1">
      <c r="D81" s="155" t="inlineStr">
        <is>
          <t>SC-BA</t>
        </is>
      </c>
      <c r="E81" s="614">
        <f>SUMIFS('RPT2 '!$E$63:$E$70,'RPT2 '!$D$63:$D$70,D81)+SUMIFS('RPT1'!$E$58:$E$65,'RPT1'!$D$58:$D$65,D81)</f>
        <v/>
      </c>
      <c r="F81" s="793" t="n"/>
      <c r="G81" s="615">
        <f>SUMIFS('RPT2 '!$G$63:$G$70,'RPT2 '!$D$63:$D$70,D81)+SUMIFS('RPT1'!$G$58:$G$65,'RPT1'!$D$58:$D$65,D81)</f>
        <v/>
      </c>
      <c r="H81" s="792" t="n"/>
      <c r="I81" s="793" t="n"/>
      <c r="J81" s="851">
        <f>SUMIFS('RPT2 '!$J$63:$J$70,'RPT2 '!$D$63:$D$70,D81)+SUMIFS('RPT1'!$J$58:$J$65,'RPT1'!$D$58:$D$65,D81)</f>
        <v/>
      </c>
      <c r="K81" s="615">
        <f>IF(E81=0,"-",E81/J81)</f>
        <v/>
      </c>
      <c r="L81" s="793" t="n"/>
      <c r="Q81" s="48" t="n"/>
      <c r="R81" s="49" t="n"/>
    </row>
    <row r="82" ht="35.1" customHeight="1" thickBot="1">
      <c r="Q82" s="48" t="n"/>
      <c r="R82" s="49" t="n"/>
    </row>
    <row r="83" ht="24" customHeight="1" thickBot="1">
      <c r="D83" s="162" t="inlineStr">
        <is>
          <t>H M  RPSC2</t>
        </is>
      </c>
      <c r="E83" s="868">
        <f>SUM(M18:M50)</f>
        <v/>
      </c>
      <c r="Q83" s="48" t="n"/>
      <c r="R83" s="51" t="n"/>
    </row>
    <row r="85" ht="15.75" customHeight="1">
      <c r="D85" s="47" t="n"/>
      <c r="E85" s="47" t="n"/>
      <c r="F85" s="47" t="n"/>
      <c r="G85" s="47" t="n"/>
      <c r="H85" s="47" t="n"/>
      <c r="I85" s="47" t="n"/>
      <c r="J85" s="47" t="n"/>
      <c r="K85" s="47" t="n"/>
    </row>
    <row r="86" ht="15.75" customHeight="1">
      <c r="D86" s="47" t="n"/>
      <c r="E86" s="47" t="n"/>
      <c r="F86" s="47" t="n"/>
      <c r="G86" s="47" t="n"/>
      <c r="H86" s="47" t="n"/>
      <c r="I86" s="47" t="n"/>
      <c r="J86" s="47" t="n"/>
      <c r="K86" s="47" t="n"/>
    </row>
    <row r="87" ht="15.75" customHeight="1">
      <c r="D87" s="47" t="n"/>
      <c r="E87" s="47" t="n"/>
      <c r="F87" s="47" t="n"/>
      <c r="G87" s="47" t="n"/>
      <c r="H87" s="47" t="n"/>
      <c r="I87" s="47" t="n"/>
      <c r="J87" s="47" t="n"/>
      <c r="K87" s="47" t="n"/>
    </row>
    <row r="88" ht="15.75" customHeight="1">
      <c r="B88" s="54" t="inlineStr">
        <is>
          <t>destination</t>
        </is>
      </c>
      <c r="C88" s="54" t="inlineStr">
        <is>
          <t>Qualité</t>
        </is>
      </c>
      <c r="D88" s="54" t="inlineStr">
        <is>
          <t>Coef</t>
        </is>
      </c>
      <c r="E88" s="47" t="n"/>
      <c r="F88" s="47" t="n"/>
      <c r="G88" s="47" t="n"/>
      <c r="H88" s="47" t="n"/>
      <c r="I88" s="47" t="n"/>
      <c r="J88" s="47" t="n"/>
      <c r="K88" s="47" t="n"/>
    </row>
    <row r="89" ht="18" customHeight="1">
      <c r="B89" s="71" t="inlineStr">
        <is>
          <t>SC-PW</t>
        </is>
      </c>
      <c r="C89" s="52" t="inlineStr">
        <is>
          <t>BTR</t>
        </is>
      </c>
      <c r="D89" s="379" t="n">
        <v>0.6</v>
      </c>
      <c r="E89" s="47" t="n"/>
      <c r="F89" s="47" t="n"/>
      <c r="G89" s="47" t="n"/>
      <c r="H89" s="47" t="n"/>
      <c r="I89" s="47" t="n"/>
      <c r="J89" s="47" t="n"/>
      <c r="K89" s="47" t="n"/>
    </row>
    <row r="90" ht="18" customHeight="1">
      <c r="B90" s="71" t="inlineStr">
        <is>
          <t>SC-PW</t>
        </is>
      </c>
      <c r="C90" s="52" t="inlineStr">
        <is>
          <t>BT</t>
        </is>
      </c>
      <c r="D90" s="379" t="n">
        <v>0.5600000000000001</v>
      </c>
    </row>
    <row r="91" ht="18" customHeight="1">
      <c r="B91" s="71" t="inlineStr">
        <is>
          <t>SC-PW</t>
        </is>
      </c>
      <c r="C91" s="52" t="inlineStr">
        <is>
          <t>HTN</t>
        </is>
      </c>
      <c r="D91" s="379" t="n">
        <v>0.76</v>
      </c>
    </row>
    <row r="92" ht="18" customHeight="1">
      <c r="B92" s="71" t="inlineStr">
        <is>
          <t>SC-PW</t>
        </is>
      </c>
      <c r="C92" s="52" t="inlineStr">
        <is>
          <t>HTM</t>
        </is>
      </c>
      <c r="D92" s="379" t="n">
        <v>0.79</v>
      </c>
    </row>
    <row r="93" ht="18" customHeight="1">
      <c r="B93" s="71" t="inlineStr">
        <is>
          <t>SC-PW</t>
        </is>
      </c>
      <c r="C93" s="52" t="inlineStr">
        <is>
          <t>MT</t>
        </is>
      </c>
      <c r="D93" s="379" t="n">
        <v>0.64</v>
      </c>
    </row>
    <row r="94" ht="18" customHeight="1">
      <c r="B94" s="71" t="inlineStr">
        <is>
          <t>SC-PW</t>
        </is>
      </c>
      <c r="C94" s="52" t="inlineStr">
        <is>
          <t>TBT</t>
        </is>
      </c>
      <c r="D94" s="379" t="n">
        <v>0.49</v>
      </c>
    </row>
    <row r="95" ht="18" customHeight="1">
      <c r="B95" s="71" t="inlineStr">
        <is>
          <t>SC-PW</t>
        </is>
      </c>
      <c r="C95" s="52" t="inlineStr">
        <is>
          <t>THT</t>
        </is>
      </c>
      <c r="D95" s="379" t="n">
        <v>0.82</v>
      </c>
    </row>
    <row r="96" hidden="1" ht="18" customHeight="1">
      <c r="B96" s="71" t="inlineStr">
        <is>
          <t>TS-CRIBLAGE</t>
        </is>
      </c>
      <c r="C96" s="52" t="inlineStr">
        <is>
          <t>TBTTS</t>
        </is>
      </c>
      <c r="D96" s="379" t="n">
        <v>0.4</v>
      </c>
    </row>
    <row r="97" hidden="1" ht="18" customHeight="1">
      <c r="B97" s="71" t="inlineStr">
        <is>
          <t>PW-UB</t>
        </is>
      </c>
      <c r="C97" s="52" t="inlineStr">
        <is>
          <t>BTLSC</t>
        </is>
      </c>
      <c r="D97" s="379" t="n">
        <v>0.82</v>
      </c>
    </row>
    <row r="98" hidden="1" ht="18" customHeight="1">
      <c r="B98" s="71" t="inlineStr">
        <is>
          <t>PW-UB</t>
        </is>
      </c>
      <c r="C98" s="52" t="inlineStr">
        <is>
          <t>BTRLSC</t>
        </is>
      </c>
      <c r="D98" s="379" t="n">
        <v>0.82</v>
      </c>
    </row>
    <row r="99" hidden="1" ht="18" customHeight="1">
      <c r="B99" s="71" t="inlineStr">
        <is>
          <t>PW-UB</t>
        </is>
      </c>
      <c r="C99" s="52" t="inlineStr">
        <is>
          <t>MTLSC</t>
        </is>
      </c>
      <c r="D99" s="379" t="n">
        <v>0.82</v>
      </c>
    </row>
    <row r="100" hidden="1" ht="18" customHeight="1">
      <c r="B100" s="71" t="inlineStr">
        <is>
          <t>PW-UB</t>
        </is>
      </c>
      <c r="C100" s="52" t="inlineStr">
        <is>
          <t>HTMTLSC</t>
        </is>
      </c>
      <c r="D100" s="379" t="n">
        <v>0.82</v>
      </c>
    </row>
    <row r="101" hidden="1" ht="18" customHeight="1">
      <c r="B101" s="71" t="inlineStr">
        <is>
          <t>PW-UB</t>
        </is>
      </c>
      <c r="C101" s="52" t="inlineStr">
        <is>
          <t>TBTLSC</t>
        </is>
      </c>
      <c r="D101" s="379" t="n">
        <v>0.84</v>
      </c>
    </row>
    <row r="102" hidden="1" ht="18" customHeight="1">
      <c r="B102" s="71" t="inlineStr">
        <is>
          <t>PW-UB</t>
        </is>
      </c>
      <c r="C102" s="52" t="inlineStr">
        <is>
          <t>TBTLTS</t>
        </is>
      </c>
      <c r="D102" s="379" t="n">
        <v>0.85</v>
      </c>
    </row>
    <row r="103" hidden="1" ht="18" customHeight="1">
      <c r="B103" s="71" t="inlineStr">
        <is>
          <t>PW-UB</t>
        </is>
      </c>
      <c r="C103" s="52" t="inlineStr">
        <is>
          <t>BTLTS</t>
        </is>
      </c>
      <c r="D103" s="379" t="n">
        <v>0.84</v>
      </c>
    </row>
    <row r="104" hidden="1" ht="18" customHeight="1">
      <c r="B104" s="71" t="inlineStr">
        <is>
          <t>PW-UB</t>
        </is>
      </c>
      <c r="C104" s="52" t="inlineStr">
        <is>
          <t>HTMLTS</t>
        </is>
      </c>
      <c r="D104" s="379" t="n">
        <v>0.84</v>
      </c>
    </row>
    <row r="105" hidden="1" ht="18" customHeight="1">
      <c r="B105" s="71" t="inlineStr">
        <is>
          <t>PW-UB</t>
        </is>
      </c>
      <c r="C105" s="52" t="inlineStr">
        <is>
          <t>BT</t>
        </is>
      </c>
      <c r="D105" s="379" t="n">
        <v>0.75</v>
      </c>
    </row>
    <row r="106" hidden="1" ht="18" customHeight="1">
      <c r="B106" s="71" t="inlineStr">
        <is>
          <t>PW-UB</t>
        </is>
      </c>
      <c r="C106" s="52" t="inlineStr">
        <is>
          <t>BTR</t>
        </is>
      </c>
      <c r="D106" s="379" t="n">
        <v>0.76</v>
      </c>
    </row>
    <row r="107" hidden="1" ht="18" customHeight="1">
      <c r="B107" s="71" t="inlineStr">
        <is>
          <t>PW-UB</t>
        </is>
      </c>
      <c r="C107" s="52" t="inlineStr">
        <is>
          <t>TBT</t>
        </is>
      </c>
      <c r="D107" s="379" t="n">
        <v>0.71</v>
      </c>
    </row>
    <row r="108" hidden="1" ht="18" customHeight="1">
      <c r="B108" s="72" t="inlineStr">
        <is>
          <t>PW-UB</t>
        </is>
      </c>
      <c r="C108" s="73" t="inlineStr">
        <is>
          <t>HTNLSC</t>
        </is>
      </c>
      <c r="D108" s="380" t="n">
        <v>0.8</v>
      </c>
    </row>
    <row r="109" hidden="1" ht="18" customHeight="1">
      <c r="B109" s="72" t="inlineStr">
        <is>
          <t>PW-UB</t>
        </is>
      </c>
      <c r="C109" s="73" t="inlineStr">
        <is>
          <t>HTN</t>
        </is>
      </c>
      <c r="D109" s="380" t="n">
        <v>0.8</v>
      </c>
    </row>
    <row r="110" hidden="1" ht="18" customHeight="1">
      <c r="B110" s="72" t="inlineStr">
        <is>
          <t>PW-UB</t>
        </is>
      </c>
      <c r="C110" s="73" t="inlineStr">
        <is>
          <t>HTM</t>
        </is>
      </c>
      <c r="D110" s="380" t="n">
        <v>0.79</v>
      </c>
    </row>
    <row r="111" hidden="1" ht="18" customHeight="1">
      <c r="B111" s="72" t="inlineStr">
        <is>
          <t>PW-UB</t>
        </is>
      </c>
      <c r="C111" s="73" t="inlineStr">
        <is>
          <t>MT</t>
        </is>
      </c>
      <c r="D111" s="380" t="n">
        <v>0.78</v>
      </c>
    </row>
    <row r="112" ht="18" customHeight="1">
      <c r="B112" s="72" t="inlineStr">
        <is>
          <t>SC-BA</t>
        </is>
      </c>
      <c r="C112" s="73" t="inlineStr">
        <is>
          <t>BTR</t>
        </is>
      </c>
      <c r="D112" s="380" t="n">
        <v>0.63</v>
      </c>
    </row>
    <row r="113" ht="18" customHeight="1">
      <c r="B113" s="72" t="inlineStr">
        <is>
          <t>SC-BA</t>
        </is>
      </c>
      <c r="C113" s="73" t="inlineStr">
        <is>
          <t>BT</t>
        </is>
      </c>
      <c r="D113" s="380" t="n">
        <v>0.6</v>
      </c>
    </row>
    <row r="114" ht="18" customHeight="1">
      <c r="B114" s="72" t="inlineStr">
        <is>
          <t>SC-BA</t>
        </is>
      </c>
      <c r="C114" s="73" t="inlineStr">
        <is>
          <t>HTM</t>
        </is>
      </c>
      <c r="D114" s="380" t="n">
        <v>0.66</v>
      </c>
    </row>
    <row r="115" ht="18" customHeight="1">
      <c r="B115" s="72" t="inlineStr">
        <is>
          <t>SC-BA</t>
        </is>
      </c>
      <c r="C115" s="73" t="inlineStr">
        <is>
          <t>MT</t>
        </is>
      </c>
      <c r="D115" s="380" t="n">
        <v>0.66</v>
      </c>
    </row>
    <row r="116" ht="18" customHeight="1">
      <c r="B116" s="72" t="inlineStr">
        <is>
          <t>SC-BA</t>
        </is>
      </c>
      <c r="C116" s="73" t="inlineStr">
        <is>
          <t>TBT</t>
        </is>
      </c>
      <c r="D116" s="380" t="n">
        <v>0.44</v>
      </c>
    </row>
    <row r="117" hidden="1" ht="18" customHeight="1">
      <c r="B117" s="72" t="inlineStr">
        <is>
          <t>PW-UD</t>
        </is>
      </c>
      <c r="C117" s="73" t="inlineStr">
        <is>
          <t>BTR</t>
        </is>
      </c>
      <c r="D117" s="74" t="n">
        <v>0.62</v>
      </c>
    </row>
    <row r="118" hidden="1" ht="18" customHeight="1">
      <c r="B118" s="72" t="inlineStr">
        <is>
          <t>PW-UD</t>
        </is>
      </c>
      <c r="C118" s="73" t="inlineStr">
        <is>
          <t>BT</t>
        </is>
      </c>
      <c r="D118" s="74" t="n">
        <v>0.58</v>
      </c>
    </row>
    <row r="119" hidden="1" ht="18" customHeight="1">
      <c r="B119" s="72" t="inlineStr">
        <is>
          <t>PW-UD</t>
        </is>
      </c>
      <c r="C119" s="73" t="inlineStr">
        <is>
          <t>HTN</t>
        </is>
      </c>
      <c r="D119" s="74" t="n">
        <v>0.6899999999999999</v>
      </c>
    </row>
    <row r="120" hidden="1" ht="18" customHeight="1">
      <c r="B120" s="72" t="inlineStr">
        <is>
          <t>PW-UD</t>
        </is>
      </c>
      <c r="C120" s="73" t="inlineStr">
        <is>
          <t>HTM</t>
        </is>
      </c>
      <c r="D120" s="74" t="n">
        <v>0.71</v>
      </c>
    </row>
    <row r="121" hidden="1" ht="18" customHeight="1">
      <c r="B121" s="72" t="inlineStr">
        <is>
          <t>PW-UD</t>
        </is>
      </c>
      <c r="C121" s="73" t="inlineStr">
        <is>
          <t>MT</t>
        </is>
      </c>
      <c r="D121" s="74" t="n">
        <v>0.6899999999999999</v>
      </c>
    </row>
    <row r="122" hidden="1" ht="18" customHeight="1">
      <c r="B122" s="72" t="inlineStr">
        <is>
          <t>PW-UD</t>
        </is>
      </c>
      <c r="C122" s="73" t="inlineStr">
        <is>
          <t>TBT</t>
        </is>
      </c>
      <c r="D122" s="74" t="n">
        <v>0.55</v>
      </c>
    </row>
  </sheetData>
  <mergeCells count="155">
    <mergeCell ref="H53:I53"/>
    <mergeCell ref="H35:I35"/>
    <mergeCell ref="Q21:R21"/>
    <mergeCell ref="B13:R14"/>
    <mergeCell ref="E62:F62"/>
    <mergeCell ref="E71:F71"/>
    <mergeCell ref="G62:I62"/>
    <mergeCell ref="H55:I55"/>
    <mergeCell ref="E64:F64"/>
    <mergeCell ref="E79:F79"/>
    <mergeCell ref="H39:I39"/>
    <mergeCell ref="E73:F73"/>
    <mergeCell ref="N68:O68"/>
    <mergeCell ref="G65:I65"/>
    <mergeCell ref="B67:C67"/>
    <mergeCell ref="E63:F63"/>
    <mergeCell ref="G79:I79"/>
    <mergeCell ref="K81:L81"/>
    <mergeCell ref="Q51:R51"/>
    <mergeCell ref="G73:I73"/>
    <mergeCell ref="Q26:R26"/>
    <mergeCell ref="H52:I52"/>
    <mergeCell ref="Q35:R35"/>
    <mergeCell ref="E65:F65"/>
    <mergeCell ref="G63:I63"/>
    <mergeCell ref="B69:C69"/>
    <mergeCell ref="K67:L67"/>
    <mergeCell ref="H45:I45"/>
    <mergeCell ref="H37:I37"/>
    <mergeCell ref="Q27:R27"/>
    <mergeCell ref="Q30:R30"/>
    <mergeCell ref="B64:C64"/>
    <mergeCell ref="Q17:R17"/>
    <mergeCell ref="E75:F75"/>
    <mergeCell ref="H23:I23"/>
    <mergeCell ref="B63:C63"/>
    <mergeCell ref="K69:L69"/>
    <mergeCell ref="Q53:R53"/>
    <mergeCell ref="I6:J6"/>
    <mergeCell ref="H54:I54"/>
    <mergeCell ref="Q37:R37"/>
    <mergeCell ref="E67:F67"/>
    <mergeCell ref="G69:I69"/>
    <mergeCell ref="H41:I41"/>
    <mergeCell ref="B66:C66"/>
    <mergeCell ref="F6:G6"/>
    <mergeCell ref="K80:L80"/>
    <mergeCell ref="H50:I50"/>
    <mergeCell ref="Q52:R52"/>
    <mergeCell ref="M6:O6"/>
    <mergeCell ref="Q39:R39"/>
    <mergeCell ref="K64:L64"/>
    <mergeCell ref="P16:R16"/>
    <mergeCell ref="H56:I56"/>
    <mergeCell ref="K79:L79"/>
    <mergeCell ref="Q54:R54"/>
    <mergeCell ref="H34:I34"/>
    <mergeCell ref="H25:I25"/>
    <mergeCell ref="G80:I80"/>
    <mergeCell ref="Q29:R29"/>
    <mergeCell ref="Q23:R23"/>
    <mergeCell ref="Q38:R38"/>
    <mergeCell ref="K63:L63"/>
    <mergeCell ref="H49:I49"/>
    <mergeCell ref="G64:I64"/>
    <mergeCell ref="H36:I36"/>
    <mergeCell ref="Q31:R31"/>
    <mergeCell ref="H17:I17"/>
    <mergeCell ref="Q40:R40"/>
    <mergeCell ref="Q15:R15"/>
    <mergeCell ref="H19:I19"/>
    <mergeCell ref="G81:I81"/>
    <mergeCell ref="H28:I28"/>
    <mergeCell ref="N69:O69"/>
    <mergeCell ref="G71:I71"/>
    <mergeCell ref="H48:I48"/>
    <mergeCell ref="K66:L66"/>
    <mergeCell ref="E66:F66"/>
    <mergeCell ref="K6:L6"/>
    <mergeCell ref="K74:L74"/>
    <mergeCell ref="K68:L68"/>
    <mergeCell ref="G66:I66"/>
    <mergeCell ref="H38:I38"/>
    <mergeCell ref="E68:F68"/>
    <mergeCell ref="C2:D3"/>
    <mergeCell ref="H43:I43"/>
    <mergeCell ref="Q28:R28"/>
    <mergeCell ref="H31:I31"/>
    <mergeCell ref="G74:I74"/>
    <mergeCell ref="G68:I68"/>
    <mergeCell ref="H40:I40"/>
    <mergeCell ref="E8:R8"/>
    <mergeCell ref="H21:I21"/>
    <mergeCell ref="O66:R66"/>
    <mergeCell ref="H60:I60"/>
    <mergeCell ref="Q20:R20"/>
    <mergeCell ref="E69:F69"/>
    <mergeCell ref="E9:R9"/>
    <mergeCell ref="H16:I16"/>
    <mergeCell ref="Q59:R59"/>
    <mergeCell ref="Q6:R6"/>
    <mergeCell ref="E80:F80"/>
    <mergeCell ref="K71:L71"/>
    <mergeCell ref="H22:I22"/>
    <mergeCell ref="E70:F70"/>
    <mergeCell ref="K73:L73"/>
    <mergeCell ref="G70:I70"/>
    <mergeCell ref="K65:L65"/>
    <mergeCell ref="H42:I42"/>
    <mergeCell ref="E81:F81"/>
    <mergeCell ref="Q32:R32"/>
    <mergeCell ref="Q41:R41"/>
    <mergeCell ref="H30:I30"/>
    <mergeCell ref="B75:C75"/>
    <mergeCell ref="B62:C62"/>
    <mergeCell ref="Q25:R25"/>
    <mergeCell ref="H20:I20"/>
    <mergeCell ref="H29:I29"/>
    <mergeCell ref="Q24:R24"/>
    <mergeCell ref="Q18:R18"/>
    <mergeCell ref="Q33:R33"/>
    <mergeCell ref="H44:I44"/>
    <mergeCell ref="B70:C70"/>
    <mergeCell ref="H59:I59"/>
    <mergeCell ref="H46:I46"/>
    <mergeCell ref="H51:I51"/>
    <mergeCell ref="Q50:R50"/>
    <mergeCell ref="K75:L75"/>
    <mergeCell ref="H61:I61"/>
    <mergeCell ref="Q19:R19"/>
    <mergeCell ref="E74:F74"/>
    <mergeCell ref="B73:C73"/>
    <mergeCell ref="Q60:R60"/>
    <mergeCell ref="Q34:R34"/>
    <mergeCell ref="H32:I32"/>
    <mergeCell ref="B10:C10"/>
    <mergeCell ref="G75:I75"/>
    <mergeCell ref="Q22:R22"/>
    <mergeCell ref="Q36:R36"/>
    <mergeCell ref="H47:I47"/>
    <mergeCell ref="K70:L70"/>
    <mergeCell ref="B65:C65"/>
    <mergeCell ref="H27:I27"/>
    <mergeCell ref="B74:C74"/>
    <mergeCell ref="C4:D5"/>
    <mergeCell ref="B68:C68"/>
    <mergeCell ref="B8:C9"/>
    <mergeCell ref="F10:Q10"/>
    <mergeCell ref="B71:D71"/>
    <mergeCell ref="G67:I67"/>
    <mergeCell ref="H24:I24"/>
    <mergeCell ref="H18:I18"/>
    <mergeCell ref="H33:I33"/>
    <mergeCell ref="K62:L62"/>
    <mergeCell ref="H26:I26"/>
  </mergeCells>
  <conditionalFormatting sqref="O17:O51 O53:O60 P18:Q18 P31:R36">
    <cfRule type="expression" priority="1340" dxfId="548">
      <formula>IF(OR($F17="SC-BA"),$O17&lt;1400)</formula>
    </cfRule>
    <cfRule type="expression" priority="1402" dxfId="547">
      <formula>IF(OR($F17="SC-PW"),$O17&lt;1999)</formula>
    </cfRule>
  </conditionalFormatting>
  <conditionalFormatting sqref="P19:R19">
    <cfRule type="expression" priority="1338" dxfId="548">
      <formula>IF(OR($F19="SC-BA"),$O19&lt;1400)</formula>
    </cfRule>
    <cfRule type="expression" priority="1339" dxfId="547">
      <formula>IF(OR($F19="SC-PW"),$O19&lt;1999)</formula>
    </cfRule>
  </conditionalFormatting>
  <conditionalFormatting sqref="P20:R20">
    <cfRule type="expression" priority="1336" dxfId="548">
      <formula>IF(OR($F20="SC-BA"),$O20&lt;1400)</formula>
    </cfRule>
    <cfRule type="expression" priority="1337" dxfId="547">
      <formula>IF(OR($F20="SC-PW"),$O20&lt;1999)</formula>
    </cfRule>
  </conditionalFormatting>
  <conditionalFormatting sqref="P21:R21">
    <cfRule type="expression" priority="1334" dxfId="548">
      <formula>IF(OR($F21="SC-BA"),$O21&lt;1400)</formula>
    </cfRule>
    <cfRule type="expression" priority="1335" dxfId="547">
      <formula>IF(OR($F21="SC-PW"),$O21&lt;1999)</formula>
    </cfRule>
  </conditionalFormatting>
  <conditionalFormatting sqref="P22:R22">
    <cfRule type="expression" priority="1332" dxfId="548">
      <formula>IF(OR($F22="SC-BA"),$O22&lt;1400)</formula>
    </cfRule>
    <cfRule type="expression" priority="1333" dxfId="547">
      <formula>IF(OR($F22="SC-PW"),$O22&lt;1999)</formula>
    </cfRule>
  </conditionalFormatting>
  <conditionalFormatting sqref="P23:P24">
    <cfRule type="expression" priority="1330" dxfId="548">
      <formula>IF(OR($F23="SC-BA"),$O23&lt;1400)</formula>
    </cfRule>
    <cfRule type="expression" priority="1331" dxfId="547">
      <formula>IF(OR($F23="SC-PW"),$O23&lt;1999)</formula>
    </cfRule>
  </conditionalFormatting>
  <conditionalFormatting sqref="P25">
    <cfRule type="expression" priority="1326" dxfId="548">
      <formula>IF(OR($F25="SC-BA"),$O25&lt;1400)</formula>
    </cfRule>
    <cfRule type="expression" priority="1327" dxfId="547">
      <formula>IF(OR($F25="SC-PW"),$O25&lt;1999)</formula>
    </cfRule>
  </conditionalFormatting>
  <conditionalFormatting sqref="P26:R26">
    <cfRule type="expression" priority="1324" dxfId="548">
      <formula>IF(OR($F26="SC-BA"),$O26&lt;1400)</formula>
    </cfRule>
    <cfRule type="expression" priority="1325" dxfId="547">
      <formula>IF(OR($F26="SC-PW"),$O26&lt;1999)</formula>
    </cfRule>
  </conditionalFormatting>
  <conditionalFormatting sqref="P27:R27">
    <cfRule type="expression" priority="1322" dxfId="548">
      <formula>IF(OR($F27="SC-BA"),$O27&lt;1400)</formula>
    </cfRule>
    <cfRule type="expression" priority="1323" dxfId="547">
      <formula>IF(OR($F27="SC-PW"),$O27&lt;1999)</formula>
    </cfRule>
  </conditionalFormatting>
  <conditionalFormatting sqref="P28:R28">
    <cfRule type="expression" priority="1320" dxfId="548">
      <formula>IF(OR($F28="SC-BA"),$O28&lt;1400)</formula>
    </cfRule>
    <cfRule type="expression" priority="1321" dxfId="547">
      <formula>IF(OR($F28="SC-PW"),$O28&lt;1999)</formula>
    </cfRule>
  </conditionalFormatting>
  <conditionalFormatting sqref="P29:R29">
    <cfRule type="expression" priority="1318" dxfId="548">
      <formula>IF(OR($F29="SC-BA"),$O29&lt;1400)</formula>
    </cfRule>
    <cfRule type="expression" priority="1319" dxfId="547">
      <formula>IF(OR($F29="SC-PW"),$O29&lt;1999)</formula>
    </cfRule>
  </conditionalFormatting>
  <conditionalFormatting sqref="P30:R30">
    <cfRule type="expression" priority="1316" dxfId="548">
      <formula>IF(OR($F30="SC-BA"),$O30&lt;1400)</formula>
    </cfRule>
    <cfRule type="expression" priority="1317" dxfId="547">
      <formula>IF(OR($F30="SC-PW"),$O30&lt;1999)</formula>
    </cfRule>
  </conditionalFormatting>
  <conditionalFormatting sqref="P37:R37">
    <cfRule type="expression" priority="1298" dxfId="548">
      <formula>IF(OR($F37="SC-BA"),$O37&lt;1400)</formula>
    </cfRule>
    <cfRule type="expression" priority="1299" dxfId="547">
      <formula>IF(OR($F37="SC-PW"),$O37&lt;1999)</formula>
    </cfRule>
  </conditionalFormatting>
  <conditionalFormatting sqref="P38:R38">
    <cfRule type="expression" priority="1296" dxfId="548">
      <formula>IF(OR($F38="SC-BA"),$O38&lt;1400)</formula>
    </cfRule>
    <cfRule type="expression" priority="1297" dxfId="547">
      <formula>IF(OR($F38="SC-PW"),$O38&lt;1999)</formula>
    </cfRule>
  </conditionalFormatting>
  <conditionalFormatting sqref="P39:R39 Q40:R49">
    <cfRule type="expression" priority="1294" dxfId="548">
      <formula>IF(OR($F39="SC-BA"),$O39&lt;1400)</formula>
    </cfRule>
    <cfRule type="expression" priority="1295" dxfId="547">
      <formula>IF(OR($F39="SC-PW"),$O39&lt;1999)</formula>
    </cfRule>
  </conditionalFormatting>
  <conditionalFormatting sqref="P40">
    <cfRule type="expression" priority="1292" dxfId="548">
      <formula>IF(OR($F40="SC-BA"),$O40&lt;1400)</formula>
    </cfRule>
    <cfRule type="expression" priority="1293" dxfId="547">
      <formula>IF(OR($F40="SC-PW"),$O40&lt;1999)</formula>
    </cfRule>
  </conditionalFormatting>
  <conditionalFormatting sqref="P41:P49">
    <cfRule type="expression" priority="1290" dxfId="548">
      <formula>IF(OR($F41="SC-BA"),$O41&lt;1400)</formula>
    </cfRule>
    <cfRule type="expression" priority="1291" dxfId="547">
      <formula>IF(OR($F41="SC-PW"),$O41&lt;1999)</formula>
    </cfRule>
  </conditionalFormatting>
  <conditionalFormatting sqref="P50:R50">
    <cfRule type="expression" priority="1288" dxfId="548">
      <formula>IF(OR($F50="SC-BA"),$O50&lt;1400)</formula>
    </cfRule>
    <cfRule type="expression" priority="1289" dxfId="547">
      <formula>IF(OR($F50="SC-PW"),$O50&lt;1999)</formula>
    </cfRule>
  </conditionalFormatting>
  <conditionalFormatting sqref="P53:R53">
    <cfRule type="expression" priority="1286" dxfId="548">
      <formula>IF(OR($F53="SC-BA"),$O53&lt;1400)</formula>
    </cfRule>
    <cfRule type="expression" priority="1287" dxfId="547">
      <formula>IF(OR($F53="SC-PW"),$O53&lt;1999)</formula>
    </cfRule>
  </conditionalFormatting>
  <conditionalFormatting sqref="P54:R58">
    <cfRule type="expression" priority="1284" dxfId="548">
      <formula>IF(OR($F54="SC-BA"),$O54&lt;1400)</formula>
    </cfRule>
    <cfRule type="expression" priority="1285" dxfId="547">
      <formula>IF(OR($F54="SC-PW"),$O54&lt;1999)</formula>
    </cfRule>
  </conditionalFormatting>
  <conditionalFormatting sqref="P59:R59">
    <cfRule type="expression" priority="1282" dxfId="548">
      <formula>IF(OR($F59="SC-BA"),$O59&lt;1400)</formula>
    </cfRule>
    <cfRule type="expression" priority="1283" dxfId="547">
      <formula>IF(OR($F59="SC-PW"),$O59&lt;1999)</formula>
    </cfRule>
  </conditionalFormatting>
  <conditionalFormatting sqref="P60:R60">
    <cfRule type="expression" priority="1280" dxfId="548">
      <formula>IF(OR($F60="SC-BA"),$O60&lt;1400)</formula>
    </cfRule>
    <cfRule type="expression" priority="1281" dxfId="547">
      <formula>IF(OR($F60="SC-PW"),$O60&lt;1999)</formula>
    </cfRule>
  </conditionalFormatting>
  <conditionalFormatting sqref="C38:C42">
    <cfRule type="cellIs" priority="532" operator="equal" dxfId="5">
      <formula>MT</formula>
    </cfRule>
  </conditionalFormatting>
  <conditionalFormatting sqref="O52">
    <cfRule type="expression" priority="211" dxfId="548">
      <formula>IF(OR($F52="SC-BA"),$O52&lt;1400)</formula>
    </cfRule>
    <cfRule type="expression" priority="212" dxfId="547">
      <formula>IF(OR($F52="SC-PW"),$O52&lt;1999)</formula>
    </cfRule>
  </conditionalFormatting>
  <conditionalFormatting sqref="C17">
    <cfRule type="cellIs" priority="72" operator="equal" dxfId="5">
      <formula>MT</formula>
    </cfRule>
  </conditionalFormatting>
  <conditionalFormatting sqref="C19:C21">
    <cfRule type="cellIs" priority="36" operator="equal" dxfId="5">
      <formula>MT</formula>
    </cfRule>
  </conditionalFormatting>
  <dataValidations count="2">
    <dataValidation sqref="B74:C75" showDropDown="0" showInputMessage="1" showErrorMessage="1" allowBlank="0" type="list">
      <formula1>$A$2:$A$15</formula1>
    </dataValidation>
    <dataValidation sqref="D74:D75" showDropDown="0" showInputMessage="1" showErrorMessage="1" allowBlank="0" type="list">
      <formula1>$A$2:$A$10</formula1>
    </dataValidation>
  </dataValidations>
  <printOptions horizontalCentered="1" verticalCentered="1"/>
  <pageMargins left="0" right="0.1968503937007874" top="0" bottom="0" header="0" footer="0"/>
  <pageSetup orientation="landscape" paperSize="9" scale="31" horizontalDpi="180" verticalDpi="180"/>
</worksheet>
</file>

<file path=xl/worksheets/sheet3.xml><?xml version="1.0" encoding="utf-8"?>
<worksheet xmlns="http://schemas.openxmlformats.org/spreadsheetml/2006/main">
  <sheetPr codeName="Feuil3">
    <tabColor theme="9" tint="0.3999755851924192"/>
    <outlinePr summaryBelow="1" summaryRight="1"/>
    <pageSetUpPr fitToPage="1"/>
  </sheetPr>
  <dimension ref="A1:Z122"/>
  <sheetViews>
    <sheetView showGridLines="0" zoomScale="69" zoomScaleNormal="69" zoomScaleSheetLayoutView="70" workbookViewId="0">
      <selection activeCell="N25" sqref="N25"/>
    </sheetView>
  </sheetViews>
  <sheetFormatPr baseColWidth="8" defaultColWidth="11.25" defaultRowHeight="12.75"/>
  <cols>
    <col width="3.625" customWidth="1" style="378" min="1" max="1"/>
    <col width="31.25" bestFit="1" customWidth="1" style="378" min="2" max="2"/>
    <col width="23.625" customWidth="1" style="378" min="3" max="3"/>
    <col width="24.625" customWidth="1" style="378" min="4" max="4"/>
    <col width="23.625" customWidth="1" style="378" min="5" max="5"/>
    <col width="19.25" customWidth="1" style="378" min="6" max="6"/>
    <col width="23.25" customWidth="1" style="378" min="7" max="7"/>
    <col width="7.75" customWidth="1" style="378" min="8" max="8"/>
    <col width="9.875" customWidth="1" style="378" min="9" max="9"/>
    <col width="26.25" customWidth="1" style="378" min="10" max="10"/>
    <col width="18.25" customWidth="1" style="378" min="11" max="11"/>
    <col width="20.375" customWidth="1" style="378" min="12" max="12"/>
    <col width="18.375" customWidth="1" style="378" min="13" max="14"/>
    <col width="12.25" customWidth="1" style="378" min="15" max="15"/>
    <col width="23.75" customWidth="1" style="378" min="16" max="16"/>
    <col width="16.25" customWidth="1" style="378" min="17" max="17"/>
    <col width="20.125" customWidth="1" style="378" min="18" max="18"/>
    <col width="5.75" customWidth="1" style="378" min="19" max="19"/>
    <col width="11.25" customWidth="1" style="378" min="20" max="22"/>
    <col width="11.25" customWidth="1" style="378" min="23" max="16384"/>
  </cols>
  <sheetData>
    <row r="1" ht="18.75" customHeight="1" thickBot="1">
      <c r="A1" s="310" t="n"/>
    </row>
    <row r="2" ht="34.5" customHeight="1" thickBot="1">
      <c r="B2" s="19" t="n"/>
      <c r="C2" s="571">
        <f>TODAY()</f>
        <v/>
      </c>
      <c r="E2" s="26" t="n"/>
      <c r="F2" s="26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  <c r="P2" s="19" t="n"/>
      <c r="Q2" s="19" t="n"/>
      <c r="R2" s="20" t="n"/>
      <c r="S2" s="28" t="n"/>
    </row>
    <row r="3" ht="34.5" customHeight="1" thickBot="1">
      <c r="B3" s="19" t="n"/>
      <c r="E3" s="26" t="n"/>
      <c r="F3" s="26" t="n"/>
      <c r="G3" s="21" t="n"/>
      <c r="H3" s="19" t="n"/>
      <c r="I3" s="19" t="n"/>
      <c r="J3" s="19" t="n"/>
      <c r="K3" s="19" t="n"/>
      <c r="L3" s="19" t="n"/>
      <c r="M3" s="19" t="n"/>
      <c r="N3" s="19" t="n"/>
      <c r="O3" s="19" t="n"/>
      <c r="P3" s="22" t="n"/>
      <c r="Q3" s="21" t="n"/>
      <c r="R3" s="20" t="n"/>
      <c r="S3" s="28" t="n"/>
    </row>
    <row r="4" ht="34.5" customHeight="1" thickBot="1">
      <c r="B4" s="19" t="n"/>
      <c r="C4" s="789">
        <f>NOW()</f>
        <v/>
      </c>
      <c r="E4" s="26" t="n"/>
      <c r="F4" s="26" t="n"/>
      <c r="G4" s="21" t="n"/>
      <c r="H4" s="19" t="n"/>
      <c r="I4" s="19" t="n"/>
      <c r="J4" s="19" t="n"/>
      <c r="K4" s="19" t="n"/>
      <c r="L4" s="19" t="n"/>
      <c r="M4" s="19" t="n"/>
      <c r="N4" s="19" t="n"/>
      <c r="O4" s="19" t="n"/>
      <c r="P4" s="22" t="n"/>
      <c r="Q4" s="21" t="n"/>
      <c r="R4" s="20" t="n"/>
      <c r="S4" s="28" t="n"/>
    </row>
    <row r="5" ht="34.5" customHeight="1" thickBot="1">
      <c r="B5" s="19" t="n"/>
      <c r="E5" s="26" t="n"/>
      <c r="F5" s="26" t="n"/>
      <c r="G5" s="21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  <c r="R5" s="20" t="n"/>
      <c r="S5" s="28" t="n"/>
    </row>
    <row r="6" ht="34.5" customHeight="1">
      <c r="B6" s="19" t="n"/>
      <c r="C6" s="24" t="n"/>
      <c r="D6" s="25" t="n"/>
      <c r="E6" s="26" t="n"/>
      <c r="F6" s="573" t="inlineStr">
        <is>
          <t>Fin</t>
        </is>
      </c>
      <c r="H6" s="574" t="inlineStr">
        <is>
          <t>Durée</t>
        </is>
      </c>
      <c r="I6" s="574" t="inlineStr">
        <is>
          <t>Type d'arrêt</t>
        </is>
      </c>
      <c r="K6" s="574" t="inlineStr">
        <is>
          <t>Zone</t>
        </is>
      </c>
      <c r="M6" s="574" t="inlineStr">
        <is>
          <t>Equipement</t>
        </is>
      </c>
      <c r="P6" s="574" t="n"/>
      <c r="Q6" s="574" t="n"/>
      <c r="S6" s="29" t="n"/>
    </row>
    <row r="7" ht="18.75" customHeight="1" thickBot="1"/>
    <row r="8" ht="36" customHeight="1" thickBot="1">
      <c r="A8" s="5" t="n"/>
      <c r="B8" s="790" t="n"/>
      <c r="C8" s="791" t="n"/>
      <c r="D8" s="38" t="inlineStr">
        <is>
          <t>Formulaire</t>
        </is>
      </c>
      <c r="E8" s="593" t="inlineStr">
        <is>
          <t>PRL-LA-IT-06-F-02</t>
        </is>
      </c>
      <c r="F8" s="792" t="n"/>
      <c r="G8" s="792" t="n"/>
      <c r="H8" s="792" t="n"/>
      <c r="I8" s="792" t="n"/>
      <c r="J8" s="792" t="n"/>
      <c r="K8" s="792" t="n"/>
      <c r="L8" s="792" t="n"/>
      <c r="M8" s="792" t="n"/>
      <c r="N8" s="792" t="n"/>
      <c r="O8" s="792" t="n"/>
      <c r="P8" s="792" t="n"/>
      <c r="Q8" s="792" t="n"/>
      <c r="R8" s="793" t="n"/>
    </row>
    <row r="9" ht="38.25" customHeight="1" thickBot="1">
      <c r="A9" s="5" t="n"/>
      <c r="B9" s="794" t="n"/>
      <c r="C9" s="795" t="n"/>
      <c r="D9" s="38" t="inlineStr">
        <is>
          <t>Entité</t>
        </is>
      </c>
      <c r="E9" s="594" t="inlineStr">
        <is>
          <t>Entités de Traitement de Site de Khouribga</t>
        </is>
      </c>
      <c r="F9" s="792" t="n"/>
      <c r="G9" s="792" t="n"/>
      <c r="H9" s="792" t="n"/>
      <c r="I9" s="792" t="n"/>
      <c r="J9" s="792" t="n"/>
      <c r="K9" s="792" t="n"/>
      <c r="L9" s="792" t="n"/>
      <c r="M9" s="792" t="n"/>
      <c r="N9" s="792" t="n"/>
      <c r="O9" s="792" t="n"/>
      <c r="P9" s="792" t="n"/>
      <c r="Q9" s="792" t="n"/>
      <c r="R9" s="793" t="n"/>
    </row>
    <row r="10" ht="38.25" customHeight="1" thickBot="1">
      <c r="A10" s="5" t="n"/>
      <c r="B10" s="796" t="inlineStr">
        <is>
          <t>DIRECTION EXECUTIVE
OPERATIONSINDUSTRIELLES
DIRECTION DE SITE  DE KHOURIBGA</t>
        </is>
      </c>
      <c r="C10" s="797" t="n"/>
      <c r="D10" s="38" t="inlineStr">
        <is>
          <t>Version</t>
        </is>
      </c>
      <c r="E10" s="593" t="n">
        <v>5</v>
      </c>
      <c r="F10" s="594" t="inlineStr">
        <is>
          <t xml:space="preserve">Applicable le </t>
        </is>
      </c>
      <c r="G10" s="792" t="n"/>
      <c r="H10" s="792" t="n"/>
      <c r="I10" s="792" t="n"/>
      <c r="J10" s="792" t="n"/>
      <c r="K10" s="792" t="n"/>
      <c r="L10" s="792" t="n"/>
      <c r="M10" s="792" t="n"/>
      <c r="N10" s="792" t="n"/>
      <c r="O10" s="792" t="n"/>
      <c r="P10" s="792" t="n"/>
      <c r="Q10" s="793" t="n"/>
      <c r="R10" s="37" t="n">
        <v>45000</v>
      </c>
    </row>
    <row r="11" ht="26.25" customHeight="1">
      <c r="A11" s="5" t="n"/>
      <c r="B11" s="32" t="inlineStr">
        <is>
          <t>OIK/BD/E- 428</t>
        </is>
      </c>
      <c r="C11" s="30" t="n"/>
      <c r="D11" s="31" t="n"/>
    </row>
    <row r="12" ht="5.25" customHeight="1"/>
    <row r="13" ht="24" customHeight="1">
      <c r="B13" s="583" t="inlineStr">
        <is>
          <t>Titre: Rapport de tonnage</t>
        </is>
      </c>
    </row>
    <row r="14" ht="21" customHeight="1">
      <c r="A14" s="6" t="n"/>
    </row>
    <row r="15" ht="33.75" customHeight="1" thickBot="1">
      <c r="A15" s="7" t="n"/>
      <c r="B15" s="166" t="inlineStr">
        <is>
          <t>Installation : RP3</t>
        </is>
      </c>
      <c r="C15" s="39" t="n"/>
      <c r="E15" s="36" t="n"/>
      <c r="J15" s="34" t="n"/>
      <c r="K15" s="34" t="n"/>
      <c r="P15" s="70" t="inlineStr">
        <is>
          <t>Journée du :</t>
        </is>
      </c>
      <c r="Q15" s="584" t="n">
        <v>45037</v>
      </c>
    </row>
    <row r="16" ht="42.75" customFormat="1" customHeight="1" s="40" thickBot="1">
      <c r="B16" s="67" t="inlineStr">
        <is>
          <t>Heures</t>
        </is>
      </c>
      <c r="C16" s="68" t="inlineStr">
        <is>
          <t>Qualité</t>
        </is>
      </c>
      <c r="D16" s="68" t="inlineStr">
        <is>
          <t>Code</t>
        </is>
      </c>
      <c r="E16" s="68" t="inlineStr">
        <is>
          <t>Repère déstockage</t>
        </is>
      </c>
      <c r="F16" s="68" t="inlineStr">
        <is>
          <t>Destination</t>
        </is>
      </c>
      <c r="G16" s="68" t="inlineStr">
        <is>
          <t>Repère stockage</t>
        </is>
      </c>
      <c r="H16" s="798" t="inlineStr">
        <is>
          <t>Bascule
(LS6/LS7)*</t>
        </is>
      </c>
      <c r="I16" s="799" t="n"/>
      <c r="J16" s="68" t="inlineStr">
        <is>
          <t>Index bascule</t>
        </is>
      </c>
      <c r="K16" s="83" t="inlineStr">
        <is>
          <t>Tonnage</t>
        </is>
      </c>
      <c r="L16" s="83" t="inlineStr">
        <is>
          <t>Index horaire
LS6-LS7</t>
        </is>
      </c>
      <c r="M16" s="83" t="inlineStr">
        <is>
          <t>HM</t>
        </is>
      </c>
      <c r="N16" s="83" t="inlineStr">
        <is>
          <t>POSTE</t>
        </is>
      </c>
      <c r="O16" s="83" t="inlineStr">
        <is>
          <t>T/H</t>
        </is>
      </c>
      <c r="P16" s="69" t="inlineStr">
        <is>
          <t>Sous vitesses/Causes marche à vide</t>
        </is>
      </c>
      <c r="Q16" s="792" t="n"/>
      <c r="R16" s="793" t="n"/>
      <c r="S16" s="41" t="n"/>
    </row>
    <row r="17" ht="32.25" customFormat="1" customHeight="1" s="332">
      <c r="B17" s="444" t="n"/>
      <c r="C17" s="466" t="inlineStr">
        <is>
          <t>TBT</t>
        </is>
      </c>
      <c r="D17" s="508" t="inlineStr">
        <is>
          <t>T2S220323</t>
        </is>
      </c>
      <c r="E17" s="509" t="inlineStr">
        <is>
          <t>H4N 200-250</t>
        </is>
      </c>
      <c r="F17" s="468" t="inlineStr">
        <is>
          <t>PW-UD</t>
        </is>
      </c>
      <c r="G17" s="705" t="n"/>
      <c r="H17" s="704" t="inlineStr">
        <is>
          <t>LS6</t>
        </is>
      </c>
      <c r="I17" s="800" t="n"/>
      <c r="J17" s="489" t="n">
        <v>9534700</v>
      </c>
      <c r="K17" s="405" t="n"/>
      <c r="L17" s="801" t="n">
        <v>249.1</v>
      </c>
      <c r="M17" s="802" t="n"/>
      <c r="N17" s="409" t="n"/>
      <c r="O17" s="407">
        <f>IF(K17=0,"-",K17/M17)</f>
        <v/>
      </c>
      <c r="P17" s="461" t="n"/>
      <c r="Q17" s="462" t="n"/>
      <c r="R17" s="463" t="n"/>
      <c r="S17" s="332" t="n"/>
      <c r="X17" s="354" t="n"/>
      <c r="Y17" s="354" t="n"/>
      <c r="Z17" s="354" t="n"/>
    </row>
    <row r="18" ht="32.25" customFormat="1" customHeight="1" s="378">
      <c r="B18" s="465" t="n">
        <v>0.04166666666666666</v>
      </c>
      <c r="C18" s="416" t="inlineStr">
        <is>
          <t>TBT</t>
        </is>
      </c>
      <c r="D18" s="433" t="n"/>
      <c r="E18" s="191" t="n"/>
      <c r="F18" s="420" t="inlineStr">
        <is>
          <t>PW-UD</t>
        </is>
      </c>
      <c r="G18" s="197" t="n"/>
      <c r="H18" s="718" t="inlineStr">
        <is>
          <t>LS6</t>
        </is>
      </c>
      <c r="I18" s="800" t="n"/>
      <c r="J18" s="184" t="n">
        <v>9535880</v>
      </c>
      <c r="K18" s="177">
        <f>IF(AND(H18=H17,J18-J17&lt;3000,J18-J17&gt;0),J18-J17,0)</f>
        <v/>
      </c>
      <c r="L18" s="809" t="n">
        <v>249.9</v>
      </c>
      <c r="M18" s="807">
        <f>IF(AND(H18=H17,L18-L17&lt;1.1,L18-L17&gt;0),L18-L17,0)</f>
        <v/>
      </c>
      <c r="N18" s="227" t="n">
        <v>1</v>
      </c>
      <c r="O18" s="293">
        <f>IF(K18=0,"-",K18/M18)</f>
        <v/>
      </c>
      <c r="P18" s="709" t="n"/>
      <c r="Q18" s="829" t="n"/>
      <c r="R18" s="836" t="n"/>
      <c r="S18" s="378" t="n"/>
      <c r="X18" s="378" t="n"/>
      <c r="Y18" s="76" t="n"/>
      <c r="Z18" s="77" t="n"/>
    </row>
    <row r="19" ht="32.25" customFormat="1" customHeight="1" s="378">
      <c r="B19" s="400" t="n"/>
      <c r="C19" s="466" t="inlineStr">
        <is>
          <t>BTR</t>
        </is>
      </c>
      <c r="D19" s="508" t="inlineStr">
        <is>
          <t>T2S190423</t>
        </is>
      </c>
      <c r="E19" s="509" t="inlineStr">
        <is>
          <t>H4N 410-490</t>
        </is>
      </c>
      <c r="F19" s="468" t="inlineStr">
        <is>
          <t>PW-UD</t>
        </is>
      </c>
      <c r="G19" s="399" t="n"/>
      <c r="H19" s="704" t="inlineStr">
        <is>
          <t>LS6</t>
        </is>
      </c>
      <c r="I19" s="800" t="n"/>
      <c r="J19" s="489" t="n">
        <v>9552900</v>
      </c>
      <c r="K19" s="405">
        <f>IF(AND(H19=H18,J19-J18&lt;3000,J19-J18&gt;0),J19-J18,0)</f>
        <v/>
      </c>
      <c r="L19" s="801" t="n">
        <v>262</v>
      </c>
      <c r="M19" s="802">
        <f>IF(AND(H19=H18,L19-L18&lt;1.1,L19-L18&gt;0),L19-L18,0)</f>
        <v/>
      </c>
      <c r="N19" s="409" t="n"/>
      <c r="O19" s="407">
        <f>IF(K19=0,"-",K19/M19)</f>
        <v/>
      </c>
      <c r="P19" s="707" t="n"/>
      <c r="Q19" s="829" t="n"/>
      <c r="R19" s="836" t="n"/>
      <c r="S19" s="378" t="n"/>
      <c r="X19" s="378" t="n"/>
      <c r="Y19" s="76" t="n"/>
      <c r="Z19" s="77" t="n"/>
    </row>
    <row r="20" ht="32.25" customFormat="1" customHeight="1" s="378">
      <c r="B20" s="465" t="n">
        <v>0.8333333333333334</v>
      </c>
      <c r="C20" s="416" t="inlineStr">
        <is>
          <t>BTR</t>
        </is>
      </c>
      <c r="D20" s="433" t="n"/>
      <c r="E20" s="191" t="n"/>
      <c r="F20" s="420" t="inlineStr">
        <is>
          <t>PW-UD</t>
        </is>
      </c>
      <c r="G20" s="197" t="n"/>
      <c r="H20" s="869" t="inlineStr">
        <is>
          <t>LS6</t>
        </is>
      </c>
      <c r="I20" s="800" t="n"/>
      <c r="J20" s="184" t="n">
        <v>9553200</v>
      </c>
      <c r="K20" s="177">
        <f>IF(AND(H20=H19,J20-J19&lt;3000,J20-J19&gt;0),J20-J19,0)</f>
        <v/>
      </c>
      <c r="L20" s="809" t="n">
        <v>262.3</v>
      </c>
      <c r="M20" s="807">
        <f>IF(AND(H20=H19,L20-L19&lt;1.1,L20-L19&gt;0),L20-L19,0)</f>
        <v/>
      </c>
      <c r="N20" s="227" t="n">
        <v>3</v>
      </c>
      <c r="O20" s="432">
        <f>IF(K20=0,"-",K20/M20)</f>
        <v/>
      </c>
      <c r="P20" s="707" t="n"/>
      <c r="Q20" s="829" t="n"/>
      <c r="R20" s="836" t="n"/>
      <c r="S20" s="378" t="n"/>
      <c r="X20" s="378" t="n"/>
      <c r="Y20" s="76" t="n"/>
      <c r="Z20" s="77" t="n"/>
    </row>
    <row r="21" ht="32.25" customFormat="1" customHeight="1" s="378">
      <c r="A21" s="332" t="n"/>
      <c r="B21" s="465" t="n">
        <v>0.875</v>
      </c>
      <c r="C21" s="416" t="inlineStr">
        <is>
          <t>BTR</t>
        </is>
      </c>
      <c r="D21" s="433" t="n"/>
      <c r="E21" s="191" t="n"/>
      <c r="F21" s="420" t="inlineStr">
        <is>
          <t>PW-UD</t>
        </is>
      </c>
      <c r="G21" s="197" t="n"/>
      <c r="H21" s="718" t="inlineStr">
        <is>
          <t>LS6</t>
        </is>
      </c>
      <c r="I21" s="800" t="n"/>
      <c r="J21" s="184" t="n">
        <v>9554500</v>
      </c>
      <c r="K21" s="177">
        <f>IF(AND(H21=H20,J21-J20&lt;3000,J21-J20&gt;0),J21-J20,0)</f>
        <v/>
      </c>
      <c r="L21" s="809" t="n">
        <v>263.3</v>
      </c>
      <c r="M21" s="807">
        <f>IF(AND(H21=H20,L21-L20&lt;1.1,L21-L20&gt;0),L21-L20,0)</f>
        <v/>
      </c>
      <c r="N21" s="227" t="n">
        <v>3</v>
      </c>
      <c r="O21" s="432">
        <f>IF(K21=0,"-",K21/M21)</f>
        <v/>
      </c>
      <c r="P21" s="707" t="n"/>
      <c r="Q21" s="829" t="n"/>
      <c r="R21" s="836" t="n"/>
      <c r="S21" s="378" t="n"/>
      <c r="X21" s="378" t="n"/>
      <c r="Y21" s="76" t="n"/>
      <c r="Z21" s="77" t="n"/>
    </row>
    <row r="22" ht="32.25" customFormat="1" customHeight="1" s="347">
      <c r="B22" s="465" t="n">
        <v>0.9166666666666666</v>
      </c>
      <c r="C22" s="416" t="inlineStr">
        <is>
          <t>BTR</t>
        </is>
      </c>
      <c r="D22" s="433" t="n"/>
      <c r="E22" s="191" t="n"/>
      <c r="F22" s="420" t="inlineStr">
        <is>
          <t>PW-UD</t>
        </is>
      </c>
      <c r="G22" s="197" t="n"/>
      <c r="H22" s="718" t="inlineStr">
        <is>
          <t>LS6</t>
        </is>
      </c>
      <c r="I22" s="800" t="n"/>
      <c r="J22" s="184" t="n">
        <v>9555800</v>
      </c>
      <c r="K22" s="177">
        <f>IF(AND(H22=H21,J22-J21&lt;3000,J22-J21&gt;0),J22-J21,0)</f>
        <v/>
      </c>
      <c r="L22" s="809" t="n">
        <v>264.1</v>
      </c>
      <c r="M22" s="807">
        <f>IF(AND(H22=H21,L22-L21&lt;1.1,L22-L21&gt;0),L22-L21,0)</f>
        <v/>
      </c>
      <c r="N22" s="227" t="n">
        <v>3</v>
      </c>
      <c r="O22" s="293">
        <f>IF(K22=0,"-",K22/M22)</f>
        <v/>
      </c>
      <c r="P22" s="870" t="n"/>
      <c r="Q22" s="829" t="n"/>
      <c r="R22" s="836" t="n"/>
      <c r="S22" s="347" t="n"/>
      <c r="X22" s="347" t="n"/>
      <c r="Y22" s="348" t="n"/>
      <c r="Z22" s="349" t="n"/>
    </row>
    <row r="23" ht="32.25" customFormat="1" customHeight="1" s="332">
      <c r="B23" s="465" t="n">
        <v>0.9583333333333334</v>
      </c>
      <c r="C23" s="416" t="inlineStr">
        <is>
          <t>BTR</t>
        </is>
      </c>
      <c r="D23" s="433" t="n"/>
      <c r="E23" s="191" t="n"/>
      <c r="F23" s="420" t="inlineStr">
        <is>
          <t>PW-UD</t>
        </is>
      </c>
      <c r="G23" s="197" t="n"/>
      <c r="H23" s="718" t="inlineStr">
        <is>
          <t>LS6</t>
        </is>
      </c>
      <c r="I23" s="800" t="n"/>
      <c r="J23" s="184" t="n">
        <v>9556820</v>
      </c>
      <c r="K23" s="177">
        <f>IF(AND(H23=H22,J23-J22&lt;3000,J23-J22&gt;0),J23-J22,0)</f>
        <v/>
      </c>
      <c r="L23" s="809" t="n">
        <v>265.1</v>
      </c>
      <c r="M23" s="807">
        <f>IF(AND(H23=H22,L23-L22&lt;1.1,L23-L22&gt;0),L23-L22,0)</f>
        <v/>
      </c>
      <c r="N23" s="227" t="n">
        <v>3</v>
      </c>
      <c r="O23" s="293">
        <f>IF(K23=0,"-",K23/M23)</f>
        <v/>
      </c>
      <c r="P23" s="870" t="n"/>
      <c r="Q23" s="829" t="n"/>
      <c r="R23" s="836" t="n"/>
      <c r="S23" s="332" t="n"/>
      <c r="X23" s="332" t="n"/>
      <c r="Y23" s="333" t="n"/>
      <c r="Z23" s="334" t="n"/>
    </row>
    <row r="24" ht="32.25" customFormat="1" customHeight="1" s="378">
      <c r="A24" s="332" t="n"/>
      <c r="B24" s="465" t="n">
        <v>1</v>
      </c>
      <c r="C24" s="416" t="inlineStr">
        <is>
          <t>BTR</t>
        </is>
      </c>
      <c r="D24" s="433" t="n"/>
      <c r="E24" s="191" t="n"/>
      <c r="F24" s="420" t="inlineStr">
        <is>
          <t>PW-UD</t>
        </is>
      </c>
      <c r="G24" s="719" t="n"/>
      <c r="H24" s="718" t="inlineStr">
        <is>
          <t>LS6</t>
        </is>
      </c>
      <c r="I24" s="800" t="n"/>
      <c r="J24" s="184" t="n">
        <v>9558000</v>
      </c>
      <c r="K24" s="177">
        <f>IF(AND(H24=H23,J24-J23&lt;3000,J24-J23&gt;0),J24-J23,0)</f>
        <v/>
      </c>
      <c r="L24" s="809" t="n">
        <v>266.1</v>
      </c>
      <c r="M24" s="807">
        <f>IF(AND(H24=H23,L24-L23&lt;1.1,L24-L23&gt;0),L24-L23,0)</f>
        <v/>
      </c>
      <c r="N24" s="227" t="n">
        <v>3</v>
      </c>
      <c r="O24" s="293">
        <f>IF(K24=0,"-",K24/M24)</f>
        <v/>
      </c>
      <c r="P24" s="870" t="n"/>
      <c r="Q24" s="829" t="n"/>
      <c r="R24" s="836" t="n"/>
      <c r="S24" s="378" t="n"/>
      <c r="X24" s="378" t="n"/>
      <c r="Y24" s="76" t="n"/>
      <c r="Z24" s="77" t="n"/>
    </row>
    <row r="25" ht="32.25" customFormat="1" customHeight="1" s="378">
      <c r="A25" s="332" t="n"/>
      <c r="B25" s="465" t="n"/>
      <c r="C25" s="416" t="n"/>
      <c r="D25" s="433" t="n"/>
      <c r="E25" s="191" t="n"/>
      <c r="F25" s="420" t="n"/>
      <c r="G25" s="719" t="n"/>
      <c r="H25" s="718" t="n"/>
      <c r="I25" s="800" t="n"/>
      <c r="J25" s="184" t="n"/>
      <c r="K25" s="177">
        <f>IF(AND(H25=H24,J25-J24&lt;3000,J25-J24&gt;0),J25-J24,0)</f>
        <v/>
      </c>
      <c r="L25" s="809" t="n"/>
      <c r="M25" s="807">
        <f>IF(AND(H25=H24,L25-L24&lt;1.1,L25-L24&gt;0),L25-L24,0)</f>
        <v/>
      </c>
      <c r="N25" s="227" t="n"/>
      <c r="O25" s="293">
        <f>IF(K25=0,"-",K25/M25)</f>
        <v/>
      </c>
      <c r="P25" s="870" t="n"/>
      <c r="Q25" s="829" t="n"/>
      <c r="R25" s="836" t="n"/>
      <c r="S25" s="378" t="n"/>
      <c r="X25" s="378" t="n"/>
      <c r="Y25" s="76" t="n"/>
      <c r="Z25" s="77" t="n"/>
    </row>
    <row r="26" ht="32.25" customFormat="1" customHeight="1" s="378">
      <c r="B26" s="465" t="n"/>
      <c r="C26" s="416" t="n"/>
      <c r="D26" s="433" t="inlineStr">
        <is>
          <t xml:space="preserve"> </t>
        </is>
      </c>
      <c r="E26" s="191" t="n"/>
      <c r="F26" s="420" t="n"/>
      <c r="G26" s="719" t="n"/>
      <c r="H26" s="718" t="n"/>
      <c r="I26" s="800" t="n"/>
      <c r="J26" s="184" t="n"/>
      <c r="K26" s="177">
        <f>IF(AND(H26=H25,J26-J25&lt;3000,J26-J25&gt;0),J26-J25,0)</f>
        <v/>
      </c>
      <c r="L26" s="809" t="n"/>
      <c r="M26" s="807">
        <f>IF(AND(H26=H25,L26-L25&lt;1.1,L26-L25&gt;0),L26-L25,0)</f>
        <v/>
      </c>
      <c r="N26" s="227" t="n"/>
      <c r="O26" s="293">
        <f>IF(K26=0,"-",K26/M26)</f>
        <v/>
      </c>
      <c r="P26" s="870" t="n"/>
      <c r="Q26" s="829" t="n"/>
      <c r="R26" s="836" t="n"/>
      <c r="S26" s="378" t="n"/>
      <c r="X26" s="378" t="n"/>
      <c r="Y26" s="76" t="n"/>
      <c r="Z26" s="77" t="n"/>
    </row>
    <row r="27" ht="32.25" customFormat="1" customHeight="1" s="378">
      <c r="A27" s="332" t="n"/>
      <c r="B27" s="465" t="n"/>
      <c r="C27" s="416" t="n"/>
      <c r="D27" s="433" t="n"/>
      <c r="E27" s="191" t="n"/>
      <c r="F27" s="420" t="n"/>
      <c r="G27" s="719" t="n"/>
      <c r="H27" s="718" t="n"/>
      <c r="I27" s="800" t="n"/>
      <c r="J27" s="184" t="n"/>
      <c r="K27" s="177">
        <f>IF(AND(H27=H26,J27-J26&lt;3000,J27-J26&gt;0),J27-J26,0)</f>
        <v/>
      </c>
      <c r="L27" s="809" t="n"/>
      <c r="M27" s="807">
        <f>IF(AND(H27=H26,L27-L26&lt;1.1,L27-L26&gt;0),L27-L26,0)</f>
        <v/>
      </c>
      <c r="N27" s="227" t="n"/>
      <c r="O27" s="293">
        <f>IF(K27=0,"-",K27/M27)</f>
        <v/>
      </c>
      <c r="P27" s="870" t="n"/>
      <c r="Q27" s="829" t="n"/>
      <c r="R27" s="836" t="n"/>
      <c r="S27" s="378" t="n"/>
      <c r="X27" s="378" t="n"/>
      <c r="Y27" s="76" t="n"/>
      <c r="Z27" s="77" t="n"/>
    </row>
    <row r="28" ht="32.25" customFormat="1" customHeight="1" s="332">
      <c r="B28" s="465" t="n"/>
      <c r="C28" s="416" t="n"/>
      <c r="D28" s="433" t="n"/>
      <c r="E28" s="191" t="n"/>
      <c r="F28" s="420" t="n"/>
      <c r="G28" s="499" t="n"/>
      <c r="H28" s="718" t="n"/>
      <c r="I28" s="800" t="n"/>
      <c r="J28" s="184" t="n"/>
      <c r="K28" s="177">
        <f>IF(AND(H28=H27,J28-J27&lt;3000,J28-J27&gt;0),J28-J27,0)</f>
        <v/>
      </c>
      <c r="L28" s="809" t="n"/>
      <c r="M28" s="807">
        <f>IF(AND(H28=H27,L28-L27&lt;1.1,L28-L27&gt;0),L28-L27,0)</f>
        <v/>
      </c>
      <c r="N28" s="227" t="n"/>
      <c r="O28" s="432">
        <f>IF(K28=0,"-",K28/M28)</f>
        <v/>
      </c>
      <c r="P28" s="707" t="n"/>
      <c r="Q28" s="829" t="n"/>
      <c r="R28" s="836" t="n"/>
      <c r="S28" s="332" t="n"/>
      <c r="X28" s="332" t="n"/>
      <c r="Y28" s="333" t="n"/>
      <c r="Z28" s="334" t="n"/>
    </row>
    <row r="29" ht="32.25" customFormat="1" customHeight="1" s="378">
      <c r="A29" s="332" t="n"/>
      <c r="B29" s="465" t="n"/>
      <c r="C29" s="416" t="n"/>
      <c r="D29" s="433" t="n"/>
      <c r="E29" s="191" t="n"/>
      <c r="F29" s="420" t="n"/>
      <c r="G29" s="719" t="n"/>
      <c r="H29" s="718" t="n"/>
      <c r="I29" s="800" t="n"/>
      <c r="J29" s="184" t="n"/>
      <c r="K29" s="177">
        <f>IF(AND(H29=H28,J29-J28&lt;3000,J29-J28&gt;0),J29-J28,0)</f>
        <v/>
      </c>
      <c r="L29" s="809" t="n"/>
      <c r="M29" s="807">
        <f>IF(AND(H29=H28,L29-L28&lt;1.1,L29-L28&gt;0),L29-L28,0)</f>
        <v/>
      </c>
      <c r="N29" s="227" t="n"/>
      <c r="O29" s="293">
        <f>IF(K29=0,"-",K29/M29)</f>
        <v/>
      </c>
      <c r="P29" s="870" t="n"/>
      <c r="Q29" s="829" t="n"/>
      <c r="R29" s="836" t="n"/>
      <c r="S29" s="378" t="n"/>
      <c r="X29" s="378" t="n"/>
      <c r="Y29" s="76" t="n"/>
      <c r="Z29" s="77" t="n"/>
    </row>
    <row r="30" ht="32.25" customFormat="1" customHeight="1" s="378">
      <c r="A30" s="332" t="n"/>
      <c r="B30" s="465" t="n"/>
      <c r="C30" s="416" t="n"/>
      <c r="D30" s="433" t="n"/>
      <c r="E30" s="191" t="n"/>
      <c r="F30" s="420" t="n"/>
      <c r="G30" s="719" t="n"/>
      <c r="H30" s="718" t="n"/>
      <c r="I30" s="800" t="n"/>
      <c r="J30" s="184" t="n"/>
      <c r="K30" s="177">
        <f>IF(AND(H30=H29,J30-J29&lt;3000,J30-J29&gt;0),J30-J29,0)</f>
        <v/>
      </c>
      <c r="L30" s="809" t="n"/>
      <c r="M30" s="807">
        <f>IF(AND(H30=H29,L30-L29&lt;1.1,L30-L29&gt;0),L30-L29,0)</f>
        <v/>
      </c>
      <c r="N30" s="227" t="n"/>
      <c r="O30" s="293">
        <f>IF(K30=0,"-",K30/M30)</f>
        <v/>
      </c>
      <c r="P30" s="709" t="n"/>
      <c r="Q30" s="829" t="n"/>
      <c r="R30" s="836" t="n"/>
      <c r="S30" s="378" t="n"/>
      <c r="X30" s="378" t="n"/>
      <c r="Y30" s="76" t="n"/>
      <c r="Z30" s="77" t="n"/>
    </row>
    <row r="31" ht="32.25" customHeight="1">
      <c r="A31" s="332" t="n"/>
      <c r="B31" s="465" t="n"/>
      <c r="C31" s="416" t="n"/>
      <c r="D31" s="419" t="n"/>
      <c r="E31" s="434" t="n"/>
      <c r="F31" s="420" t="n"/>
      <c r="G31" s="719" t="n"/>
      <c r="H31" s="718" t="n"/>
      <c r="I31" s="800" t="n"/>
      <c r="J31" s="184" t="n"/>
      <c r="K31" s="177">
        <f>IF(AND(H31=H30,J31-J30&lt;3000,J31-J30&gt;0),J31-J30,0)</f>
        <v/>
      </c>
      <c r="L31" s="809" t="n"/>
      <c r="M31" s="807">
        <f>IF(AND(H31=H30,L31-L30&lt;1.1,L31-L30&gt;0),L31-L30,0)</f>
        <v/>
      </c>
      <c r="N31" s="227" t="n"/>
      <c r="O31" s="293">
        <f>IF(K31=0,"-",K31/M31)</f>
        <v/>
      </c>
      <c r="P31" s="709" t="n"/>
      <c r="Q31" s="829" t="n"/>
      <c r="R31" s="836" t="n"/>
      <c r="S31" s="378" t="n"/>
      <c r="X31" s="378" t="n"/>
      <c r="Y31" s="76" t="n"/>
      <c r="Z31" s="77" t="n"/>
    </row>
    <row r="32" ht="32.25" customFormat="1" customHeight="1" s="310">
      <c r="A32" s="347" t="n"/>
      <c r="B32" s="465" t="n"/>
      <c r="C32" s="416" t="n"/>
      <c r="D32" s="419" t="n"/>
      <c r="E32" s="434" t="n"/>
      <c r="F32" s="420" t="n"/>
      <c r="G32" s="719" t="n"/>
      <c r="H32" s="718" t="n"/>
      <c r="I32" s="800" t="n"/>
      <c r="J32" s="184" t="n"/>
      <c r="K32" s="177">
        <f>IF(AND(H32=H31,J32-J31&lt;3000,J32-J31&gt;0),J32-J31,0)</f>
        <v/>
      </c>
      <c r="L32" s="809" t="n"/>
      <c r="M32" s="807">
        <f>IF(AND(H32=H31,L32-L31&lt;1.1,L32-L31&gt;0),L32-L31,0)</f>
        <v/>
      </c>
      <c r="N32" s="227" t="n"/>
      <c r="O32" s="195">
        <f>IF(K32=0,"-",K32/M32)</f>
        <v/>
      </c>
      <c r="P32" s="707" t="n"/>
      <c r="Q32" s="829" t="n"/>
      <c r="R32" s="836" t="n"/>
      <c r="S32" s="310" t="n"/>
      <c r="X32" s="378" t="n"/>
      <c r="Y32" s="76" t="n"/>
      <c r="Z32" s="77" t="n"/>
    </row>
    <row r="33" ht="32.25" customHeight="1">
      <c r="A33" s="332" t="n"/>
      <c r="B33" s="465" t="n"/>
      <c r="C33" s="416" t="n"/>
      <c r="D33" s="419" t="n"/>
      <c r="E33" s="434" t="n"/>
      <c r="F33" s="420" t="n"/>
      <c r="G33" s="499" t="n"/>
      <c r="H33" s="869" t="n"/>
      <c r="I33" s="800" t="n"/>
      <c r="J33" s="184" t="n"/>
      <c r="K33" s="177">
        <f>IF(AND(H33=H32,J33-J32&lt;3000,J33-J32&gt;0),J33-J32,0)</f>
        <v/>
      </c>
      <c r="L33" s="809" t="n"/>
      <c r="M33" s="807">
        <f>IF(AND(H33=H32,L33-L32&lt;1.1,L33-L32&gt;0),L33-L32,0)</f>
        <v/>
      </c>
      <c r="N33" s="227" t="n"/>
      <c r="O33" s="195">
        <f>IF(K33=0,"-",K33/M33)</f>
        <v/>
      </c>
      <c r="P33" s="709" t="n"/>
      <c r="Q33" s="829" t="n"/>
      <c r="R33" s="836" t="n"/>
      <c r="S33" s="378" t="n"/>
      <c r="X33" s="378" t="n"/>
      <c r="Y33" s="76" t="n"/>
      <c r="Z33" s="77" t="n"/>
    </row>
    <row r="34" ht="32.25" customFormat="1" customHeight="1" s="310">
      <c r="B34" s="465" t="n"/>
      <c r="C34" s="416" t="n"/>
      <c r="D34" s="419" t="n"/>
      <c r="E34" s="434" t="n"/>
      <c r="F34" s="420" t="n"/>
      <c r="G34" s="719" t="n"/>
      <c r="H34" s="718" t="n"/>
      <c r="I34" s="800" t="n"/>
      <c r="J34" s="184" t="n"/>
      <c r="K34" s="177">
        <f>IF(AND(H34=H33,J34-J33&lt;3000,J34-J33&gt;0),J34-J33,0)</f>
        <v/>
      </c>
      <c r="L34" s="809" t="n"/>
      <c r="M34" s="807">
        <f>IF(AND(H34=H33,L34-L33&lt;1.1,L34-L33&gt;0),L34-L33,0)</f>
        <v/>
      </c>
      <c r="N34" s="227" t="n"/>
      <c r="O34" s="195">
        <f>IF(K34=0,"-",K34/M34)</f>
        <v/>
      </c>
      <c r="P34" s="707" t="n"/>
      <c r="Q34" s="829" t="n"/>
      <c r="R34" s="836" t="n"/>
      <c r="S34" s="310" t="n"/>
      <c r="X34" s="310" t="n"/>
      <c r="Y34" s="311" t="n"/>
      <c r="Z34" s="312" t="n"/>
    </row>
    <row r="35" ht="32.25" customFormat="1" customHeight="1" s="378">
      <c r="B35" s="322" t="n"/>
      <c r="C35" s="416" t="n"/>
      <c r="D35" s="419" t="n"/>
      <c r="E35" s="270" t="n"/>
      <c r="F35" s="498" t="n"/>
      <c r="G35" s="499" t="n"/>
      <c r="H35" s="869" t="n"/>
      <c r="I35" s="800" t="n"/>
      <c r="J35" s="184" t="n"/>
      <c r="K35" s="177">
        <f>IF(AND(H35=H34,J35-J34&lt;3000,J35-J34&gt;0),J35-J34,0)</f>
        <v/>
      </c>
      <c r="L35" s="809" t="n"/>
      <c r="M35" s="807">
        <f>IF(AND(H35=H34,L35-L34&lt;1.1,L35-L34&gt;0),L35-L34,0)</f>
        <v/>
      </c>
      <c r="N35" s="227" t="n"/>
      <c r="O35" s="432">
        <f>IF(K35=0,"-",K35/M35)</f>
        <v/>
      </c>
      <c r="P35" s="709" t="n"/>
      <c r="Q35" s="829" t="n"/>
      <c r="R35" s="836" t="n"/>
      <c r="S35" s="378" t="n"/>
      <c r="X35" s="378" t="n"/>
      <c r="Y35" s="76" t="n"/>
      <c r="Z35" s="77" t="n"/>
    </row>
    <row r="36" ht="32.25" customFormat="1" customHeight="1" s="310">
      <c r="B36" s="465" t="n"/>
      <c r="C36" s="416" t="n"/>
      <c r="D36" s="419" t="n"/>
      <c r="E36" s="191" t="n"/>
      <c r="F36" s="420" t="n"/>
      <c r="G36" s="719" t="n"/>
      <c r="H36" s="718" t="n"/>
      <c r="I36" s="800" t="n"/>
      <c r="J36" s="184" t="n"/>
      <c r="K36" s="177">
        <f>IF(AND(H36=H35,J36-J35&lt;3000,J36-J35&gt;0),J36-J35,0)</f>
        <v/>
      </c>
      <c r="L36" s="809" t="n"/>
      <c r="M36" s="807">
        <f>IF(AND(H36=H35,L36-L35&lt;1.1,L36-L35&gt;0),L36-L35,0)</f>
        <v/>
      </c>
      <c r="N36" s="227" t="n"/>
      <c r="O36" s="293">
        <f>IF(K36=0,"-",K36/M36)</f>
        <v/>
      </c>
      <c r="P36" s="871" t="n"/>
      <c r="Q36" s="829" t="n"/>
      <c r="R36" s="836" t="n"/>
      <c r="S36" s="310" t="n"/>
      <c r="X36" s="310" t="n"/>
      <c r="Y36" s="311" t="n"/>
      <c r="Z36" s="312" t="n"/>
    </row>
    <row r="37" ht="32.25" customHeight="1">
      <c r="A37" s="332" t="n"/>
      <c r="B37" s="465" t="n"/>
      <c r="C37" s="416" t="n"/>
      <c r="D37" s="421" t="n"/>
      <c r="E37" s="270" t="n"/>
      <c r="F37" s="420" t="n"/>
      <c r="G37" s="719" t="n"/>
      <c r="H37" s="718" t="n"/>
      <c r="I37" s="800" t="n"/>
      <c r="J37" s="184" t="n"/>
      <c r="K37" s="177">
        <f>IF(AND(H37=H36,J37-J36&lt;3000,J37-J36&gt;0),J37-J36,0)</f>
        <v/>
      </c>
      <c r="L37" s="809" t="n"/>
      <c r="M37" s="807">
        <f>IF(AND(H37=H36,L37-L36&lt;1.1,L37-L36&gt;0),L37-L36,0)</f>
        <v/>
      </c>
      <c r="N37" s="227" t="n"/>
      <c r="O37" s="293">
        <f>IF(K37=0,"-",K37/M37)</f>
        <v/>
      </c>
      <c r="P37" s="870" t="n"/>
      <c r="Q37" s="829" t="n"/>
      <c r="R37" s="836" t="n"/>
      <c r="S37" s="378" t="n"/>
      <c r="X37" s="378" t="n"/>
      <c r="Y37" s="76" t="n"/>
      <c r="Z37" s="77" t="n"/>
    </row>
    <row r="38" ht="32.25" customHeight="1">
      <c r="A38" s="332" t="n"/>
      <c r="B38" s="465" t="n"/>
      <c r="C38" s="416" t="n"/>
      <c r="D38" s="421" t="n"/>
      <c r="E38" s="270" t="n"/>
      <c r="F38" s="420" t="n"/>
      <c r="G38" s="719" t="n"/>
      <c r="H38" s="718" t="n"/>
      <c r="I38" s="800" t="n"/>
      <c r="J38" s="184" t="n"/>
      <c r="K38" s="177">
        <f>IF(AND(H38=H37,J38-J37&lt;3000,J38-J37&gt;0),J38-J37,0)</f>
        <v/>
      </c>
      <c r="L38" s="809" t="n"/>
      <c r="M38" s="807">
        <f>IF(AND(H38=H37,L38-L37&lt;1.1,L38-L37&gt;0),L38-L37,0)</f>
        <v/>
      </c>
      <c r="N38" s="227" t="n"/>
      <c r="O38" s="293">
        <f>IF(K38=0,"-",K38/M38)</f>
        <v/>
      </c>
      <c r="P38" s="870" t="n"/>
      <c r="Q38" s="829" t="n"/>
      <c r="R38" s="836" t="n"/>
      <c r="S38" s="378" t="n"/>
      <c r="X38" s="378" t="n"/>
      <c r="Y38" s="76" t="n"/>
      <c r="Z38" s="77" t="n"/>
    </row>
    <row r="39" ht="32.25" customHeight="1">
      <c r="A39" s="332" t="n"/>
      <c r="B39" s="465" t="n"/>
      <c r="C39" s="416" t="n"/>
      <c r="D39" s="421" t="n"/>
      <c r="E39" s="270" t="n"/>
      <c r="F39" s="420" t="n"/>
      <c r="G39" s="719" t="n"/>
      <c r="H39" s="718" t="n"/>
      <c r="I39" s="800" t="n"/>
      <c r="J39" s="184" t="n"/>
      <c r="K39" s="177">
        <f>IF(AND(H39=H38,J39-J38&lt;3000,J39-J38&gt;0),J39-J38,0)</f>
        <v/>
      </c>
      <c r="L39" s="809" t="n"/>
      <c r="M39" s="807">
        <f>IF(AND(H39=H38,L39-L38&lt;1.1,L39-L38&gt;0),L39-L38,0)</f>
        <v/>
      </c>
      <c r="N39" s="227" t="n"/>
      <c r="O39" s="293">
        <f>IF(K39=0,"-",K39/M39)</f>
        <v/>
      </c>
      <c r="P39" s="870" t="n"/>
      <c r="Q39" s="829" t="n"/>
      <c r="R39" s="836" t="n"/>
      <c r="S39" s="378" t="n"/>
      <c r="X39" s="378" t="n"/>
      <c r="Y39" s="76" t="n"/>
      <c r="Z39" s="77" t="n"/>
    </row>
    <row r="40" ht="32.25" customHeight="1">
      <c r="A40" s="332" t="n"/>
      <c r="B40" s="465" t="n"/>
      <c r="C40" s="416" t="n"/>
      <c r="D40" s="421" t="n"/>
      <c r="E40" s="270" t="n"/>
      <c r="F40" s="420" t="n"/>
      <c r="G40" s="719" t="n"/>
      <c r="H40" s="718" t="n"/>
      <c r="I40" s="800" t="n"/>
      <c r="J40" s="184" t="n"/>
      <c r="K40" s="177">
        <f>IF(AND(H40=H39,J40-J39&lt;3000,J40-J39&gt;0),J40-J39,0)</f>
        <v/>
      </c>
      <c r="L40" s="809" t="n"/>
      <c r="M40" s="807">
        <f>IF(AND(H40=H39,L40-L39&lt;1.1,L40-L39&gt;0),L40-L39,0)</f>
        <v/>
      </c>
      <c r="N40" s="227" t="n"/>
      <c r="O40" s="432">
        <f>IF(K40=0,"-",K40/M40)</f>
        <v/>
      </c>
      <c r="P40" s="707" t="n"/>
      <c r="Q40" s="829" t="n"/>
      <c r="R40" s="836" t="n"/>
      <c r="S40" s="378" t="n"/>
      <c r="X40" s="378" t="n"/>
      <c r="Y40" s="76" t="n"/>
      <c r="Z40" s="77" t="n"/>
    </row>
    <row r="41" ht="32.25" customHeight="1">
      <c r="A41" s="332" t="n"/>
      <c r="B41" s="465" t="n"/>
      <c r="C41" s="416" t="n"/>
      <c r="D41" s="421" t="n"/>
      <c r="E41" s="270" t="n"/>
      <c r="F41" s="420" t="n"/>
      <c r="G41" s="719" t="n"/>
      <c r="H41" s="718" t="n"/>
      <c r="I41" s="800" t="n"/>
      <c r="J41" s="184" t="n"/>
      <c r="K41" s="177">
        <f>IF(AND(H41=H40,J41-J40&lt;3000,J41-J40&gt;0),J41-J40,0)</f>
        <v/>
      </c>
      <c r="L41" s="809" t="n"/>
      <c r="M41" s="807">
        <f>IF(AND(H41=H40,L41-L40&lt;1.1,L41-L40&gt;0),L41-L40,0)</f>
        <v/>
      </c>
      <c r="N41" s="227" t="n"/>
      <c r="O41" s="195">
        <f>IF(K41=0,"-",K41/M41)</f>
        <v/>
      </c>
      <c r="P41" s="709" t="n"/>
      <c r="Q41" s="829" t="n"/>
      <c r="R41" s="836" t="n"/>
      <c r="S41" s="378" t="n"/>
      <c r="X41" s="378" t="n"/>
      <c r="Y41" s="76" t="n"/>
      <c r="Z41" s="77" t="n"/>
    </row>
    <row r="42" ht="32.25" customHeight="1">
      <c r="A42" s="332" t="n"/>
      <c r="B42" s="465" t="n"/>
      <c r="C42" s="416" t="n"/>
      <c r="D42" s="421" t="n"/>
      <c r="E42" s="270" t="n"/>
      <c r="F42" s="420" t="n"/>
      <c r="G42" s="719" t="n"/>
      <c r="H42" s="718" t="n"/>
      <c r="I42" s="800" t="n"/>
      <c r="J42" s="184" t="n"/>
      <c r="K42" s="177">
        <f>IF(AND(H42=H41,J42-J41&lt;3000,J42-J41&gt;0),J42-J41,0)</f>
        <v/>
      </c>
      <c r="L42" s="809" t="n"/>
      <c r="M42" s="807">
        <f>IF(AND(H42=H41,L42-L41&lt;1.1,L42-L41&gt;0),L42-L41,0)</f>
        <v/>
      </c>
      <c r="N42" s="227" t="n"/>
      <c r="O42" s="293">
        <f>IF(K42=0,"-",K42/M42)</f>
        <v/>
      </c>
      <c r="P42" s="733" t="n"/>
      <c r="Q42" s="683" t="n"/>
      <c r="R42" s="684" t="n"/>
      <c r="S42" s="378" t="n"/>
      <c r="X42" s="378" t="n"/>
      <c r="Y42" s="76" t="n"/>
      <c r="Z42" s="77" t="n"/>
    </row>
    <row r="43" ht="32.25" customHeight="1">
      <c r="A43" s="332" t="n"/>
      <c r="B43" s="465" t="n"/>
      <c r="C43" s="190" t="n"/>
      <c r="D43" s="280" t="n"/>
      <c r="E43" s="280" t="n"/>
      <c r="F43" s="192" t="n"/>
      <c r="G43" s="719" t="n"/>
      <c r="H43" s="718" t="n"/>
      <c r="I43" s="800" t="n"/>
      <c r="J43" s="184" t="n"/>
      <c r="K43" s="177">
        <f>IF(AND(H43=H42,J43-J42&lt;3000,J43-J42&gt;0),J43-J42,0)</f>
        <v/>
      </c>
      <c r="L43" s="809" t="n"/>
      <c r="M43" s="807">
        <f>IF(AND(H43=H42,L43-L42&lt;1.1,L43-L42&gt;0),L43-L42,0)</f>
        <v/>
      </c>
      <c r="N43" s="227" t="n"/>
      <c r="O43" s="195">
        <f>IF(K43=0,"-",K43/M43)</f>
        <v/>
      </c>
      <c r="P43" s="709" t="n"/>
      <c r="Q43" s="829" t="n"/>
      <c r="R43" s="836" t="n"/>
      <c r="S43" s="378" t="n"/>
      <c r="X43" s="378" t="n"/>
      <c r="Y43" s="76" t="n"/>
      <c r="Z43" s="77" t="n"/>
    </row>
    <row r="44" ht="32.25" customHeight="1">
      <c r="A44" s="332" t="n"/>
      <c r="B44" s="465" t="n"/>
      <c r="C44" s="190" t="n"/>
      <c r="D44" s="231" t="n"/>
      <c r="E44" s="231" t="n"/>
      <c r="F44" s="192" t="n"/>
      <c r="G44" s="719" t="n"/>
      <c r="H44" s="718" t="n"/>
      <c r="I44" s="800" t="n"/>
      <c r="J44" s="184" t="n"/>
      <c r="K44" s="177">
        <f>IF(AND(H44=H43,J44-J43&lt;3000,J44-J43&gt;0),J44-J43,0)</f>
        <v/>
      </c>
      <c r="L44" s="809" t="n"/>
      <c r="M44" s="807">
        <f>IF(AND(H44=H43,L44-L43&lt;1.1,L44-L43&gt;0),L44-L43,0)</f>
        <v/>
      </c>
      <c r="N44" s="227" t="n"/>
      <c r="O44" s="195">
        <f>IF(K44=0,"-",K44/M44)</f>
        <v/>
      </c>
      <c r="P44" s="709" t="n"/>
      <c r="Q44" s="829" t="n"/>
      <c r="R44" s="836" t="n"/>
      <c r="S44" s="378" t="n"/>
      <c r="X44" s="378" t="n"/>
      <c r="Y44" s="76" t="n"/>
      <c r="Z44" s="77" t="n"/>
    </row>
    <row r="45" ht="32.25" customHeight="1">
      <c r="A45" s="332" t="n"/>
      <c r="B45" s="465" t="n"/>
      <c r="C45" s="190" t="n"/>
      <c r="D45" s="231" t="n"/>
      <c r="E45" s="231" t="n"/>
      <c r="F45" s="192" t="n"/>
      <c r="G45" s="719" t="n"/>
      <c r="H45" s="718" t="n"/>
      <c r="I45" s="800" t="n"/>
      <c r="J45" s="184" t="n"/>
      <c r="K45" s="177">
        <f>IF(AND(H45=H44,J45-J44&lt;3000,J45-J44&gt;0),J45-J44,0)</f>
        <v/>
      </c>
      <c r="L45" s="809" t="n"/>
      <c r="M45" s="807">
        <f>IF(AND(H45=H44,L45-L44&lt;1.1,L45-L44&gt;0),L45-L44,0)</f>
        <v/>
      </c>
      <c r="N45" s="227" t="n"/>
      <c r="O45" s="195">
        <f>IF(K45=0,"-",K45/M45)</f>
        <v/>
      </c>
      <c r="P45" s="709" t="n"/>
      <c r="Q45" s="829" t="n"/>
      <c r="R45" s="836" t="n"/>
      <c r="S45" s="378" t="n"/>
      <c r="X45" s="378" t="n"/>
      <c r="Y45" s="76" t="n"/>
      <c r="Z45" s="77" t="n"/>
    </row>
    <row r="46" ht="32.25" customHeight="1">
      <c r="A46" s="332" t="n"/>
      <c r="B46" s="465" t="n"/>
      <c r="C46" s="480" t="n"/>
      <c r="D46" s="231" t="n"/>
      <c r="E46" s="231" t="n"/>
      <c r="F46" s="719" t="n"/>
      <c r="G46" s="719" t="n"/>
      <c r="H46" s="718" t="n"/>
      <c r="I46" s="800" t="n"/>
      <c r="J46" s="184" t="n"/>
      <c r="K46" s="177">
        <f>IF(AND(H46=H45,J46-J45&lt;3000,J46-J45&gt;0),J46-J45,0)</f>
        <v/>
      </c>
      <c r="L46" s="809" t="n"/>
      <c r="M46" s="807">
        <f>IF(AND(H46=H45,L46-L45&lt;1.1,L46-L45&gt;0),L46-L45,0)</f>
        <v/>
      </c>
      <c r="N46" s="227" t="n"/>
      <c r="O46" s="195">
        <f>IF(K46=0,"-",K46/M46)</f>
        <v/>
      </c>
      <c r="P46" s="709" t="n"/>
      <c r="Q46" s="829" t="n"/>
      <c r="R46" s="836" t="n"/>
      <c r="S46" s="378" t="n"/>
      <c r="X46" s="378" t="n"/>
      <c r="Y46" s="76" t="n"/>
      <c r="Z46" s="77" t="n"/>
    </row>
    <row r="47" ht="32.25" customHeight="1" thickBot="1">
      <c r="B47" s="306" t="n"/>
      <c r="C47" s="307" t="n"/>
      <c r="D47" s="308" t="n"/>
      <c r="E47" s="308" t="n"/>
      <c r="F47" s="721" t="n"/>
      <c r="G47" s="721" t="n"/>
      <c r="H47" s="720" t="n"/>
      <c r="I47" s="824" t="n"/>
      <c r="J47" s="240" t="n"/>
      <c r="K47" s="363" t="n"/>
      <c r="L47" s="872" t="n"/>
      <c r="M47" s="825">
        <f>IF(AND(H47=H46,L47-L46&lt;1.1,L47-L46&gt;0),L47-L46,0)</f>
        <v/>
      </c>
      <c r="N47" s="235" t="n"/>
      <c r="O47" s="721">
        <f>IF(K47=0,"-",K47/M47)</f>
        <v/>
      </c>
      <c r="P47" s="723" t="n"/>
      <c r="Q47" s="842" t="n"/>
      <c r="R47" s="845" t="n"/>
      <c r="S47" s="378" t="n"/>
      <c r="X47" s="378" t="n"/>
      <c r="Y47" s="76" t="n"/>
      <c r="Z47" s="77" t="n"/>
    </row>
    <row r="48" ht="17.25" customHeight="1" thickBot="1">
      <c r="H48" s="568" t="n"/>
      <c r="X48" s="378" t="n"/>
      <c r="Y48" s="76" t="n"/>
      <c r="Z48" s="77" t="n"/>
    </row>
    <row r="49" ht="30.4" customHeight="1" thickBot="1">
      <c r="B49" s="692" t="inlineStr">
        <is>
          <t>Qualité</t>
        </is>
      </c>
      <c r="C49" s="827" t="n"/>
      <c r="D49" s="693" t="inlineStr">
        <is>
          <t>Destination</t>
        </is>
      </c>
      <c r="E49" s="693" t="inlineStr">
        <is>
          <t>Tonnage brut</t>
        </is>
      </c>
      <c r="F49" s="827" t="n"/>
      <c r="G49" s="693" t="inlineStr">
        <is>
          <t>Tge S/M</t>
        </is>
      </c>
      <c r="H49" s="792" t="n"/>
      <c r="I49" s="827" t="n"/>
      <c r="J49" s="693" t="inlineStr">
        <is>
          <t>H.M</t>
        </is>
      </c>
      <c r="K49" s="693" t="inlineStr">
        <is>
          <t>T/H</t>
        </is>
      </c>
      <c r="L49" s="827" t="n"/>
      <c r="M49" s="568" t="n"/>
      <c r="N49" s="568" t="n"/>
      <c r="P49" s="67" t="inlineStr">
        <is>
          <t>Tonnage brut</t>
        </is>
      </c>
      <c r="Q49" s="68" t="inlineStr">
        <is>
          <t>HM</t>
        </is>
      </c>
      <c r="R49" s="69" t="inlineStr">
        <is>
          <t>T/H</t>
        </is>
      </c>
      <c r="S49" s="605" t="n"/>
      <c r="X49" s="378" t="n"/>
      <c r="Y49" s="76" t="n"/>
      <c r="Z49" s="77" t="n"/>
    </row>
    <row r="50" ht="32.25" customHeight="1">
      <c r="B50" s="828" t="inlineStr">
        <is>
          <t>TBT</t>
        </is>
      </c>
      <c r="C50" s="815" t="n"/>
      <c r="D50" s="256" t="inlineStr">
        <is>
          <t>PW-UD</t>
        </is>
      </c>
      <c r="E50" s="675">
        <f>SUMIFS('RP3 '!$K$17:$K$47,'RP3 '!$C$17:$C$47,'RP3 '!B50,'RP3 '!$F$17:$F$47,D50)</f>
        <v/>
      </c>
      <c r="F50" s="800" t="n"/>
      <c r="G50" s="873">
        <f>SUMIFS('RP3 '!$D$81:$D$122,'RP3 '!$B$81:$B$122,'RP3 '!D50,'RP3 '!$C$81:$C$122,'RP3 '!B50)*E50</f>
        <v/>
      </c>
      <c r="H50" s="874" t="n"/>
      <c r="I50" s="875" t="n"/>
      <c r="J50" s="876">
        <f>SUMIFS('RP3 '!$M$17:$M$47,'RP3 '!$C$17:$C$47,'RP3 '!B50,'RP3 '!$F$17:$F$47,D50)</f>
        <v/>
      </c>
      <c r="K50" s="877">
        <f>IF(E50=0,"-",E50/J50)</f>
        <v/>
      </c>
      <c r="L50" s="832" t="n"/>
      <c r="M50" s="10" t="n"/>
      <c r="N50" s="59" t="inlineStr">
        <is>
          <t>Poste</t>
        </is>
      </c>
      <c r="O50" s="64" t="n">
        <v>1</v>
      </c>
      <c r="P50" s="168">
        <f>SUMIFS('RP3 '!$K$17:$K$47,'RP3 '!$N$17:$N$47,O50)</f>
        <v/>
      </c>
      <c r="Q50" s="833">
        <f>SUMIFS('RP3 '!$M$17:$M$47,'RP3 '!$N$17:$N$47,O50)</f>
        <v/>
      </c>
      <c r="R50" s="169">
        <f>P50/Q50</f>
        <v/>
      </c>
      <c r="S50" s="11" t="n"/>
      <c r="X50" s="378" t="n"/>
      <c r="Y50" s="76" t="n"/>
      <c r="Z50" s="77" t="n"/>
    </row>
    <row r="51" ht="32.25" customHeight="1">
      <c r="B51" s="834" t="inlineStr">
        <is>
          <t>BTR</t>
        </is>
      </c>
      <c r="C51" s="800" t="n"/>
      <c r="D51" s="256" t="inlineStr">
        <is>
          <t>PW-UD</t>
        </is>
      </c>
      <c r="E51" s="675">
        <f>SUMIFS('RP3 '!$K$17:$K$47,'RP3 '!$C$17:$C$47,'RP3 '!B51,'RP3 '!$F$17:$F$47,D51)</f>
        <v/>
      </c>
      <c r="F51" s="800" t="n"/>
      <c r="G51" s="725">
        <f>SUMIFS('RP3 '!$D$81:$D$122,'RP3 '!$B$81:$B$122,'RP3 '!D51,'RP3 '!$C$81:$C$122,'RP3 '!B51)*E51</f>
        <v/>
      </c>
      <c r="H51" s="829" t="n"/>
      <c r="I51" s="800" t="n"/>
      <c r="J51" s="876">
        <f>SUMIFS('RP3 '!$M$17:$M$47,'RP3 '!$C$17:$C$47,'RP3 '!B51,'RP3 '!$F$17:$F$47,D51)</f>
        <v/>
      </c>
      <c r="K51" s="877">
        <f>IF(E51=0,"-",E51/J51)</f>
        <v/>
      </c>
      <c r="L51" s="832" t="n"/>
      <c r="M51" s="10" t="n"/>
      <c r="N51" s="60" t="inlineStr">
        <is>
          <t>Poste</t>
        </is>
      </c>
      <c r="O51" s="65" t="n">
        <v>2</v>
      </c>
      <c r="P51" s="170">
        <f>SUMIFS('RP3 '!$K$17:$K$47,'RP3 '!$N$17:$N$47,O51)</f>
        <v/>
      </c>
      <c r="Q51" s="837">
        <f>SUMIFS('RP3 '!$M$17:$M$47,'RP3 '!$N$17:$N$47,O51)</f>
        <v/>
      </c>
      <c r="R51" s="171">
        <f>P51/Q51</f>
        <v/>
      </c>
      <c r="S51" s="11" t="n"/>
      <c r="X51" s="378" t="n"/>
      <c r="Y51" s="76" t="n"/>
      <c r="Z51" s="77" t="n"/>
    </row>
    <row r="52" ht="32.25" customHeight="1" thickBot="1">
      <c r="B52" s="834" t="n"/>
      <c r="C52" s="800" t="n"/>
      <c r="D52" s="256" t="n"/>
      <c r="E52" s="675">
        <f>SUMIFS('RP3 '!$K$17:$K$47,'RP3 '!$C$17:$C$47,'RP3 '!B52,'RP3 '!$F$17:$F$47,D52)</f>
        <v/>
      </c>
      <c r="F52" s="800" t="n"/>
      <c r="G52" s="725">
        <f>SUMIFS('RP3 '!$D$81:$D$122,'RP3 '!$B$81:$B$122,'RP3 '!D52,'RP3 '!$C$81:$C$122,'RP3 '!B52)*E52</f>
        <v/>
      </c>
      <c r="H52" s="829" t="n"/>
      <c r="I52" s="800" t="n"/>
      <c r="J52" s="876">
        <f>SUMIFS('RP3 '!$M$17:$M$47,'RP3 '!$C$17:$C$47,'RP3 '!B52,'RP3 '!$F$17:$F$47,D52)</f>
        <v/>
      </c>
      <c r="K52" s="877">
        <f>IF(E52=0,"-",E52/J52)</f>
        <v/>
      </c>
      <c r="L52" s="832" t="n"/>
      <c r="M52" s="10" t="n"/>
      <c r="N52" s="61" t="inlineStr">
        <is>
          <t>Poste</t>
        </is>
      </c>
      <c r="O52" s="66" t="n">
        <v>3</v>
      </c>
      <c r="P52" s="172">
        <f>SUMIFS('RP3 '!$K$17:$K$47,'RP3 '!$N$17:$N$47,O52)</f>
        <v/>
      </c>
      <c r="Q52" s="838">
        <f>SUMIFS('RP3 '!$M$17:$M$47,'RP3 '!$N$17:$N$47,O52)</f>
        <v/>
      </c>
      <c r="R52" s="173">
        <f>P52/Q52</f>
        <v/>
      </c>
      <c r="S52" s="11" t="n"/>
    </row>
    <row r="53" ht="32.25" customHeight="1">
      <c r="B53" s="834" t="n"/>
      <c r="C53" s="800" t="n"/>
      <c r="D53" s="256" t="n"/>
      <c r="E53" s="675">
        <f>SUMIFS('RP3 '!$K$17:$K$47,'RP3 '!$C$17:$C$47,'RP3 '!B53,'RP3 '!$F$17:$F$47,D53)</f>
        <v/>
      </c>
      <c r="F53" s="800" t="n"/>
      <c r="G53" s="725">
        <f>SUMIFS('RP3 '!$D$81:$D$122,'RP3 '!$B$81:$B$122,'RP3 '!D53,'RP3 '!$C$81:$C$122,'RP3 '!B53)*E53</f>
        <v/>
      </c>
      <c r="H53" s="829" t="n"/>
      <c r="I53" s="800" t="n"/>
      <c r="J53" s="876">
        <f>SUMIFS('RP3 '!$M$17:$M$47,'RP3 '!$C$17:$C$47,'RP3 '!B53,'RP3 '!$F$17:$F$47,D53)</f>
        <v/>
      </c>
      <c r="K53" s="877">
        <f>IF(E53=0,"-",E53/J53)</f>
        <v/>
      </c>
      <c r="L53" s="832" t="n"/>
      <c r="M53" s="10" t="n"/>
      <c r="N53" s="10" t="n"/>
      <c r="O53" s="605" t="n"/>
      <c r="S53" s="11" t="n"/>
    </row>
    <row r="54" ht="32.25" customHeight="1">
      <c r="B54" s="834" t="n"/>
      <c r="C54" s="800" t="n"/>
      <c r="D54" s="256" t="n"/>
      <c r="E54" s="675">
        <f>SUMIFS('RP3 '!$K$17:$K$47,'RP3 '!$C$17:$C$47,'RP3 '!B54,'RP3 '!$F$17:$F$47,D54)</f>
        <v/>
      </c>
      <c r="F54" s="800" t="n"/>
      <c r="G54" s="725">
        <f>SUMIFS('RP3 '!$D$81:$D$122,'RP3 '!$B$81:$B$122,'RP3 '!D54,'RP3 '!$C$81:$C$122,'RP3 '!B54)*E54</f>
        <v/>
      </c>
      <c r="H54" s="829" t="n"/>
      <c r="I54" s="800" t="n"/>
      <c r="J54" s="876">
        <f>SUMIFS('RP3 '!$M$17:$M$47,'RP3 '!$C$17:$C$47,'RP3 '!B54,'RP3 '!$F$17:$F$47,D54)</f>
        <v/>
      </c>
      <c r="K54" s="877">
        <f>IF(E54=0,"-",E54/J54)</f>
        <v/>
      </c>
      <c r="L54" s="832" t="n"/>
      <c r="M54" s="10" t="n"/>
      <c r="N54" s="10" t="n"/>
      <c r="O54" s="11" t="n"/>
      <c r="P54" s="11" t="n"/>
      <c r="Q54" s="11" t="n"/>
      <c r="R54" s="11" t="n"/>
      <c r="S54" s="11" t="n"/>
    </row>
    <row r="55" ht="32.25" customHeight="1">
      <c r="B55" s="834" t="n"/>
      <c r="C55" s="800" t="n"/>
      <c r="D55" s="256" t="n"/>
      <c r="E55" s="675">
        <f>SUMIFS('RP3 '!$K$17:$K$47,'RP3 '!$C$17:$C$47,'RP3 '!B55,'RP3 '!$F$17:$F$47,D55)</f>
        <v/>
      </c>
      <c r="F55" s="800" t="n"/>
      <c r="G55" s="725">
        <f>SUMIFS('RP3 '!$D$81:$D$122,'RP3 '!$B$81:$B$122,'RP3 '!D55,'RP3 '!$C$81:$C$122,'RP3 '!B55)*E55</f>
        <v/>
      </c>
      <c r="H55" s="829" t="n"/>
      <c r="I55" s="800" t="n"/>
      <c r="J55" s="876">
        <f>SUMIFS('RP3 '!$M$17:$M$47,'RP3 '!$C$17:$C$47,'RP3 '!B55,'RP3 '!$F$17:$F$47,D55)</f>
        <v/>
      </c>
      <c r="K55" s="877">
        <f>IF(E55=0,"-",E55/J55)</f>
        <v/>
      </c>
      <c r="L55" s="832" t="n"/>
      <c r="M55" s="10" t="n"/>
      <c r="N55" s="10" t="n"/>
      <c r="O55" s="11" t="n"/>
      <c r="P55" s="11" t="n"/>
      <c r="Q55" s="11" t="n"/>
      <c r="R55" s="11" t="n"/>
      <c r="S55" s="11" t="n"/>
    </row>
    <row r="56" ht="32.25" customHeight="1">
      <c r="B56" s="834" t="n"/>
      <c r="C56" s="800" t="n"/>
      <c r="D56" s="256" t="n"/>
      <c r="E56" s="675">
        <f>SUMIFS('RP3 '!$K$17:$K$47,'RP3 '!$C$17:$C$47,'RP3 '!B56,'RP3 '!$F$17:$F$47,D56)</f>
        <v/>
      </c>
      <c r="F56" s="800" t="n"/>
      <c r="G56" s="725">
        <f>SUMIFS('RP3 '!$D$81:$D$122,'RP3 '!$B$81:$B$122,'RP3 '!D56,'RP3 '!$C$81:$C$122,'RP3 '!B56)*E56</f>
        <v/>
      </c>
      <c r="H56" s="829" t="n"/>
      <c r="I56" s="800" t="n"/>
      <c r="J56" s="876">
        <f>SUMIFS('RP3 '!$M$17:$M$47,'RP3 '!$C$17:$C$47,'RP3 '!B56,'RP3 '!$F$17:$F$47,D56)</f>
        <v/>
      </c>
      <c r="K56" s="877">
        <f>IF(E56=0,"-",E56/J56)</f>
        <v/>
      </c>
      <c r="L56" s="832" t="n"/>
      <c r="M56" s="10" t="n"/>
      <c r="N56" s="10" t="n"/>
      <c r="O56" s="11" t="n"/>
      <c r="P56" s="11" t="n"/>
      <c r="Q56" s="11" t="n"/>
      <c r="R56" s="11" t="n"/>
      <c r="S56" s="11" t="n"/>
    </row>
    <row r="57" ht="32.25" customHeight="1" thickBot="1">
      <c r="B57" s="841" t="n"/>
      <c r="C57" s="824" t="n"/>
      <c r="D57" s="256" t="n"/>
      <c r="E57" s="675">
        <f>SUMIFS('RP3 '!$K$17:$K$47,'RP3 '!$C$17:$C$47,'RP3 '!B57,'RP3 '!$F$17:$F$47,D57)</f>
        <v/>
      </c>
      <c r="F57" s="800" t="n"/>
      <c r="G57" s="729">
        <f>SUMIFS('RP3 '!$D$81:$D$122,'RP3 '!$B$81:$B$122,'RP3 '!D57,'RP3 '!$C$81:$C$122,'RP3 '!B57)*E57</f>
        <v/>
      </c>
      <c r="H57" s="842" t="n"/>
      <c r="I57" s="824" t="n"/>
      <c r="J57" s="876">
        <f>SUMIFS('RP3 '!$M$17:$M$47,'RP3 '!$C$17:$C$47,'RP3 '!B57,'RP3 '!$F$17:$F$47,D57)</f>
        <v/>
      </c>
      <c r="K57" s="877">
        <f>IF(E57=0,"-",E57/J57)</f>
        <v/>
      </c>
      <c r="L57" s="832" t="n"/>
      <c r="P57" s="378" t="n"/>
      <c r="Q57" s="378" t="n"/>
      <c r="R57" s="378" t="n"/>
      <c r="S57" s="11" t="n"/>
    </row>
    <row r="58" ht="43.5" customHeight="1" thickBot="1">
      <c r="B58" s="846" t="inlineStr">
        <is>
          <t>Total</t>
        </is>
      </c>
      <c r="C58" s="792" t="n"/>
      <c r="D58" s="793" t="n"/>
      <c r="E58" s="847">
        <f>SUM(E50:F57)</f>
        <v/>
      </c>
      <c r="F58" s="793" t="n"/>
      <c r="G58" s="848">
        <f>SUM(G50:I57)</f>
        <v/>
      </c>
      <c r="H58" s="792" t="n"/>
      <c r="I58" s="793" t="n"/>
      <c r="J58" s="849">
        <f>SUM(J50:J57)</f>
        <v/>
      </c>
      <c r="K58" s="848">
        <f>E58/J58</f>
        <v/>
      </c>
      <c r="L58" s="793" t="n"/>
    </row>
    <row r="59" ht="13.5" customHeight="1" thickBot="1"/>
    <row r="60" ht="33.6" customHeight="1" thickBot="1">
      <c r="B60" s="616" t="n"/>
      <c r="C60" s="850" t="n"/>
      <c r="D60" s="618" t="inlineStr">
        <is>
          <t>Destination</t>
        </is>
      </c>
      <c r="E60" s="618" t="inlineStr">
        <is>
          <t>Tonnage brut</t>
        </is>
      </c>
      <c r="F60" s="793" t="n"/>
      <c r="G60" s="618" t="inlineStr">
        <is>
          <t>Tge S/M</t>
        </is>
      </c>
      <c r="H60" s="792" t="n"/>
      <c r="I60" s="793" t="n"/>
      <c r="J60" s="618" t="inlineStr">
        <is>
          <t>H.M</t>
        </is>
      </c>
      <c r="K60" s="618" t="inlineStr">
        <is>
          <t>T/H</t>
        </is>
      </c>
      <c r="L60" s="793" t="n"/>
    </row>
    <row r="61" ht="32.25" customHeight="1" thickBot="1">
      <c r="B61" s="612" t="n"/>
      <c r="C61" s="850" t="n"/>
      <c r="D61" s="155" t="inlineStr">
        <is>
          <t>PW-UD</t>
        </is>
      </c>
      <c r="E61" s="614">
        <f>SUMIFS('RP3 '!$E$50:$E$57,'RP3 '!$D$50:$D$57,D61)</f>
        <v/>
      </c>
      <c r="F61" s="793" t="n"/>
      <c r="G61" s="615">
        <f>SUMIFS('RP3 '!$G$50:$G$57,'RP3 '!$D$50:$D$57,D61)</f>
        <v/>
      </c>
      <c r="H61" s="792" t="n"/>
      <c r="I61" s="793" t="n"/>
      <c r="J61" s="851">
        <f>SUMIFS('RP3 '!$J$50:$J$57,'RP3 '!$D$50:$D$57,D61)</f>
        <v/>
      </c>
      <c r="K61" s="615">
        <f>IF(E61=0,"-",E61/J61)</f>
        <v/>
      </c>
      <c r="L61" s="793" t="n"/>
      <c r="M61" s="10" t="n"/>
      <c r="N61" s="10" t="n"/>
      <c r="O61" s="62" t="n"/>
      <c r="P61" s="63" t="n"/>
      <c r="Q61" s="63" t="n"/>
      <c r="R61" s="63" t="n"/>
      <c r="S61" s="11" t="n"/>
    </row>
    <row r="62" ht="32.25" customHeight="1" thickBot="1">
      <c r="B62" s="612" t="n"/>
      <c r="C62" s="850" t="n"/>
      <c r="D62" s="155" t="inlineStr">
        <is>
          <t>PW-UB</t>
        </is>
      </c>
      <c r="E62" s="614">
        <f>SUMIFS('RP3 '!$E$50:$E$57,'RP3 '!$D$50:$D$57,D62)</f>
        <v/>
      </c>
      <c r="F62" s="793" t="n"/>
      <c r="G62" s="615">
        <f>SUMIFS('RP3 '!$G$50:$G$57,'RP3 '!$D$50:$D$57,D62)</f>
        <v/>
      </c>
      <c r="H62" s="792" t="n"/>
      <c r="I62" s="793" t="n"/>
      <c r="J62" s="851">
        <f>SUMIFS('RP3 '!$J$50:$J$57,'RP3 '!$D$50:$D$57,D62)</f>
        <v/>
      </c>
      <c r="K62" s="615">
        <f>IF(E62=0,"-",E62/J62)</f>
        <v/>
      </c>
      <c r="L62" s="793" t="n"/>
      <c r="P62" s="378" t="n"/>
      <c r="Q62" s="378" t="n"/>
      <c r="R62" s="378" t="n"/>
      <c r="S62" s="11" t="n"/>
    </row>
    <row r="64">
      <c r="Q64" s="48" t="n"/>
      <c r="R64" s="49" t="n"/>
    </row>
    <row r="65">
      <c r="Q65" s="48" t="n"/>
      <c r="R65" s="49" t="n"/>
    </row>
    <row r="66">
      <c r="Q66" s="50" t="n"/>
      <c r="R66" s="49" t="n"/>
    </row>
    <row r="67">
      <c r="Q67" s="48" t="n"/>
      <c r="R67" s="49" t="n"/>
    </row>
    <row r="68">
      <c r="Q68" s="48" t="n"/>
      <c r="R68" s="49" t="n"/>
    </row>
    <row r="69">
      <c r="Q69" s="48" t="n"/>
      <c r="R69" s="49" t="n"/>
    </row>
    <row r="70">
      <c r="Q70" s="48" t="n"/>
      <c r="R70" s="51" t="n"/>
    </row>
    <row r="72" ht="15.75" customHeight="1">
      <c r="D72" s="47" t="n"/>
      <c r="E72" s="47" t="n"/>
      <c r="F72" s="47" t="n"/>
      <c r="G72" s="47" t="n"/>
      <c r="H72" s="47" t="n"/>
      <c r="I72" s="47" t="n"/>
      <c r="J72" s="47" t="n"/>
      <c r="K72" s="47" t="n"/>
    </row>
    <row r="73" ht="15.75" customHeight="1">
      <c r="D73" s="47" t="n"/>
      <c r="E73" s="47" t="n"/>
      <c r="F73" s="47" t="n"/>
      <c r="G73" s="47" t="n"/>
      <c r="H73" s="47" t="n"/>
      <c r="I73" s="47" t="n"/>
      <c r="J73" s="47" t="n"/>
      <c r="K73" s="47" t="n"/>
    </row>
    <row r="74" ht="15.75" customHeight="1">
      <c r="D74" s="47" t="n"/>
      <c r="E74" s="47" t="n"/>
      <c r="F74" s="47" t="n"/>
      <c r="G74" s="47" t="n"/>
      <c r="H74" s="47" t="n"/>
      <c r="I74" s="47" t="n"/>
      <c r="J74" s="47" t="n"/>
      <c r="K74" s="47" t="n"/>
    </row>
    <row r="75" ht="15.75" customHeight="1">
      <c r="D75" s="47" t="n"/>
      <c r="E75" s="47" t="n"/>
      <c r="F75" s="47" t="n"/>
      <c r="G75" s="47" t="n"/>
      <c r="H75" s="47" t="n"/>
      <c r="I75" s="47" t="n"/>
      <c r="J75" s="47" t="n"/>
      <c r="K75" s="47" t="n"/>
    </row>
    <row r="76" ht="15.75" customHeight="1">
      <c r="D76" s="47" t="n"/>
      <c r="E76" s="47" t="n"/>
      <c r="F76" s="47" t="n"/>
      <c r="G76" s="47" t="n"/>
      <c r="H76" s="47" t="n"/>
      <c r="I76" s="47" t="n"/>
      <c r="J76" s="47" t="n"/>
      <c r="K76" s="47" t="n"/>
    </row>
    <row r="79" ht="2.25" customHeight="1"/>
    <row r="80">
      <c r="B80" s="54" t="inlineStr">
        <is>
          <t>destination</t>
        </is>
      </c>
      <c r="C80" s="54" t="inlineStr">
        <is>
          <t>Qualité</t>
        </is>
      </c>
      <c r="D80" s="54" t="inlineStr">
        <is>
          <t>Coef</t>
        </is>
      </c>
    </row>
    <row r="81" hidden="1" ht="18" customHeight="1">
      <c r="B81" s="71" t="inlineStr">
        <is>
          <t>SC-PW</t>
        </is>
      </c>
      <c r="C81" s="52" t="inlineStr">
        <is>
          <t>BTR</t>
        </is>
      </c>
      <c r="D81" s="53" t="n">
        <v>0.62</v>
      </c>
    </row>
    <row r="82" hidden="1" ht="18" customHeight="1">
      <c r="B82" s="71" t="inlineStr">
        <is>
          <t>SC-PW</t>
        </is>
      </c>
      <c r="C82" s="52" t="inlineStr">
        <is>
          <t>BT</t>
        </is>
      </c>
      <c r="D82" s="53" t="n">
        <v>0.58</v>
      </c>
    </row>
    <row r="83" hidden="1" ht="18" customHeight="1">
      <c r="B83" s="71" t="inlineStr">
        <is>
          <t>SC-PW</t>
        </is>
      </c>
      <c r="C83" s="52" t="inlineStr">
        <is>
          <t>HTN</t>
        </is>
      </c>
      <c r="D83" s="53" t="n">
        <v>0.8</v>
      </c>
    </row>
    <row r="84" hidden="1" ht="18" customHeight="1">
      <c r="B84" s="71" t="inlineStr">
        <is>
          <t>SC-PW</t>
        </is>
      </c>
      <c r="C84" s="52" t="inlineStr">
        <is>
          <t>HTM</t>
        </is>
      </c>
      <c r="D84" s="53" t="n">
        <v>0.79</v>
      </c>
    </row>
    <row r="85" hidden="1" ht="18" customHeight="1">
      <c r="B85" s="71" t="inlineStr">
        <is>
          <t>SC-PW</t>
        </is>
      </c>
      <c r="C85" s="52" t="inlineStr">
        <is>
          <t>MT</t>
        </is>
      </c>
      <c r="D85" s="53" t="n">
        <v>0.78</v>
      </c>
    </row>
    <row r="86" hidden="1" ht="18" customHeight="1">
      <c r="B86" s="71" t="inlineStr">
        <is>
          <t>SC-PW</t>
        </is>
      </c>
      <c r="C86" s="52" t="inlineStr">
        <is>
          <t>TBT</t>
        </is>
      </c>
      <c r="D86" s="53" t="n">
        <v>0.55</v>
      </c>
    </row>
    <row r="87" hidden="1" ht="18" customHeight="1">
      <c r="B87" s="71" t="inlineStr">
        <is>
          <t>SC-PW</t>
        </is>
      </c>
      <c r="C87" s="52" t="inlineStr">
        <is>
          <t>THT</t>
        </is>
      </c>
      <c r="D87" s="53" t="n">
        <v>0.82</v>
      </c>
    </row>
    <row r="88" hidden="1" ht="18" customHeight="1">
      <c r="B88" s="71" t="inlineStr">
        <is>
          <t>TS-CRIBLAGE</t>
        </is>
      </c>
      <c r="C88" s="52" t="inlineStr">
        <is>
          <t>TBTTS</t>
        </is>
      </c>
      <c r="D88" s="53" t="n">
        <v>0.4</v>
      </c>
    </row>
    <row r="89" ht="18" customHeight="1">
      <c r="B89" s="71" t="inlineStr">
        <is>
          <t>PW-UB</t>
        </is>
      </c>
      <c r="C89" s="381" t="inlineStr">
        <is>
          <t>BTLSC</t>
        </is>
      </c>
      <c r="D89" s="379" t="n">
        <v>0.85</v>
      </c>
    </row>
    <row r="90" ht="18" customHeight="1">
      <c r="B90" s="71" t="inlineStr">
        <is>
          <t>PW-UB</t>
        </is>
      </c>
      <c r="C90" s="381" t="inlineStr">
        <is>
          <t>BTRLSC</t>
        </is>
      </c>
      <c r="D90" s="379" t="n">
        <v>0.84</v>
      </c>
    </row>
    <row r="91" ht="18" customHeight="1">
      <c r="B91" s="71" t="inlineStr">
        <is>
          <t>PW-UB</t>
        </is>
      </c>
      <c r="C91" s="381" t="inlineStr">
        <is>
          <t>MTLSC</t>
        </is>
      </c>
      <c r="D91" s="379" t="n">
        <v>0.85</v>
      </c>
    </row>
    <row r="92" ht="18" customHeight="1">
      <c r="B92" s="71" t="inlineStr">
        <is>
          <t>PW-UB</t>
        </is>
      </c>
      <c r="C92" s="381" t="inlineStr">
        <is>
          <t>HTMLSC</t>
        </is>
      </c>
      <c r="D92" s="379" t="n">
        <v>0.85</v>
      </c>
    </row>
    <row r="93" ht="18" customHeight="1">
      <c r="B93" s="71" t="inlineStr">
        <is>
          <t>PW-UB</t>
        </is>
      </c>
      <c r="C93" s="381" t="inlineStr">
        <is>
          <t>TBTLSC</t>
        </is>
      </c>
      <c r="D93" s="379" t="n">
        <v>0.85</v>
      </c>
    </row>
    <row r="94" ht="18" customHeight="1">
      <c r="B94" s="71" t="inlineStr">
        <is>
          <t>PW-UB</t>
        </is>
      </c>
      <c r="C94" s="381" t="inlineStr">
        <is>
          <t>TBTLTS</t>
        </is>
      </c>
      <c r="D94" s="379" t="n">
        <v>0.85</v>
      </c>
    </row>
    <row r="95" ht="18" customHeight="1">
      <c r="B95" s="71" t="inlineStr">
        <is>
          <t>PW-UB</t>
        </is>
      </c>
      <c r="C95" s="381" t="inlineStr">
        <is>
          <t>BTLTS</t>
        </is>
      </c>
      <c r="D95" s="379" t="n">
        <v>0.83</v>
      </c>
    </row>
    <row r="96" ht="18" customHeight="1">
      <c r="B96" s="71" t="inlineStr">
        <is>
          <t>PW-UB</t>
        </is>
      </c>
      <c r="C96" s="381" t="inlineStr">
        <is>
          <t>HTMLTS</t>
        </is>
      </c>
      <c r="D96" s="379" t="n">
        <v>0.84</v>
      </c>
    </row>
    <row r="97" ht="18" customHeight="1">
      <c r="B97" s="71" t="inlineStr">
        <is>
          <t>PW-UB</t>
        </is>
      </c>
      <c r="C97" s="381" t="inlineStr">
        <is>
          <t>BT</t>
        </is>
      </c>
      <c r="D97" s="379" t="n">
        <v>0.74</v>
      </c>
    </row>
    <row r="98" ht="18" customHeight="1">
      <c r="B98" s="71" t="inlineStr">
        <is>
          <t>PW-UB</t>
        </is>
      </c>
      <c r="C98" s="381" t="inlineStr">
        <is>
          <t>BTR</t>
        </is>
      </c>
      <c r="D98" s="379" t="n">
        <v>0.78</v>
      </c>
    </row>
    <row r="99" ht="18" customHeight="1">
      <c r="B99" s="71" t="inlineStr">
        <is>
          <t>PW-UB</t>
        </is>
      </c>
      <c r="C99" s="381" t="inlineStr">
        <is>
          <t>TBT</t>
        </is>
      </c>
      <c r="D99" s="379" t="n">
        <v>0.71</v>
      </c>
    </row>
    <row r="100" ht="18" customHeight="1">
      <c r="B100" s="72" t="inlineStr">
        <is>
          <t>PW-UB</t>
        </is>
      </c>
      <c r="C100" s="382" t="inlineStr">
        <is>
          <t>HTNLSC</t>
        </is>
      </c>
      <c r="D100" s="380" t="n">
        <v>0.83</v>
      </c>
    </row>
    <row r="101" ht="18" customHeight="1">
      <c r="B101" s="72" t="inlineStr">
        <is>
          <t>PW-UB</t>
        </is>
      </c>
      <c r="C101" s="382" t="inlineStr">
        <is>
          <t>HTN</t>
        </is>
      </c>
      <c r="D101" s="380" t="n">
        <v>0.76</v>
      </c>
    </row>
    <row r="102" ht="18" customHeight="1">
      <c r="B102" s="72" t="inlineStr">
        <is>
          <t>PW-UB</t>
        </is>
      </c>
      <c r="C102" s="382" t="inlineStr">
        <is>
          <t>HTM</t>
        </is>
      </c>
      <c r="D102" s="380" t="n">
        <v>0.79</v>
      </c>
    </row>
    <row r="103" ht="18" customHeight="1">
      <c r="B103" s="72" t="inlineStr">
        <is>
          <t>PW-UB</t>
        </is>
      </c>
      <c r="C103" s="382" t="inlineStr">
        <is>
          <t>MT</t>
        </is>
      </c>
      <c r="D103" s="380" t="n">
        <v>0.8</v>
      </c>
    </row>
    <row r="104" hidden="1" ht="18" customHeight="1">
      <c r="B104" s="72" t="inlineStr">
        <is>
          <t>SC-BA</t>
        </is>
      </c>
      <c r="C104" s="382" t="inlineStr">
        <is>
          <t>BTR</t>
        </is>
      </c>
      <c r="D104" s="380" t="n">
        <v>0.67</v>
      </c>
    </row>
    <row r="105" hidden="1" ht="18" customHeight="1">
      <c r="B105" s="72" t="inlineStr">
        <is>
          <t>SC-BA</t>
        </is>
      </c>
      <c r="C105" s="382" t="inlineStr">
        <is>
          <t>BT</t>
        </is>
      </c>
      <c r="D105" s="380" t="n">
        <v>0.5600000000000001</v>
      </c>
    </row>
    <row r="106" hidden="1" ht="18" customHeight="1">
      <c r="B106" s="72" t="inlineStr">
        <is>
          <t>SC-BA</t>
        </is>
      </c>
      <c r="C106" s="382" t="inlineStr">
        <is>
          <t>HTM</t>
        </is>
      </c>
      <c r="D106" s="380" t="n">
        <v>0.71</v>
      </c>
    </row>
    <row r="107" hidden="1" ht="18" customHeight="1">
      <c r="B107" s="72" t="inlineStr">
        <is>
          <t>SC-BA</t>
        </is>
      </c>
      <c r="C107" s="382" t="inlineStr">
        <is>
          <t>MT</t>
        </is>
      </c>
      <c r="D107" s="380" t="n">
        <v>0.6899999999999999</v>
      </c>
    </row>
    <row r="108" hidden="1" ht="18" customHeight="1">
      <c r="B108" s="72" t="inlineStr">
        <is>
          <t>SC-BA</t>
        </is>
      </c>
      <c r="C108" s="382" t="inlineStr">
        <is>
          <t>TBT</t>
        </is>
      </c>
      <c r="D108" s="380" t="n">
        <v>0.34</v>
      </c>
    </row>
    <row r="109" ht="18" customHeight="1">
      <c r="B109" s="72" t="inlineStr">
        <is>
          <t>PW-UD</t>
        </is>
      </c>
      <c r="C109" s="382" t="inlineStr">
        <is>
          <t>BTR</t>
        </is>
      </c>
      <c r="D109" s="379" t="n">
        <v>0.6</v>
      </c>
    </row>
    <row r="110" ht="18" customHeight="1">
      <c r="B110" s="72" t="inlineStr">
        <is>
          <t>PW-UD</t>
        </is>
      </c>
      <c r="C110" s="382" t="inlineStr">
        <is>
          <t>BT</t>
        </is>
      </c>
      <c r="D110" s="379" t="n">
        <v>0.5600000000000001</v>
      </c>
    </row>
    <row r="111" ht="18" customHeight="1">
      <c r="B111" s="72" t="inlineStr">
        <is>
          <t>PW-UD</t>
        </is>
      </c>
      <c r="C111" s="382" t="inlineStr">
        <is>
          <t>HTN</t>
        </is>
      </c>
      <c r="D111" s="379" t="n">
        <v>0.64</v>
      </c>
    </row>
    <row r="112" ht="18" customHeight="1">
      <c r="B112" s="72" t="inlineStr">
        <is>
          <t>PW-UD</t>
        </is>
      </c>
      <c r="C112" s="382" t="inlineStr">
        <is>
          <t>HTM</t>
        </is>
      </c>
      <c r="D112" s="379" t="n">
        <v>0.64</v>
      </c>
    </row>
    <row r="113" ht="18" customHeight="1">
      <c r="B113" s="72" t="inlineStr">
        <is>
          <t>PW-UD</t>
        </is>
      </c>
      <c r="C113" s="382" t="inlineStr">
        <is>
          <t>MT</t>
        </is>
      </c>
      <c r="D113" s="379" t="n">
        <v>0.64</v>
      </c>
    </row>
    <row r="114" ht="18" customHeight="1">
      <c r="B114" s="72" t="inlineStr">
        <is>
          <t>PW-UD</t>
        </is>
      </c>
      <c r="C114" s="382" t="inlineStr">
        <is>
          <t>TBT</t>
        </is>
      </c>
      <c r="D114" s="379" t="n">
        <v>0.49</v>
      </c>
    </row>
    <row r="115" ht="18" customHeight="1">
      <c r="B115" s="71" t="inlineStr">
        <is>
          <t>H2-H6</t>
        </is>
      </c>
      <c r="C115" s="381" t="inlineStr">
        <is>
          <t>BTLSC</t>
        </is>
      </c>
      <c r="D115" s="379" t="n">
        <v>0.85</v>
      </c>
    </row>
    <row r="116" ht="18" customHeight="1">
      <c r="B116" s="71" t="inlineStr">
        <is>
          <t>H2-H6</t>
        </is>
      </c>
      <c r="C116" s="381" t="inlineStr">
        <is>
          <t>BTRLSC</t>
        </is>
      </c>
      <c r="D116" s="379" t="n">
        <v>0.84</v>
      </c>
    </row>
    <row r="117" ht="18" customHeight="1">
      <c r="B117" s="71" t="inlineStr">
        <is>
          <t>H2-H6</t>
        </is>
      </c>
      <c r="C117" s="381" t="inlineStr">
        <is>
          <t>MTLSC</t>
        </is>
      </c>
      <c r="D117" s="379" t="n">
        <v>0.85</v>
      </c>
    </row>
    <row r="118" ht="18" customHeight="1">
      <c r="B118" s="71" t="inlineStr">
        <is>
          <t>H2-H6</t>
        </is>
      </c>
      <c r="C118" s="381" t="inlineStr">
        <is>
          <t>HTMLSC</t>
        </is>
      </c>
      <c r="D118" s="379" t="n">
        <v>0.85</v>
      </c>
    </row>
    <row r="119" ht="18" customHeight="1">
      <c r="B119" s="71" t="inlineStr">
        <is>
          <t>H2-H6</t>
        </is>
      </c>
      <c r="C119" s="381" t="inlineStr">
        <is>
          <t>TBTLSC</t>
        </is>
      </c>
      <c r="D119" s="379" t="n">
        <v>0.85</v>
      </c>
    </row>
    <row r="120" ht="18" customHeight="1">
      <c r="B120" s="71" t="inlineStr">
        <is>
          <t>H2-H6</t>
        </is>
      </c>
      <c r="C120" s="381" t="inlineStr">
        <is>
          <t>TBTLTS</t>
        </is>
      </c>
      <c r="D120" s="379" t="n">
        <v>0.85</v>
      </c>
    </row>
    <row r="121" ht="18" customHeight="1">
      <c r="B121" s="71" t="inlineStr">
        <is>
          <t>H2-H6</t>
        </is>
      </c>
      <c r="C121" s="381" t="inlineStr">
        <is>
          <t>BTLTS</t>
        </is>
      </c>
      <c r="D121" s="379" t="n">
        <v>0.83</v>
      </c>
    </row>
    <row r="122" ht="18" customHeight="1">
      <c r="B122" s="71" t="inlineStr">
        <is>
          <t>H2-H6</t>
        </is>
      </c>
      <c r="C122" s="381" t="inlineStr">
        <is>
          <t>HTMLTS</t>
        </is>
      </c>
      <c r="D122" s="379" t="n">
        <v>0.84</v>
      </c>
    </row>
  </sheetData>
  <mergeCells count="130">
    <mergeCell ref="K49:L49"/>
    <mergeCell ref="H35:I35"/>
    <mergeCell ref="P27:R27"/>
    <mergeCell ref="E62:F62"/>
    <mergeCell ref="B13:R14"/>
    <mergeCell ref="P36:R36"/>
    <mergeCell ref="G62:I62"/>
    <mergeCell ref="H39:I39"/>
    <mergeCell ref="E51:F51"/>
    <mergeCell ref="P19:R19"/>
    <mergeCell ref="P28:R28"/>
    <mergeCell ref="K50:L50"/>
    <mergeCell ref="B61:C61"/>
    <mergeCell ref="P37:R37"/>
    <mergeCell ref="K58:L58"/>
    <mergeCell ref="P30:R30"/>
    <mergeCell ref="K52:L52"/>
    <mergeCell ref="G50:I50"/>
    <mergeCell ref="H45:I45"/>
    <mergeCell ref="E49:F49"/>
    <mergeCell ref="H37:I37"/>
    <mergeCell ref="G52:I52"/>
    <mergeCell ref="B49:C49"/>
    <mergeCell ref="P38:R38"/>
    <mergeCell ref="B55:C55"/>
    <mergeCell ref="K53:L53"/>
    <mergeCell ref="B51:C51"/>
    <mergeCell ref="P40:R40"/>
    <mergeCell ref="H23:I23"/>
    <mergeCell ref="E53:F53"/>
    <mergeCell ref="I6:J6"/>
    <mergeCell ref="E55:F55"/>
    <mergeCell ref="H41:I41"/>
    <mergeCell ref="F6:G6"/>
    <mergeCell ref="K55:L55"/>
    <mergeCell ref="M6:O6"/>
    <mergeCell ref="P16:R16"/>
    <mergeCell ref="H34:I34"/>
    <mergeCell ref="H25:I25"/>
    <mergeCell ref="K51:L51"/>
    <mergeCell ref="P34:R34"/>
    <mergeCell ref="G55:I55"/>
    <mergeCell ref="P18:R18"/>
    <mergeCell ref="H36:I36"/>
    <mergeCell ref="G51:I51"/>
    <mergeCell ref="B53:C53"/>
    <mergeCell ref="O53:R53"/>
    <mergeCell ref="K56:L56"/>
    <mergeCell ref="H17:I17"/>
    <mergeCell ref="G54:I54"/>
    <mergeCell ref="Q15:R15"/>
    <mergeCell ref="H19:I19"/>
    <mergeCell ref="P45:R45"/>
    <mergeCell ref="G56:I56"/>
    <mergeCell ref="H28:I28"/>
    <mergeCell ref="P20:R20"/>
    <mergeCell ref="P29:R29"/>
    <mergeCell ref="H48:I48"/>
    <mergeCell ref="P44:R44"/>
    <mergeCell ref="P22:R22"/>
    <mergeCell ref="P31:R31"/>
    <mergeCell ref="K6:L6"/>
    <mergeCell ref="E58:F58"/>
    <mergeCell ref="P21:R21"/>
    <mergeCell ref="E50:F50"/>
    <mergeCell ref="B54:C54"/>
    <mergeCell ref="H38:I38"/>
    <mergeCell ref="C2:D3"/>
    <mergeCell ref="G53:I53"/>
    <mergeCell ref="H43:I43"/>
    <mergeCell ref="E52:F52"/>
    <mergeCell ref="P23:R23"/>
    <mergeCell ref="H31:I31"/>
    <mergeCell ref="B56:C56"/>
    <mergeCell ref="K54:L54"/>
    <mergeCell ref="H40:I40"/>
    <mergeCell ref="E8:R8"/>
    <mergeCell ref="K60:L60"/>
    <mergeCell ref="B52:C52"/>
    <mergeCell ref="G58:I58"/>
    <mergeCell ref="H21:I21"/>
    <mergeCell ref="B60:C60"/>
    <mergeCell ref="P43:R43"/>
    <mergeCell ref="B57:C57"/>
    <mergeCell ref="E9:R9"/>
    <mergeCell ref="P33:R33"/>
    <mergeCell ref="H16:I16"/>
    <mergeCell ref="Q6:R6"/>
    <mergeCell ref="E61:F61"/>
    <mergeCell ref="H22:I22"/>
    <mergeCell ref="P35:R35"/>
    <mergeCell ref="E57:F57"/>
    <mergeCell ref="E54:F54"/>
    <mergeCell ref="P25:R25"/>
    <mergeCell ref="H42:I42"/>
    <mergeCell ref="K57:L57"/>
    <mergeCell ref="E56:F56"/>
    <mergeCell ref="H30:I30"/>
    <mergeCell ref="B62:C62"/>
    <mergeCell ref="H20:I20"/>
    <mergeCell ref="P46:R46"/>
    <mergeCell ref="G57:I57"/>
    <mergeCell ref="H29:I29"/>
    <mergeCell ref="G49:I49"/>
    <mergeCell ref="P39:R39"/>
    <mergeCell ref="H44:I44"/>
    <mergeCell ref="P32:R32"/>
    <mergeCell ref="H46:I46"/>
    <mergeCell ref="P47:R47"/>
    <mergeCell ref="E60:F60"/>
    <mergeCell ref="P24:R24"/>
    <mergeCell ref="G60:I60"/>
    <mergeCell ref="H32:I32"/>
    <mergeCell ref="B10:C10"/>
    <mergeCell ref="K61:L61"/>
    <mergeCell ref="H47:I47"/>
    <mergeCell ref="P26:R26"/>
    <mergeCell ref="H27:I27"/>
    <mergeCell ref="C4:D5"/>
    <mergeCell ref="B8:C9"/>
    <mergeCell ref="F10:Q10"/>
    <mergeCell ref="P41:R41"/>
    <mergeCell ref="H24:I24"/>
    <mergeCell ref="G61:I61"/>
    <mergeCell ref="H18:I18"/>
    <mergeCell ref="H33:I33"/>
    <mergeCell ref="B58:D58"/>
    <mergeCell ref="B50:C50"/>
    <mergeCell ref="K62:L62"/>
    <mergeCell ref="H26:I26"/>
  </mergeCells>
  <dataValidations count="1">
    <dataValidation sqref="B61:C62" showDropDown="0" showInputMessage="1" showErrorMessage="1" allowBlank="0" type="list">
      <formula1>$A$2:$A$15</formula1>
    </dataValidation>
  </dataValidations>
  <printOptions horizontalCentered="1" verticalCentered="1"/>
  <pageMargins left="0" right="0.1968503937007874" top="0" bottom="0" header="0" footer="0"/>
  <pageSetup orientation="landscape" paperSize="9" scale="34" horizontalDpi="180" verticalDpi="180"/>
</worksheet>
</file>

<file path=xl/worksheets/sheet4.xml><?xml version="1.0" encoding="utf-8"?>
<worksheet xmlns="http://schemas.openxmlformats.org/spreadsheetml/2006/main">
  <sheetPr codeName="Feuil4">
    <tabColor theme="9" tint="0.3999755851924192"/>
    <outlinePr summaryBelow="1" summaryRight="1"/>
    <pageSetUpPr fitToPage="1"/>
  </sheetPr>
  <dimension ref="A1:AA119"/>
  <sheetViews>
    <sheetView showGridLines="0" topLeftCell="A52" zoomScale="70" zoomScaleNormal="70" zoomScaleSheetLayoutView="25" workbookViewId="0">
      <selection activeCell="E35" sqref="E35"/>
    </sheetView>
  </sheetViews>
  <sheetFormatPr baseColWidth="8" defaultColWidth="11.25" defaultRowHeight="12.75"/>
  <cols>
    <col width="3.625" customWidth="1" style="378" min="1" max="1"/>
    <col width="31.25" bestFit="1" customWidth="1" style="378" min="2" max="2"/>
    <col width="23.625" customWidth="1" style="378" min="3" max="3"/>
    <col width="24.625" customWidth="1" style="378" min="4" max="4"/>
    <col width="23.625" customWidth="1" style="378" min="5" max="6"/>
    <col width="23.25" customWidth="1" style="378" min="7" max="7"/>
    <col width="7.75" customWidth="1" style="378" min="8" max="8"/>
    <col width="9.875" customWidth="1" style="378" min="9" max="9"/>
    <col width="26.25" customWidth="1" style="378" min="10" max="10"/>
    <col width="18.25" customWidth="1" style="378" min="11" max="11"/>
    <col width="20.375" customWidth="1" style="378" min="12" max="12"/>
    <col width="18.375" customWidth="1" style="378" min="13" max="14"/>
    <col width="12.25" customWidth="1" style="378" min="15" max="15"/>
    <col width="23.75" customWidth="1" style="378" min="16" max="16"/>
    <col width="16.25" customWidth="1" style="378" min="17" max="17"/>
    <col width="20.125" customWidth="1" style="378" min="18" max="18"/>
    <col width="5.75" customWidth="1" style="378" min="19" max="19"/>
    <col width="11.25" customWidth="1" style="378" min="20" max="22"/>
    <col width="11.25" customWidth="1" style="378" min="23" max="16384"/>
  </cols>
  <sheetData>
    <row r="1" ht="18.75" customHeight="1" thickBot="1">
      <c r="A1" s="100">
        <f>'RP5 '!B19:F21</f>
        <v/>
      </c>
    </row>
    <row r="2" ht="34.5" customHeight="1" thickBot="1">
      <c r="B2" s="19" t="n"/>
      <c r="C2" s="571">
        <f>TODAY()</f>
        <v/>
      </c>
      <c r="E2" s="26" t="n"/>
      <c r="F2" s="26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  <c r="P2" s="19" t="n"/>
      <c r="Q2" s="19" t="n"/>
      <c r="R2" s="20" t="n"/>
      <c r="S2" s="28" t="n"/>
    </row>
    <row r="3" ht="34.5" customHeight="1" thickBot="1">
      <c r="B3" s="19" t="n"/>
      <c r="E3" s="26" t="n"/>
      <c r="F3" s="26" t="n"/>
      <c r="G3" s="21" t="n"/>
      <c r="H3" s="19" t="n"/>
      <c r="I3" s="19" t="n"/>
      <c r="J3" s="19" t="n"/>
      <c r="K3" s="19" t="n"/>
      <c r="L3" s="19" t="n"/>
      <c r="M3" s="19" t="n"/>
      <c r="N3" s="19" t="n"/>
      <c r="O3" s="19" t="n"/>
      <c r="P3" s="22" t="n"/>
      <c r="Q3" s="21" t="n"/>
      <c r="R3" s="20" t="n"/>
      <c r="S3" s="28" t="n"/>
    </row>
    <row r="4" ht="34.5" customHeight="1" thickBot="1">
      <c r="B4" s="19" t="n"/>
      <c r="C4" s="789">
        <f>NOW()</f>
        <v/>
      </c>
      <c r="E4" s="26" t="n"/>
      <c r="F4" s="26" t="n"/>
      <c r="G4" s="21" t="n"/>
      <c r="H4" s="19" t="n"/>
      <c r="I4" s="19" t="n"/>
      <c r="J4" s="19" t="n"/>
      <c r="K4" s="19" t="n"/>
      <c r="L4" s="19" t="n"/>
      <c r="M4" s="19" t="n"/>
      <c r="N4" s="19" t="n"/>
      <c r="O4" s="19" t="n"/>
      <c r="P4" s="22" t="n"/>
      <c r="Q4" s="21" t="n"/>
      <c r="R4" s="20" t="n"/>
      <c r="S4" s="28" t="n"/>
    </row>
    <row r="5" ht="34.5" customHeight="1" thickBot="1">
      <c r="B5" s="19" t="n"/>
      <c r="E5" s="26" t="n"/>
      <c r="F5" s="26" t="n"/>
      <c r="G5" s="21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  <c r="R5" s="20" t="n"/>
      <c r="S5" s="28" t="n"/>
    </row>
    <row r="6" ht="34.5" customHeight="1">
      <c r="B6" s="19" t="n"/>
      <c r="C6" s="24" t="n"/>
      <c r="D6" s="25" t="n"/>
      <c r="E6" s="26" t="n"/>
      <c r="F6" s="573" t="inlineStr">
        <is>
          <t>Fin</t>
        </is>
      </c>
      <c r="H6" s="574" t="inlineStr">
        <is>
          <t>Durée</t>
        </is>
      </c>
      <c r="I6" s="574" t="inlineStr">
        <is>
          <t>Type d'arrêt</t>
        </is>
      </c>
      <c r="K6" s="574" t="inlineStr">
        <is>
          <t>Zone</t>
        </is>
      </c>
      <c r="M6" s="574" t="inlineStr">
        <is>
          <t>Equipement</t>
        </is>
      </c>
      <c r="P6" s="574" t="n"/>
      <c r="Q6" s="574" t="n"/>
      <c r="S6" s="29" t="n"/>
    </row>
    <row r="7" ht="18.75" customHeight="1" thickBot="1"/>
    <row r="8" ht="36" customHeight="1" thickBot="1">
      <c r="A8" s="5" t="n"/>
      <c r="B8" s="790" t="n"/>
      <c r="C8" s="791" t="n"/>
      <c r="D8" s="38" t="inlineStr">
        <is>
          <t>Formulaire</t>
        </is>
      </c>
      <c r="E8" s="593" t="inlineStr">
        <is>
          <t>PRL-LA-IT-06-F-02</t>
        </is>
      </c>
      <c r="F8" s="792" t="n"/>
      <c r="G8" s="792" t="n"/>
      <c r="H8" s="792" t="n"/>
      <c r="I8" s="792" t="n"/>
      <c r="J8" s="792" t="n"/>
      <c r="K8" s="792" t="n"/>
      <c r="L8" s="792" t="n"/>
      <c r="M8" s="792" t="n"/>
      <c r="N8" s="792" t="n"/>
      <c r="O8" s="792" t="n"/>
      <c r="P8" s="792" t="n"/>
      <c r="Q8" s="792" t="n"/>
      <c r="R8" s="793" t="n"/>
    </row>
    <row r="9" ht="38.25" customHeight="1" thickBot="1">
      <c r="A9" s="5" t="n"/>
      <c r="B9" s="794" t="n"/>
      <c r="C9" s="795" t="n"/>
      <c r="D9" s="38" t="inlineStr">
        <is>
          <t>Entité</t>
        </is>
      </c>
      <c r="E9" s="594" t="inlineStr">
        <is>
          <t>Entités de Traitement de Site de Khouribga</t>
        </is>
      </c>
      <c r="F9" s="792" t="n"/>
      <c r="G9" s="792" t="n"/>
      <c r="H9" s="792" t="n"/>
      <c r="I9" s="792" t="n"/>
      <c r="J9" s="792" t="n"/>
      <c r="K9" s="792" t="n"/>
      <c r="L9" s="792" t="n"/>
      <c r="M9" s="792" t="n"/>
      <c r="N9" s="792" t="n"/>
      <c r="O9" s="792" t="n"/>
      <c r="P9" s="792" t="n"/>
      <c r="Q9" s="792" t="n"/>
      <c r="R9" s="793" t="n"/>
    </row>
    <row r="10" ht="38.25" customHeight="1" thickBot="1">
      <c r="A10" s="5" t="n"/>
      <c r="B10" s="796" t="inlineStr">
        <is>
          <t>DIRECTION EXECUTIVE
OPERATIONSINDUSTRIELLES
DIRECTION DE SITE  DE KHOURIBGA</t>
        </is>
      </c>
      <c r="C10" s="797" t="n"/>
      <c r="D10" s="38" t="inlineStr">
        <is>
          <t>Version</t>
        </is>
      </c>
      <c r="E10" s="593" t="n">
        <v>5</v>
      </c>
      <c r="F10" s="594" t="inlineStr">
        <is>
          <t xml:space="preserve">Applicable le </t>
        </is>
      </c>
      <c r="G10" s="792" t="n"/>
      <c r="H10" s="792" t="n"/>
      <c r="I10" s="792" t="n"/>
      <c r="J10" s="792" t="n"/>
      <c r="K10" s="792" t="n"/>
      <c r="L10" s="792" t="n"/>
      <c r="M10" s="792" t="n"/>
      <c r="N10" s="792" t="n"/>
      <c r="O10" s="792" t="n"/>
      <c r="P10" s="792" t="n"/>
      <c r="Q10" s="793" t="n"/>
      <c r="R10" s="37" t="n">
        <v>45000</v>
      </c>
    </row>
    <row r="11" ht="26.25" customHeight="1">
      <c r="A11" s="5" t="n"/>
      <c r="B11" s="32" t="inlineStr">
        <is>
          <t>OIK/BD/E- 428</t>
        </is>
      </c>
      <c r="C11" s="30" t="n"/>
      <c r="D11" s="31" t="n"/>
    </row>
    <row r="12" ht="5.25" customHeight="1"/>
    <row r="13" ht="24" customHeight="1">
      <c r="B13" s="583" t="inlineStr">
        <is>
          <t>Titre: Rapport de tonnage</t>
        </is>
      </c>
    </row>
    <row r="14" ht="21" customHeight="1">
      <c r="A14" s="6" t="n"/>
    </row>
    <row r="15" ht="33.75" customHeight="1" thickBot="1">
      <c r="A15" s="7" t="n"/>
      <c r="B15" s="166" t="inlineStr">
        <is>
          <t>Installation : RP5</t>
        </is>
      </c>
      <c r="C15" s="39" t="n"/>
      <c r="E15" s="36" t="n"/>
      <c r="J15" s="34" t="n"/>
      <c r="K15" s="34" t="n"/>
      <c r="P15" s="70" t="inlineStr">
        <is>
          <t>Journée du :</t>
        </is>
      </c>
      <c r="Q15" s="584">
        <f>'RPT1'!Q15:R15</f>
        <v/>
      </c>
    </row>
    <row r="16" ht="42.75" customFormat="1" customHeight="1" s="40" thickBot="1">
      <c r="B16" s="67" t="inlineStr">
        <is>
          <t>Heures</t>
        </is>
      </c>
      <c r="C16" s="68" t="inlineStr">
        <is>
          <t>Qualité</t>
        </is>
      </c>
      <c r="D16" s="68" t="inlineStr">
        <is>
          <t>Code</t>
        </is>
      </c>
      <c r="E16" s="68" t="inlineStr">
        <is>
          <t>Repère déstockage</t>
        </is>
      </c>
      <c r="F16" s="68" t="inlineStr">
        <is>
          <t>Destination</t>
        </is>
      </c>
      <c r="G16" s="68" t="inlineStr">
        <is>
          <t>Repère stockage</t>
        </is>
      </c>
      <c r="H16" s="798" t="inlineStr">
        <is>
          <t>Bascule
(LS6/LS7)*</t>
        </is>
      </c>
      <c r="I16" s="799" t="n"/>
      <c r="J16" s="68" t="inlineStr">
        <is>
          <t>Index bascule</t>
        </is>
      </c>
      <c r="K16" s="83" t="inlineStr">
        <is>
          <t>Tonnage</t>
        </is>
      </c>
      <c r="L16" s="68" t="inlineStr">
        <is>
          <t>Index horaire
LS6-LS7</t>
        </is>
      </c>
      <c r="M16" s="83" t="inlineStr">
        <is>
          <t>HM</t>
        </is>
      </c>
      <c r="N16" s="68" t="inlineStr">
        <is>
          <t>POSTE</t>
        </is>
      </c>
      <c r="O16" s="83" t="inlineStr">
        <is>
          <t>T/H</t>
        </is>
      </c>
      <c r="P16" s="69" t="inlineStr">
        <is>
          <t>Sous vitesses/Causes marche à vide</t>
        </is>
      </c>
      <c r="Q16" s="792" t="n"/>
      <c r="R16" s="793" t="n"/>
      <c r="S16" s="41" t="n"/>
    </row>
    <row r="17" ht="32.25" customFormat="1" customHeight="1" s="332">
      <c r="B17" s="400" t="n"/>
      <c r="C17" s="466" t="inlineStr">
        <is>
          <t>TBT</t>
        </is>
      </c>
      <c r="D17" s="517" t="inlineStr">
        <is>
          <t>T1S100423</t>
        </is>
      </c>
      <c r="E17" s="467" t="inlineStr">
        <is>
          <t>H4S 540-580</t>
        </is>
      </c>
      <c r="F17" s="468" t="inlineStr">
        <is>
          <t>PW-UD</t>
        </is>
      </c>
      <c r="G17" s="705" t="n"/>
      <c r="H17" s="704" t="inlineStr">
        <is>
          <t>LS6</t>
        </is>
      </c>
      <c r="I17" s="800" t="n"/>
      <c r="J17" s="489" t="n">
        <v>9535880</v>
      </c>
      <c r="K17" s="405" t="n"/>
      <c r="L17" s="801" t="n">
        <v>249.9</v>
      </c>
      <c r="M17" s="802" t="n"/>
      <c r="N17" s="409" t="n"/>
      <c r="O17" s="407" t="n"/>
      <c r="P17" s="461" t="n"/>
      <c r="Q17" s="462" t="n"/>
      <c r="R17" s="463" t="n"/>
      <c r="S17" s="332" t="n"/>
      <c r="X17" s="354" t="n"/>
      <c r="Y17" s="354" t="n"/>
      <c r="Z17" s="354" t="n"/>
    </row>
    <row r="18" ht="32.25" customFormat="1" customHeight="1" s="378">
      <c r="B18" s="230" t="n">
        <v>0.08333333333333333</v>
      </c>
      <c r="C18" s="416" t="inlineStr">
        <is>
          <t>TBT</t>
        </is>
      </c>
      <c r="D18" s="231" t="n"/>
      <c r="E18" s="231" t="n"/>
      <c r="F18" s="143" t="inlineStr">
        <is>
          <t>PW-UD</t>
        </is>
      </c>
      <c r="G18" s="719" t="n"/>
      <c r="H18" s="718" t="inlineStr">
        <is>
          <t>LS6</t>
        </is>
      </c>
      <c r="I18" s="800" t="n"/>
      <c r="J18" s="184" t="n">
        <v>9536170</v>
      </c>
      <c r="K18" s="177">
        <f>IF(AND(H18=H17,J18-J17&lt;3000,J18-J17&gt;0),J18-J17,0)</f>
        <v/>
      </c>
      <c r="L18" s="809" t="n">
        <v>250.1</v>
      </c>
      <c r="M18" s="807">
        <f>IF(AND(H18=H17,L18-L17&lt;1.1,L18-L17&gt;0),L18-L17,0)</f>
        <v/>
      </c>
      <c r="N18" s="227" t="n">
        <v>1</v>
      </c>
      <c r="O18" s="195">
        <f>IF(K18=0,"-",K18/M18)</f>
        <v/>
      </c>
      <c r="P18" s="699" t="n"/>
      <c r="Q18" s="829" t="n"/>
      <c r="R18" s="800" t="n"/>
      <c r="S18" s="378" t="n"/>
      <c r="X18" s="378" t="n"/>
      <c r="Y18" s="76" t="n"/>
      <c r="Z18" s="77" t="n"/>
    </row>
    <row r="19" ht="32.25" customFormat="1" customHeight="1" s="332">
      <c r="B19" s="230" t="n">
        <v>0.3333333333333333</v>
      </c>
      <c r="C19" s="416" t="inlineStr">
        <is>
          <t>TBT</t>
        </is>
      </c>
      <c r="D19" s="231" t="n"/>
      <c r="E19" s="231" t="n"/>
      <c r="F19" s="143" t="inlineStr">
        <is>
          <t>PW-UD</t>
        </is>
      </c>
      <c r="G19" s="719" t="n"/>
      <c r="H19" s="718" t="inlineStr">
        <is>
          <t>LS6</t>
        </is>
      </c>
      <c r="I19" s="800" t="n"/>
      <c r="J19" s="184" t="n">
        <v>9536500</v>
      </c>
      <c r="K19" s="177">
        <f>IF(AND(H19=H18,J19-J18&lt;3000,J19-J18&gt;0),J19-J18,0)</f>
        <v/>
      </c>
      <c r="L19" s="809" t="n">
        <v>250.9</v>
      </c>
      <c r="M19" s="807">
        <f>IF(AND(H19=H18,L19-L18&lt;1.1,L19-L18&gt;0),L19-L18,0)</f>
        <v/>
      </c>
      <c r="N19" s="227" t="n">
        <v>1</v>
      </c>
      <c r="O19" s="195">
        <f>IF(K19=0,"-",K19/M19)</f>
        <v/>
      </c>
      <c r="P19" s="699" t="n"/>
      <c r="Q19" s="829" t="n"/>
      <c r="R19" s="800" t="n"/>
      <c r="S19" s="332" t="n"/>
      <c r="X19" s="332" t="n"/>
      <c r="Y19" s="333" t="n"/>
      <c r="Z19" s="334" t="n"/>
    </row>
    <row r="20" ht="32.25" customFormat="1" customHeight="1" s="378">
      <c r="B20" s="230" t="n">
        <v>0.375</v>
      </c>
      <c r="C20" s="416" t="inlineStr">
        <is>
          <t>TBT</t>
        </is>
      </c>
      <c r="D20" s="231" t="n"/>
      <c r="E20" s="231" t="n"/>
      <c r="F20" s="143" t="inlineStr">
        <is>
          <t>PW-UD</t>
        </is>
      </c>
      <c r="G20" s="719" t="n"/>
      <c r="H20" s="718" t="inlineStr">
        <is>
          <t>LS6</t>
        </is>
      </c>
      <c r="I20" s="800" t="n"/>
      <c r="J20" s="184" t="n">
        <v>9537900</v>
      </c>
      <c r="K20" s="177">
        <f>IF(AND(H20=H19,J20-J19&lt;3000,J20-J19&gt;0),J20-J19,0)</f>
        <v/>
      </c>
      <c r="L20" s="809" t="n">
        <v>251.9</v>
      </c>
      <c r="M20" s="807">
        <f>IF(AND(H20=H19,L20-L19&lt;1.1,L20-L19&gt;0),L20-L19,0)</f>
        <v/>
      </c>
      <c r="N20" s="227" t="n">
        <v>2</v>
      </c>
      <c r="O20" s="195">
        <f>IF(K20=0,"-",K20/M20)</f>
        <v/>
      </c>
      <c r="P20" s="699" t="n"/>
      <c r="Q20" s="829" t="n"/>
      <c r="R20" s="800" t="n"/>
      <c r="S20" s="378" t="n"/>
      <c r="X20" s="378" t="n"/>
      <c r="Y20" s="76" t="n"/>
      <c r="Z20" s="77" t="n"/>
    </row>
    <row r="21" ht="32.25" customFormat="1" customHeight="1" s="378">
      <c r="B21" s="230" t="n">
        <v>0.4166666666666667</v>
      </c>
      <c r="C21" s="416" t="inlineStr">
        <is>
          <t>TBT</t>
        </is>
      </c>
      <c r="D21" s="231" t="n"/>
      <c r="E21" s="231" t="n"/>
      <c r="F21" s="143" t="inlineStr">
        <is>
          <t>PW-UD</t>
        </is>
      </c>
      <c r="G21" s="719" t="n"/>
      <c r="H21" s="718" t="inlineStr">
        <is>
          <t>LS6</t>
        </is>
      </c>
      <c r="I21" s="800" t="n"/>
      <c r="J21" s="184" t="n">
        <v>9539300</v>
      </c>
      <c r="K21" s="177">
        <f>IF(AND(H21=H20,J21-J20&lt;3000,J21-J20&gt;0),J21-J20,0)</f>
        <v/>
      </c>
      <c r="L21" s="809" t="n">
        <v>252.7</v>
      </c>
      <c r="M21" s="807">
        <f>IF(AND(H21=H20,L21-L20&lt;1.1,L21-L20&gt;0),L21-L20,0)</f>
        <v/>
      </c>
      <c r="N21" s="227" t="n">
        <v>2</v>
      </c>
      <c r="O21" s="195">
        <f>IF(K21=0,"-",K21/M21)</f>
        <v/>
      </c>
      <c r="P21" s="699" t="n"/>
      <c r="Q21" s="829" t="n"/>
      <c r="R21" s="800" t="n"/>
      <c r="S21" s="378" t="n"/>
      <c r="X21" s="378" t="n"/>
      <c r="Y21" s="76" t="n"/>
      <c r="Z21" s="77" t="n"/>
    </row>
    <row r="22" ht="32.25" customHeight="1">
      <c r="B22" s="230" t="n">
        <v>0.4583333333333333</v>
      </c>
      <c r="C22" s="416" t="inlineStr">
        <is>
          <t>TBT</t>
        </is>
      </c>
      <c r="D22" s="231" t="n"/>
      <c r="E22" s="231" t="n"/>
      <c r="F22" s="143" t="inlineStr">
        <is>
          <t>PW-UD</t>
        </is>
      </c>
      <c r="G22" s="719" t="n"/>
      <c r="H22" s="718" t="inlineStr">
        <is>
          <t>LS6</t>
        </is>
      </c>
      <c r="I22" s="800" t="n"/>
      <c r="J22" s="184" t="n">
        <v>9540700</v>
      </c>
      <c r="K22" s="177">
        <f>IF(AND(H22=H21,J22-J21&lt;3000,J22-J21&gt;0),J22-J21,0)</f>
        <v/>
      </c>
      <c r="L22" s="809" t="n">
        <v>253.7</v>
      </c>
      <c r="M22" s="807">
        <f>IF(AND(H22=H21,L22-L21&lt;1.1,L22-L21&gt;0),L22-L21,0)</f>
        <v/>
      </c>
      <c r="N22" s="227" t="n">
        <v>2</v>
      </c>
      <c r="O22" s="195">
        <f>IF(K22=0,"-",K22/M22)</f>
        <v/>
      </c>
      <c r="P22" s="699" t="n"/>
      <c r="Q22" s="829" t="n"/>
      <c r="R22" s="800" t="n"/>
      <c r="S22" s="378" t="n"/>
      <c r="X22" s="378" t="n"/>
      <c r="Y22" s="76" t="n"/>
      <c r="Z22" s="77" t="n"/>
    </row>
    <row r="23" ht="32.25" customFormat="1" customHeight="1" s="332">
      <c r="B23" s="230" t="n">
        <v>0.5</v>
      </c>
      <c r="C23" s="416" t="inlineStr">
        <is>
          <t>TBT</t>
        </is>
      </c>
      <c r="D23" s="231" t="n"/>
      <c r="E23" s="231" t="n"/>
      <c r="F23" s="143" t="inlineStr">
        <is>
          <t>PW-UD</t>
        </is>
      </c>
      <c r="G23" s="499" t="n"/>
      <c r="H23" s="718" t="inlineStr">
        <is>
          <t>LS6</t>
        </is>
      </c>
      <c r="I23" s="800" t="n"/>
      <c r="J23" s="184" t="n">
        <v>9542100</v>
      </c>
      <c r="K23" s="177">
        <f>IF(AND(H23=H22,J23-J22&lt;3000,J23-J22&gt;0),J23-J22,0)</f>
        <v/>
      </c>
      <c r="L23" s="809" t="n">
        <v>254.7</v>
      </c>
      <c r="M23" s="807">
        <f>IF(AND(H23=H22,L23-L22&lt;1.1,L23-L22&gt;0),L23-L22,0)</f>
        <v/>
      </c>
      <c r="N23" s="423" t="n">
        <v>2</v>
      </c>
      <c r="O23" s="432">
        <f>IF(K23=0,"-",K23/M23)</f>
        <v/>
      </c>
      <c r="P23" s="712" t="n"/>
      <c r="Q23" s="829" t="n"/>
      <c r="R23" s="800" t="n"/>
      <c r="S23" s="332" t="n"/>
      <c r="X23" s="332" t="n"/>
      <c r="Y23" s="333" t="n"/>
      <c r="Z23" s="334" t="n"/>
    </row>
    <row r="24" ht="32.25" customHeight="1">
      <c r="B24" s="230" t="n">
        <v>0.5416666666666666</v>
      </c>
      <c r="C24" s="416" t="inlineStr">
        <is>
          <t>TBT</t>
        </is>
      </c>
      <c r="D24" s="231" t="n"/>
      <c r="E24" s="231" t="n"/>
      <c r="F24" s="143" t="inlineStr">
        <is>
          <t>PW-UD</t>
        </is>
      </c>
      <c r="G24" s="719" t="n"/>
      <c r="H24" s="718" t="inlineStr">
        <is>
          <t>LS6</t>
        </is>
      </c>
      <c r="I24" s="800" t="n"/>
      <c r="J24" s="184" t="n">
        <v>9543600</v>
      </c>
      <c r="K24" s="177">
        <f>IF(AND(H24=H23,J24-J23&lt;3000,J24-J23&gt;0),J24-J23,0)</f>
        <v/>
      </c>
      <c r="L24" s="809" t="n">
        <v>255.7</v>
      </c>
      <c r="M24" s="807">
        <f>IF(AND(H24=H23,L24-L23&lt;1.1,L24-L23&gt;0),L24-L23,0)</f>
        <v/>
      </c>
      <c r="N24" s="227" t="n">
        <v>2</v>
      </c>
      <c r="O24" s="195">
        <f>IF(K24=0,"-",K24/M24)</f>
        <v/>
      </c>
      <c r="P24" s="699" t="n"/>
      <c r="Q24" s="829" t="n"/>
      <c r="R24" s="800" t="n"/>
      <c r="S24" s="332" t="n"/>
      <c r="T24" s="332" t="n"/>
      <c r="U24" s="332" t="n"/>
      <c r="V24" s="332" t="n"/>
      <c r="W24" s="332" t="n"/>
      <c r="X24" s="332" t="n"/>
      <c r="Y24" s="333" t="n"/>
      <c r="Z24" s="334" t="n"/>
      <c r="AA24" s="332" t="n"/>
    </row>
    <row r="25" ht="32.25" customHeight="1">
      <c r="B25" s="400" t="n"/>
      <c r="C25" s="466" t="inlineStr">
        <is>
          <t>BT</t>
        </is>
      </c>
      <c r="D25" s="517" t="inlineStr">
        <is>
          <t xml:space="preserve">T2S 19 04 23 </t>
        </is>
      </c>
      <c r="E25" s="517" t="inlineStr">
        <is>
          <t>H4S 350-400</t>
        </is>
      </c>
      <c r="F25" s="468" t="inlineStr">
        <is>
          <t>PW-UD</t>
        </is>
      </c>
      <c r="G25" s="705" t="n"/>
      <c r="H25" s="704" t="inlineStr">
        <is>
          <t>LS6</t>
        </is>
      </c>
      <c r="I25" s="800" t="n"/>
      <c r="J25" s="489" t="n">
        <v>9543600</v>
      </c>
      <c r="K25" s="405">
        <f>IF(AND(H25=H24,J25-J24&lt;3000,J25-J24&gt;0),J25-J24,0)</f>
        <v/>
      </c>
      <c r="L25" s="801" t="n">
        <v>255.7</v>
      </c>
      <c r="M25" s="802">
        <f>IF(AND(H25=H24,L25-L24&lt;1.1,L25-L24&gt;0),L25-L24,0)</f>
        <v/>
      </c>
      <c r="N25" s="409" t="n"/>
      <c r="O25" s="407">
        <f>IF(K25=0,"-",K25/M25)</f>
        <v/>
      </c>
      <c r="P25" s="710" t="n"/>
      <c r="Q25" s="829" t="n"/>
      <c r="R25" s="800" t="n"/>
      <c r="S25" s="332" t="n"/>
      <c r="T25" s="332" t="n"/>
      <c r="U25" s="332" t="n"/>
      <c r="V25" s="332" t="n"/>
      <c r="W25" s="332" t="n"/>
      <c r="X25" s="332" t="n"/>
      <c r="Y25" s="333" t="n"/>
      <c r="Z25" s="334" t="n"/>
      <c r="AA25" s="332" t="n"/>
    </row>
    <row r="26" ht="32.25" customFormat="1" customHeight="1" s="351">
      <c r="B26" s="230" t="n">
        <v>0.5833333333333334</v>
      </c>
      <c r="C26" s="241" t="inlineStr">
        <is>
          <t>BT</t>
        </is>
      </c>
      <c r="D26" s="231" t="n"/>
      <c r="E26" s="231" t="n"/>
      <c r="F26" s="143" t="inlineStr">
        <is>
          <t>PW-UD</t>
        </is>
      </c>
      <c r="G26" s="719" t="n"/>
      <c r="H26" s="718" t="inlineStr">
        <is>
          <t>LS6</t>
        </is>
      </c>
      <c r="I26" s="800" t="n"/>
      <c r="J26" s="184" t="n">
        <v>9545200</v>
      </c>
      <c r="K26" s="177">
        <f>IF(AND(H26=H25,J26-J25&lt;3000,J26-J25&gt;0),J26-J25,0)</f>
        <v/>
      </c>
      <c r="L26" s="809" t="n">
        <v>256.7</v>
      </c>
      <c r="M26" s="807">
        <f>IF(AND(H26=H25,L26-L25&lt;1.1,L26-L25&gt;0),L26-L25,0)</f>
        <v/>
      </c>
      <c r="N26" s="227" t="n">
        <v>2</v>
      </c>
      <c r="O26" s="195">
        <f>IF(K26=0,"-",K26/M26)</f>
        <v/>
      </c>
      <c r="P26" s="708" t="n"/>
      <c r="Q26" s="829" t="n"/>
      <c r="R26" s="800" t="n"/>
      <c r="S26" s="351" t="n"/>
      <c r="X26" s="351" t="n"/>
      <c r="Y26" s="352" t="n"/>
      <c r="Z26" s="353" t="n"/>
    </row>
    <row r="27" ht="32.25" customHeight="1">
      <c r="B27" s="230" t="n">
        <v>0.625</v>
      </c>
      <c r="C27" s="241" t="inlineStr">
        <is>
          <t>BT</t>
        </is>
      </c>
      <c r="D27" s="231" t="n"/>
      <c r="E27" s="231" t="n"/>
      <c r="F27" s="143" t="inlineStr">
        <is>
          <t>PW-UD</t>
        </is>
      </c>
      <c r="G27" s="719" t="n"/>
      <c r="H27" s="718" t="inlineStr">
        <is>
          <t>LS6</t>
        </is>
      </c>
      <c r="I27" s="800" t="n"/>
      <c r="J27" s="184" t="n">
        <v>9546400</v>
      </c>
      <c r="K27" s="177">
        <f>IF(AND(H27=H26,J27-J26&lt;3000,J27-J26&gt;0),J27-J26,0)</f>
        <v/>
      </c>
      <c r="L27" s="809" t="n">
        <v>257.7</v>
      </c>
      <c r="M27" s="807">
        <f>IF(AND(H27=H26,L27-L26&lt;1.1,L27-L26&gt;0),L27-L26,0)</f>
        <v/>
      </c>
      <c r="N27" s="227" t="n">
        <v>2</v>
      </c>
      <c r="O27" s="195">
        <f>IF(K27=0,"-",K27/M27)</f>
        <v/>
      </c>
      <c r="P27" s="878" t="n"/>
      <c r="Q27" s="829" t="n"/>
      <c r="R27" s="836" t="n"/>
      <c r="S27" s="332" t="n"/>
      <c r="T27" s="332" t="n"/>
      <c r="U27" s="332" t="n"/>
      <c r="V27" s="332" t="n"/>
      <c r="W27" s="332" t="n"/>
      <c r="X27" s="332" t="n"/>
      <c r="Y27" s="333" t="n"/>
      <c r="Z27" s="334" t="n"/>
      <c r="AA27" s="332" t="n"/>
    </row>
    <row r="28" ht="32.25" customHeight="1">
      <c r="B28" s="230" t="n">
        <v>0.6666666666666666</v>
      </c>
      <c r="C28" s="241" t="inlineStr">
        <is>
          <t>BT</t>
        </is>
      </c>
      <c r="D28" s="231" t="n"/>
      <c r="E28" s="231" t="n"/>
      <c r="F28" s="143" t="inlineStr">
        <is>
          <t>PW-UD</t>
        </is>
      </c>
      <c r="G28" s="499" t="n"/>
      <c r="H28" s="718" t="inlineStr">
        <is>
          <t>LS6</t>
        </is>
      </c>
      <c r="I28" s="800" t="n"/>
      <c r="J28" s="184" t="n">
        <v>9547800</v>
      </c>
      <c r="K28" s="177">
        <f>IF(AND(H28=H27,J28-J27&lt;3000,J28-J27&gt;0),J28-J27,0)</f>
        <v/>
      </c>
      <c r="L28" s="809" t="n">
        <v>258.6</v>
      </c>
      <c r="M28" s="807">
        <f>IF(AND(H28=H27,L28-L27&lt;1.1,L28-L27&gt;0),L28-L27,0)</f>
        <v/>
      </c>
      <c r="N28" s="423" t="n">
        <v>2</v>
      </c>
      <c r="O28" s="432">
        <f>IF(K28=0,"-",K28/M28)</f>
        <v/>
      </c>
      <c r="P28" s="706" t="n"/>
      <c r="Q28" s="829" t="n"/>
      <c r="R28" s="800" t="n"/>
      <c r="S28" s="332" t="n"/>
      <c r="T28" s="332" t="n"/>
      <c r="U28" s="332" t="n"/>
      <c r="V28" s="332" t="n"/>
      <c r="W28" s="332" t="n"/>
      <c r="X28" s="332" t="n"/>
      <c r="Y28" s="333" t="n"/>
      <c r="Z28" s="334" t="n"/>
      <c r="AA28" s="332" t="n"/>
    </row>
    <row r="29" ht="32.25" customHeight="1">
      <c r="B29" s="230" t="n">
        <v>0.7083333333333334</v>
      </c>
      <c r="C29" s="241" t="inlineStr">
        <is>
          <t>BT</t>
        </is>
      </c>
      <c r="D29" s="231" t="n"/>
      <c r="E29" s="231" t="n"/>
      <c r="F29" s="143" t="inlineStr">
        <is>
          <t>PW-UD</t>
        </is>
      </c>
      <c r="G29" s="719" t="n"/>
      <c r="H29" s="718" t="inlineStr">
        <is>
          <t>LS6</t>
        </is>
      </c>
      <c r="I29" s="800" t="n"/>
      <c r="J29" s="184" t="n">
        <v>9549400</v>
      </c>
      <c r="K29" s="177">
        <f>IF(AND(H29=H28,J29-J28&lt;3000,J29-J28&gt;0),J29-J28,0)</f>
        <v/>
      </c>
      <c r="L29" s="809" t="n">
        <v>259.6</v>
      </c>
      <c r="M29" s="807">
        <f>IF(AND(H29=H28,L29-L28&lt;1.1,L29-L28&gt;0),L29-L28,0)</f>
        <v/>
      </c>
      <c r="N29" s="227" t="n">
        <v>3</v>
      </c>
      <c r="O29" s="195">
        <f>IF(K29=0,"-",K29/M29)</f>
        <v/>
      </c>
      <c r="P29" s="708" t="n"/>
      <c r="Q29" s="829" t="n"/>
      <c r="R29" s="800" t="n"/>
      <c r="S29" s="332" t="n"/>
      <c r="T29" s="332" t="n"/>
      <c r="U29" s="332" t="n"/>
      <c r="V29" s="332" t="n"/>
      <c r="W29" s="332" t="n"/>
      <c r="X29" s="332" t="n"/>
      <c r="Y29" s="333" t="n"/>
      <c r="Z29" s="334" t="n"/>
      <c r="AA29" s="332" t="n"/>
    </row>
    <row r="30" ht="32.25" customHeight="1">
      <c r="B30" s="230" t="n">
        <v>0.75</v>
      </c>
      <c r="C30" s="241" t="inlineStr">
        <is>
          <t>BT</t>
        </is>
      </c>
      <c r="D30" s="231" t="n"/>
      <c r="E30" s="231" t="n"/>
      <c r="F30" s="143" t="inlineStr">
        <is>
          <t>PW-UD</t>
        </is>
      </c>
      <c r="G30" s="719" t="n"/>
      <c r="H30" s="718" t="inlineStr">
        <is>
          <t>LS6</t>
        </is>
      </c>
      <c r="I30" s="800" t="n"/>
      <c r="J30" s="184" t="n">
        <v>9551000</v>
      </c>
      <c r="K30" s="177">
        <f>IF(AND(H30=H29,J30-J29&lt;3000,J30-J29&gt;0),J30-J29,0)</f>
        <v/>
      </c>
      <c r="L30" s="809" t="n">
        <v>260.6</v>
      </c>
      <c r="M30" s="807">
        <f>IF(AND(H30=H29,L30-L29&lt;1.1,L30-L29&gt;0),L30-L29,0)</f>
        <v/>
      </c>
      <c r="N30" s="227" t="n">
        <v>3</v>
      </c>
      <c r="O30" s="195">
        <f>IF(K30=0,"-",K30/M30)</f>
        <v/>
      </c>
      <c r="P30" s="708" t="n"/>
      <c r="Q30" s="829" t="n"/>
      <c r="R30" s="800" t="n"/>
      <c r="S30" s="332" t="n"/>
      <c r="T30" s="332" t="n"/>
      <c r="U30" s="332" t="n"/>
      <c r="V30" s="332" t="n"/>
      <c r="W30" s="332" t="n"/>
      <c r="X30" s="332" t="n"/>
      <c r="Y30" s="333" t="n"/>
      <c r="Z30" s="334" t="n"/>
      <c r="AA30" s="332" t="n"/>
    </row>
    <row r="31" ht="32.25" customHeight="1">
      <c r="B31" s="230" t="n">
        <v>0.7916666666666666</v>
      </c>
      <c r="C31" s="241" t="inlineStr">
        <is>
          <t>BT</t>
        </is>
      </c>
      <c r="D31" s="231" t="n"/>
      <c r="E31" s="231" t="n"/>
      <c r="F31" s="143" t="inlineStr">
        <is>
          <t>PW-UD</t>
        </is>
      </c>
      <c r="G31" s="719" t="n"/>
      <c r="H31" s="718" t="inlineStr">
        <is>
          <t>LS6</t>
        </is>
      </c>
      <c r="I31" s="800" t="n"/>
      <c r="J31" s="184" t="n">
        <v>9552200</v>
      </c>
      <c r="K31" s="177">
        <f>IF(AND(H31=H30,J31-J30&lt;3000,J31-J30&gt;0),J31-J30,0)</f>
        <v/>
      </c>
      <c r="L31" s="809" t="n">
        <v>261.5</v>
      </c>
      <c r="M31" s="807">
        <f>IF(AND(H31=H30,L31-L30&lt;1.1,L31-L30&gt;0),L31-L30,0)</f>
        <v/>
      </c>
      <c r="N31" s="227" t="n">
        <v>3</v>
      </c>
      <c r="O31" s="195">
        <f>IF(K31=0,"-",K31/M31)</f>
        <v/>
      </c>
      <c r="P31" s="708" t="n"/>
      <c r="Q31" s="829" t="n"/>
      <c r="R31" s="800" t="n"/>
      <c r="S31" s="332" t="n"/>
      <c r="T31" s="332" t="n"/>
      <c r="U31" s="332" t="n"/>
      <c r="V31" s="332" t="n"/>
      <c r="W31" s="332" t="n"/>
      <c r="X31" s="332" t="n"/>
      <c r="Y31" s="333" t="n"/>
      <c r="Z31" s="334" t="n"/>
      <c r="AA31" s="332" t="n"/>
    </row>
    <row r="32" ht="32.25" customFormat="1" customHeight="1" s="378">
      <c r="B32" s="230" t="n">
        <v>0.8125</v>
      </c>
      <c r="C32" s="241" t="inlineStr">
        <is>
          <t>BT</t>
        </is>
      </c>
      <c r="D32" s="231" t="n"/>
      <c r="E32" s="231" t="n"/>
      <c r="F32" s="143" t="inlineStr">
        <is>
          <t>PW-UD</t>
        </is>
      </c>
      <c r="G32" s="719" t="n"/>
      <c r="H32" s="718" t="inlineStr">
        <is>
          <t>LS6</t>
        </is>
      </c>
      <c r="I32" s="800" t="n"/>
      <c r="J32" s="184" t="n">
        <v>9552900</v>
      </c>
      <c r="K32" s="177">
        <f>IF(AND(H32=H31,J32-J31&lt;3000,J32-J31&gt;0),J32-J31,0)</f>
        <v/>
      </c>
      <c r="L32" s="809" t="n">
        <v>262</v>
      </c>
      <c r="M32" s="807">
        <f>IF(AND(H32=H31,L32-L31&lt;1.1,L32-L31&gt;0),L32-L31,0)</f>
        <v/>
      </c>
      <c r="N32" s="227" t="n">
        <v>3</v>
      </c>
      <c r="O32" s="195">
        <f>IF(K32=0,"-",K32/M32)</f>
        <v/>
      </c>
      <c r="P32" s="708" t="n"/>
      <c r="Q32" s="829" t="n"/>
      <c r="R32" s="800" t="n"/>
      <c r="S32" s="332" t="n"/>
      <c r="T32" s="332" t="n"/>
      <c r="U32" s="332" t="n"/>
      <c r="V32" s="332" t="n"/>
      <c r="W32" s="332" t="n"/>
      <c r="X32" s="332" t="n"/>
      <c r="Y32" s="333" t="n"/>
      <c r="Z32" s="334" t="n"/>
      <c r="AA32" s="332" t="n"/>
    </row>
    <row r="33" ht="32.25" customHeight="1">
      <c r="B33" s="230" t="n"/>
      <c r="C33" s="241" t="n"/>
      <c r="D33" s="231" t="n"/>
      <c r="E33" s="435" t="n"/>
      <c r="F33" s="143" t="n"/>
      <c r="G33" s="719" t="n"/>
      <c r="H33" s="718" t="n"/>
      <c r="I33" s="800" t="n"/>
      <c r="J33" s="184" t="n"/>
      <c r="K33" s="177">
        <f>IF(AND(H33=H32,J33-J32&lt;3000,J33-J32&gt;0),J33-J32,0)</f>
        <v/>
      </c>
      <c r="L33" s="809" t="n"/>
      <c r="M33" s="807">
        <f>IF(AND(H33=H32,L33-L32&lt;1.1,L33-L32&gt;0),L33-L32,0)</f>
        <v/>
      </c>
      <c r="N33" s="227" t="n"/>
      <c r="O33" s="195">
        <f>IF(K33=0,"-",K33/M33)</f>
        <v/>
      </c>
      <c r="P33" s="708" t="n"/>
      <c r="Q33" s="829" t="n"/>
      <c r="R33" s="800" t="n"/>
      <c r="S33" s="332" t="n"/>
      <c r="T33" s="332" t="n"/>
      <c r="U33" s="332" t="n"/>
      <c r="V33" s="332" t="n"/>
      <c r="W33" s="332" t="n"/>
      <c r="X33" s="332" t="n"/>
      <c r="Y33" s="333" t="n"/>
      <c r="Z33" s="334" t="n"/>
      <c r="AA33" s="332" t="n"/>
    </row>
    <row r="34" ht="32.25" customFormat="1" customHeight="1" s="347">
      <c r="B34" s="230" t="n"/>
      <c r="C34" s="241" t="n"/>
      <c r="D34" s="231" t="n"/>
      <c r="E34" s="435" t="n"/>
      <c r="F34" s="143" t="n"/>
      <c r="G34" s="719" t="n"/>
      <c r="H34" s="718" t="n"/>
      <c r="I34" s="800" t="n"/>
      <c r="J34" s="184" t="n"/>
      <c r="K34" s="177">
        <f>IF(AND(H34=H33,J34-J33&lt;3000,J34-J33&gt;0),J34-J33,0)</f>
        <v/>
      </c>
      <c r="L34" s="809" t="n"/>
      <c r="M34" s="807">
        <f>IF(AND(H34=H33,L34-L33&lt;1.1,L34-L33&gt;0),L34-L33,0)</f>
        <v/>
      </c>
      <c r="N34" s="227" t="n"/>
      <c r="O34" s="195">
        <f>IF(K34=0,"-",K34/M34)</f>
        <v/>
      </c>
      <c r="P34" s="708" t="n"/>
      <c r="Q34" s="829" t="n"/>
      <c r="R34" s="800" t="n"/>
      <c r="S34" s="347" t="n"/>
      <c r="X34" s="332" t="n"/>
      <c r="Y34" s="333" t="n"/>
      <c r="Z34" s="334" t="n"/>
    </row>
    <row r="35" ht="32.25" customHeight="1">
      <c r="B35" s="230" t="n"/>
      <c r="C35" s="241" t="n"/>
      <c r="D35" s="231" t="n"/>
      <c r="E35" s="435" t="n"/>
      <c r="F35" s="143" t="n"/>
      <c r="G35" s="197" t="n"/>
      <c r="H35" s="718" t="n"/>
      <c r="I35" s="800" t="n"/>
      <c r="J35" s="184" t="n"/>
      <c r="K35" s="177">
        <f>IF(AND(H35=H34,J35-J34&lt;3000,J35-J34&gt;0),J35-J34,0)</f>
        <v/>
      </c>
      <c r="L35" s="809" t="n"/>
      <c r="M35" s="807">
        <f>IF(AND(H35=H34,L35-L34&lt;1.1,L35-L34&gt;0),L35-L34,0)</f>
        <v/>
      </c>
      <c r="N35" s="227" t="n"/>
      <c r="O35" s="195">
        <f>IF(K35=0,"-",K35/M35)</f>
        <v/>
      </c>
      <c r="P35" s="708" t="n"/>
      <c r="Q35" s="829" t="n"/>
      <c r="R35" s="800" t="n"/>
      <c r="S35" s="332" t="n"/>
      <c r="T35" s="332" t="n"/>
      <c r="U35" s="332" t="n"/>
      <c r="V35" s="332" t="n"/>
      <c r="W35" s="332" t="n"/>
      <c r="X35" s="332" t="n"/>
      <c r="Y35" s="333" t="n"/>
      <c r="Z35" s="334" t="n"/>
      <c r="AA35" s="332" t="n"/>
    </row>
    <row r="36" ht="32.25" customHeight="1">
      <c r="B36" s="230" t="n"/>
      <c r="C36" s="241" t="n"/>
      <c r="D36" s="231" t="n"/>
      <c r="E36" s="435" t="n"/>
      <c r="F36" s="143" t="n"/>
      <c r="G36" s="719" t="n"/>
      <c r="H36" s="718" t="n"/>
      <c r="I36" s="800" t="n"/>
      <c r="J36" s="184" t="n"/>
      <c r="K36" s="177">
        <f>IF(AND(H36=H35,J36-J35&lt;3000,J36-J35&gt;0),J36-J35,0)</f>
        <v/>
      </c>
      <c r="L36" s="809" t="n"/>
      <c r="M36" s="807">
        <f>IF(AND(H36=H35,L36-L35&lt;1.1,L36-L35&gt;0),L36-L35,0)</f>
        <v/>
      </c>
      <c r="N36" s="227" t="n"/>
      <c r="O36" s="195">
        <f>IF(K36=0,"-",K36/M36)</f>
        <v/>
      </c>
      <c r="P36" s="708" t="n"/>
      <c r="Q36" s="829" t="n"/>
      <c r="R36" s="800" t="n"/>
      <c r="S36" s="332" t="n"/>
      <c r="T36" s="332" t="n"/>
      <c r="U36" s="332" t="n"/>
      <c r="V36" s="332" t="n"/>
      <c r="W36" s="332" t="n"/>
      <c r="X36" s="332" t="n"/>
      <c r="Y36" s="333" t="n"/>
      <c r="Z36" s="334" t="n"/>
      <c r="AA36" s="332" t="n"/>
    </row>
    <row r="37" ht="32.25" customFormat="1" customHeight="1" s="310">
      <c r="B37" s="230" t="n"/>
      <c r="C37" s="241" t="n"/>
      <c r="D37" s="231" t="n"/>
      <c r="E37" s="435" t="n"/>
      <c r="F37" s="143" t="n"/>
      <c r="G37" s="719" t="n"/>
      <c r="H37" s="718" t="n"/>
      <c r="I37" s="800" t="n"/>
      <c r="J37" s="184" t="n"/>
      <c r="K37" s="177">
        <f>IF(AND(H37=H36,J37-J36&lt;3000,J37-J36&gt;0),J37-J36,0)</f>
        <v/>
      </c>
      <c r="L37" s="809" t="n"/>
      <c r="M37" s="807">
        <f>IF(AND(H37=H36,L37-L36&lt;1.1,L37-L36&gt;0),L37-L36,0)</f>
        <v/>
      </c>
      <c r="N37" s="227" t="n"/>
      <c r="O37" s="195">
        <f>IF(K37=0,"-",K37/M37)</f>
        <v/>
      </c>
      <c r="P37" s="708" t="n"/>
      <c r="Q37" s="829" t="n"/>
      <c r="R37" s="800" t="n"/>
      <c r="S37" s="310" t="n"/>
      <c r="X37" s="310" t="n"/>
      <c r="Y37" s="311" t="n"/>
      <c r="Z37" s="312" t="n"/>
    </row>
    <row r="38" ht="32.25" customFormat="1" customHeight="1" s="378">
      <c r="B38" s="230" t="n"/>
      <c r="C38" s="241" t="n"/>
      <c r="D38" s="231" t="n"/>
      <c r="E38" s="435" t="n"/>
      <c r="F38" s="143" t="n"/>
      <c r="G38" s="719" t="n"/>
      <c r="H38" s="718" t="n"/>
      <c r="I38" s="800" t="n"/>
      <c r="J38" s="184" t="n"/>
      <c r="K38" s="177">
        <f>IF(AND(H38=H37,J38-J37&lt;3000,J38-J37&gt;0),J38-J37,0)</f>
        <v/>
      </c>
      <c r="L38" s="809" t="n"/>
      <c r="M38" s="807">
        <f>IF(AND(H38=H37,L38-L37&lt;1.1,L38-L37&gt;0),L38-L37,0)</f>
        <v/>
      </c>
      <c r="N38" s="227" t="n"/>
      <c r="O38" s="195">
        <f>IF(K38=0,"-",K38/M38)</f>
        <v/>
      </c>
      <c r="P38" s="708" t="n"/>
      <c r="Q38" s="829" t="n"/>
      <c r="R38" s="800" t="n"/>
      <c r="S38" s="378" t="n"/>
      <c r="X38" s="378" t="n"/>
      <c r="Y38" s="76" t="n"/>
      <c r="Z38" s="77" t="n"/>
    </row>
    <row r="39" ht="32.25" customFormat="1" customHeight="1" s="310">
      <c r="B39" s="230" t="n"/>
      <c r="C39" s="241" t="n"/>
      <c r="D39" s="231" t="n"/>
      <c r="E39" s="435" t="n"/>
      <c r="F39" s="143" t="n"/>
      <c r="G39" s="719" t="n"/>
      <c r="H39" s="718" t="n"/>
      <c r="I39" s="800" t="n"/>
      <c r="J39" s="184" t="n"/>
      <c r="K39" s="177">
        <f>IF(AND(H39=H38,J39-J38&lt;3000,J39-J38&gt;0),J39-J38,0)</f>
        <v/>
      </c>
      <c r="L39" s="809" t="n"/>
      <c r="M39" s="807">
        <f>IF(AND(H39=H38,L39-L38&lt;1.1,L39-L38&gt;0),L39-L38,0)</f>
        <v/>
      </c>
      <c r="N39" s="227" t="n"/>
      <c r="O39" s="195">
        <f>IF(K39=0,"-",K39/M39)</f>
        <v/>
      </c>
      <c r="P39" s="708" t="n"/>
      <c r="Q39" s="829" t="n"/>
      <c r="R39" s="800" t="n"/>
      <c r="S39" s="310" t="n"/>
      <c r="X39" s="310" t="n"/>
      <c r="Y39" s="311" t="n"/>
      <c r="Z39" s="312" t="n"/>
    </row>
    <row r="40" ht="32.25" customFormat="1" customHeight="1" s="378">
      <c r="B40" s="230" t="n"/>
      <c r="C40" s="241" t="n"/>
      <c r="D40" s="231" t="n"/>
      <c r="E40" s="435" t="n"/>
      <c r="F40" s="143" t="n"/>
      <c r="G40" s="719" t="n"/>
      <c r="H40" s="718" t="n"/>
      <c r="I40" s="800" t="n"/>
      <c r="J40" s="184" t="n"/>
      <c r="K40" s="177">
        <f>IF(AND(H40=H39,J40-J39&lt;3000,J40-J39&gt;0),J40-J39,0)</f>
        <v/>
      </c>
      <c r="L40" s="809" t="n"/>
      <c r="M40" s="807">
        <f>IF(AND(H40=H39,L40-L39&lt;1.1,L40-L39&gt;0),L40-L39,0)</f>
        <v/>
      </c>
      <c r="N40" s="227" t="n"/>
      <c r="O40" s="195">
        <f>IF(K40=0,"-",K40/M40)</f>
        <v/>
      </c>
      <c r="P40" s="708" t="n"/>
      <c r="Q40" s="829" t="n"/>
      <c r="R40" s="800" t="n"/>
      <c r="S40" s="378" t="n"/>
      <c r="X40" s="378" t="n"/>
      <c r="Y40" s="76" t="n"/>
      <c r="Z40" s="77" t="n"/>
    </row>
    <row r="41" ht="32.25" customFormat="1" customHeight="1" s="378">
      <c r="B41" s="230" t="n"/>
      <c r="C41" s="241" t="n"/>
      <c r="D41" s="231" t="n"/>
      <c r="E41" s="435" t="n"/>
      <c r="F41" s="143" t="n"/>
      <c r="G41" s="719" t="n"/>
      <c r="H41" s="718" t="n"/>
      <c r="I41" s="800" t="n"/>
      <c r="J41" s="184" t="n"/>
      <c r="K41" s="177">
        <f>IF(AND(H41=H40,J41-J40&lt;3000,J41-J40&gt;0),J41-J40,0)</f>
        <v/>
      </c>
      <c r="L41" s="809" t="n"/>
      <c r="M41" s="807">
        <f>IF(AND(H41=H40,L41-L40&lt;1.1,L41-L40&gt;0),L41-L40,0)</f>
        <v/>
      </c>
      <c r="N41" s="227" t="n"/>
      <c r="O41" s="195">
        <f>IF(K41=0,"-",K41/M41)</f>
        <v/>
      </c>
      <c r="P41" s="708" t="n"/>
      <c r="Q41" s="829" t="n"/>
      <c r="R41" s="800" t="n"/>
      <c r="S41" s="378" t="n"/>
      <c r="X41" s="378" t="n"/>
      <c r="Y41" s="76" t="n"/>
      <c r="Z41" s="77" t="n"/>
    </row>
    <row r="42" ht="32.25" customFormat="1" customHeight="1" s="378">
      <c r="B42" s="230" t="n"/>
      <c r="C42" s="241" t="n"/>
      <c r="D42" s="231" t="n"/>
      <c r="E42" s="435" t="n"/>
      <c r="F42" s="143" t="n"/>
      <c r="G42" s="719" t="n"/>
      <c r="H42" s="718" t="n"/>
      <c r="I42" s="800" t="n"/>
      <c r="J42" s="184" t="n"/>
      <c r="K42" s="177">
        <f>IF(AND(H42=H41,J42-J41&lt;3000,J42-J41&gt;0),J42-J41,0)</f>
        <v/>
      </c>
      <c r="L42" s="809" t="n"/>
      <c r="M42" s="807">
        <f>IF(AND(H42=H41,L42-L41&lt;1.1,L42-L41&gt;0),L42-L41,0)</f>
        <v/>
      </c>
      <c r="N42" s="227" t="n"/>
      <c r="O42" s="195">
        <f>IF(K42=0,"-",K42/M42)</f>
        <v/>
      </c>
      <c r="P42" s="708" t="n"/>
      <c r="Q42" s="829" t="n"/>
      <c r="R42" s="800" t="n"/>
      <c r="S42" s="378" t="n"/>
      <c r="X42" s="378" t="n"/>
      <c r="Y42" s="76" t="n"/>
      <c r="Z42" s="77" t="n"/>
    </row>
    <row r="43" ht="32.25" customHeight="1">
      <c r="B43" s="230" t="n"/>
      <c r="C43" s="241" t="n"/>
      <c r="D43" s="231" t="n"/>
      <c r="E43" s="435" t="n"/>
      <c r="F43" s="143" t="n"/>
      <c r="G43" s="719" t="n"/>
      <c r="H43" s="718" t="n"/>
      <c r="I43" s="800" t="n"/>
      <c r="J43" s="184" t="n"/>
      <c r="K43" s="177">
        <f>IF(AND(H43=H42,J43-J42&lt;3000,J43-J42&gt;0),J43-J42,0)</f>
        <v/>
      </c>
      <c r="L43" s="809" t="n"/>
      <c r="M43" s="807">
        <f>IF(AND(H43=H42,L43-L42&lt;1.1,L43-L42&gt;0),L43-L42,0)</f>
        <v/>
      </c>
      <c r="N43" s="227" t="n"/>
      <c r="O43" s="195">
        <f>IF(K43=0,"-",K43/M43)</f>
        <v/>
      </c>
      <c r="P43" s="708" t="n"/>
      <c r="Q43" s="829" t="n"/>
      <c r="R43" s="800" t="n"/>
      <c r="S43" s="332" t="n"/>
      <c r="T43" s="332" t="n"/>
      <c r="U43" s="332" t="n"/>
      <c r="V43" s="332" t="n"/>
      <c r="W43" s="332" t="n"/>
      <c r="X43" s="332" t="n"/>
      <c r="Y43" s="333" t="n"/>
      <c r="Z43" s="334" t="n"/>
      <c r="AA43" s="332" t="n"/>
    </row>
    <row r="44" ht="32.25" customHeight="1">
      <c r="B44" s="230" t="n"/>
      <c r="C44" s="241" t="n"/>
      <c r="D44" s="231" t="n"/>
      <c r="E44" s="435" t="n"/>
      <c r="F44" s="143" t="n"/>
      <c r="G44" s="719" t="n"/>
      <c r="H44" s="718" t="n"/>
      <c r="I44" s="800" t="n"/>
      <c r="J44" s="184" t="n"/>
      <c r="K44" s="177">
        <f>IF(AND(H44=H43,J44-J43&lt;3000,J44-J43&gt;0),J44-J43,0)</f>
        <v/>
      </c>
      <c r="L44" s="809" t="n"/>
      <c r="M44" s="807">
        <f>IF(AND(H44=H43,L44-L43&lt;1.1,L44-L43&gt;0),L44-L43,0)</f>
        <v/>
      </c>
      <c r="N44" s="227" t="n"/>
      <c r="O44" s="195">
        <f>IF(K44=0,"-",K44/M44)</f>
        <v/>
      </c>
      <c r="P44" s="738" t="n"/>
      <c r="Q44" s="739" t="n"/>
      <c r="R44" s="740" t="n"/>
      <c r="S44" s="332" t="n"/>
      <c r="T44" s="332" t="n"/>
      <c r="U44" s="332" t="n"/>
      <c r="V44" s="332" t="n"/>
      <c r="W44" s="332" t="n"/>
      <c r="X44" s="332" t="n"/>
      <c r="Y44" s="333" t="n"/>
      <c r="Z44" s="334" t="n"/>
      <c r="AA44" s="332" t="n"/>
    </row>
    <row r="45" ht="32.25" customFormat="1" customHeight="1" s="347">
      <c r="B45" s="230" t="n"/>
      <c r="C45" s="241" t="n"/>
      <c r="D45" s="231" t="n"/>
      <c r="E45" s="231" t="n"/>
      <c r="F45" s="143" t="n"/>
      <c r="G45" s="719" t="n"/>
      <c r="H45" s="718" t="n"/>
      <c r="I45" s="800" t="n"/>
      <c r="J45" s="184" t="n"/>
      <c r="K45" s="177">
        <f>IF(AND(H45=H44,J45-J44&lt;3000,J45-J44&gt;0),J45-J44,0)</f>
        <v/>
      </c>
      <c r="L45" s="809" t="n"/>
      <c r="M45" s="807">
        <f>IF(AND(H45=H44,L45-L44&lt;1.1,L45-L44&gt;0),L45-L44,0)</f>
        <v/>
      </c>
      <c r="N45" s="227" t="n"/>
      <c r="O45" s="195">
        <f>IF(K45=0,"-",K45/M45)</f>
        <v/>
      </c>
      <c r="P45" s="708" t="n"/>
      <c r="Q45" s="829" t="n"/>
      <c r="R45" s="800" t="n"/>
      <c r="S45" s="347" t="n"/>
      <c r="X45" s="347" t="n"/>
      <c r="Y45" s="348" t="n"/>
      <c r="Z45" s="349" t="n"/>
    </row>
    <row r="46" ht="32.25" customHeight="1">
      <c r="B46" s="230" t="n"/>
      <c r="C46" s="241" t="n"/>
      <c r="D46" s="231" t="n"/>
      <c r="E46" s="231" t="n"/>
      <c r="F46" s="143" t="n"/>
      <c r="G46" s="719" t="n"/>
      <c r="H46" s="718" t="n"/>
      <c r="I46" s="800" t="n"/>
      <c r="J46" s="184" t="n"/>
      <c r="K46" s="287">
        <f>IF(AND(H46=H45,J46-J45&lt;3000,J46-J45&gt;0),J46-J45,0)</f>
        <v/>
      </c>
      <c r="L46" s="811" t="n"/>
      <c r="M46" s="812">
        <f>IF(AND(H46=H45,L46-L45&lt;1.1,L46-L45&gt;0),L46-L45,0)</f>
        <v/>
      </c>
      <c r="N46" s="227" t="n"/>
      <c r="O46" s="195">
        <f>IF(K46=0,"-",K46/M46)</f>
        <v/>
      </c>
      <c r="P46" s="708" t="n"/>
      <c r="Q46" s="829" t="n"/>
      <c r="R46" s="800" t="n"/>
      <c r="S46" s="378" t="n"/>
      <c r="X46" s="378" t="n"/>
      <c r="Y46" s="76" t="n"/>
      <c r="Z46" s="77" t="n"/>
    </row>
    <row r="47" ht="32.25" customHeight="1">
      <c r="B47" s="230" t="n"/>
      <c r="C47" s="241" t="n"/>
      <c r="D47" s="231" t="n"/>
      <c r="E47" s="231" t="n"/>
      <c r="F47" s="143" t="n"/>
      <c r="G47" s="719" t="n"/>
      <c r="H47" s="718" t="n"/>
      <c r="I47" s="800" t="n"/>
      <c r="J47" s="184" t="n"/>
      <c r="K47" s="287">
        <f>IF(AND(H47=H46,J47-J46&lt;3000,J47-J46&gt;0),J47-J46,0)</f>
        <v/>
      </c>
      <c r="L47" s="811" t="n"/>
      <c r="M47" s="812">
        <f>IF(AND(H47=H46,L47-L46&lt;1.1,L47-L46&gt;0),L47-L46,0)</f>
        <v/>
      </c>
      <c r="N47" s="227" t="n"/>
      <c r="O47" s="195">
        <f>IF(K47=0,"-",K47/M47)</f>
        <v/>
      </c>
      <c r="P47" s="708" t="n"/>
      <c r="Q47" s="829" t="n"/>
      <c r="R47" s="800" t="n"/>
      <c r="S47" s="378" t="n"/>
      <c r="X47" s="378" t="n"/>
      <c r="Y47" s="76" t="n"/>
      <c r="Z47" s="77" t="n"/>
    </row>
    <row r="48" ht="32.25" customHeight="1">
      <c r="B48" s="230" t="n"/>
      <c r="C48" s="241" t="n"/>
      <c r="D48" s="231" t="n"/>
      <c r="E48" s="231" t="n"/>
      <c r="F48" s="143" t="n"/>
      <c r="G48" s="719" t="n"/>
      <c r="H48" s="718" t="n"/>
      <c r="I48" s="800" t="n"/>
      <c r="J48" s="184" t="n"/>
      <c r="K48" s="287">
        <f>IF(AND(H48=H47,J48-J47&lt;3000,J48-J47&gt;0),J48-J47,0)</f>
        <v/>
      </c>
      <c r="L48" s="811" t="n"/>
      <c r="M48" s="812">
        <f>IF(AND(H48=H47,L48-L47&lt;1.1,L48-L47&gt;0),L48-L47,0)</f>
        <v/>
      </c>
      <c r="N48" s="227" t="n"/>
      <c r="O48" s="195">
        <f>IF(K48=0,"-",K48/M48)</f>
        <v/>
      </c>
      <c r="P48" s="708" t="n"/>
      <c r="Q48" s="829" t="n"/>
      <c r="R48" s="800" t="n"/>
      <c r="S48" s="378" t="n"/>
      <c r="X48" s="378" t="n"/>
      <c r="Y48" s="76" t="n"/>
      <c r="Z48" s="77" t="n"/>
    </row>
    <row r="49" ht="32.25" customHeight="1" thickBot="1">
      <c r="B49" s="306" t="n"/>
      <c r="C49" s="357" t="n"/>
      <c r="D49" s="308" t="n"/>
      <c r="E49" s="308" t="n"/>
      <c r="F49" s="389" t="n"/>
      <c r="G49" s="721" t="n"/>
      <c r="H49" s="720" t="n"/>
      <c r="I49" s="824" t="n"/>
      <c r="J49" s="240" t="n"/>
      <c r="K49" s="363">
        <f>IF(AND(H49=H48,J49-J48&lt;3000,J49-J48&gt;0),J49-J48,0)</f>
        <v/>
      </c>
      <c r="L49" s="872" t="n"/>
      <c r="M49" s="825">
        <f>IF(AND(H49=H48,L49-L48&lt;1.1,L49-L48&gt;0),L49-L48,0)</f>
        <v/>
      </c>
      <c r="N49" s="235" t="n"/>
      <c r="O49" s="721">
        <f>IF(K49=0,"-",K49/M49)</f>
        <v/>
      </c>
      <c r="P49" s="722" t="n"/>
      <c r="Q49" s="842" t="n"/>
      <c r="R49" s="824" t="n"/>
      <c r="S49" s="378" t="n"/>
      <c r="X49" s="378" t="n"/>
      <c r="Y49" s="76" t="n"/>
      <c r="Z49" s="77" t="n"/>
    </row>
    <row r="50" ht="17.25" customHeight="1" thickBot="1">
      <c r="H50" s="568" t="n"/>
      <c r="X50" s="378" t="n"/>
      <c r="Y50" s="76" t="n"/>
      <c r="Z50" s="77" t="n"/>
    </row>
    <row r="51" ht="30.4" customHeight="1" thickBot="1">
      <c r="B51" s="692" t="inlineStr">
        <is>
          <t>Qualité</t>
        </is>
      </c>
      <c r="C51" s="827" t="n"/>
      <c r="D51" s="693" t="inlineStr">
        <is>
          <t>Destination</t>
        </is>
      </c>
      <c r="E51" s="693" t="inlineStr">
        <is>
          <t>Tonnage brut</t>
        </is>
      </c>
      <c r="F51" s="827" t="n"/>
      <c r="G51" s="693" t="inlineStr">
        <is>
          <t>Tge S/M</t>
        </is>
      </c>
      <c r="H51" s="792" t="n"/>
      <c r="I51" s="827" t="n"/>
      <c r="J51" s="693" t="inlineStr">
        <is>
          <t>H.M</t>
        </is>
      </c>
      <c r="K51" s="693" t="inlineStr">
        <is>
          <t>T/H</t>
        </is>
      </c>
      <c r="L51" s="827" t="n"/>
      <c r="M51" s="568" t="n"/>
      <c r="N51" s="568" t="n"/>
      <c r="P51" s="67" t="inlineStr">
        <is>
          <t>Tonnage brut</t>
        </is>
      </c>
      <c r="Q51" s="68" t="inlineStr">
        <is>
          <t>HM</t>
        </is>
      </c>
      <c r="R51" s="69" t="inlineStr">
        <is>
          <t>T/H</t>
        </is>
      </c>
      <c r="S51" s="605" t="n"/>
      <c r="X51" s="378" t="n"/>
      <c r="Y51" s="76" t="n"/>
      <c r="Z51" s="77" t="n"/>
    </row>
    <row r="52" ht="32.25" customHeight="1">
      <c r="B52" s="828" t="inlineStr">
        <is>
          <t>TBT</t>
        </is>
      </c>
      <c r="C52" s="815" t="n"/>
      <c r="D52" s="256" t="inlineStr">
        <is>
          <t>PW-UD</t>
        </is>
      </c>
      <c r="E52" s="726">
        <f>SUMIFS('RP5 '!$K$17:$K$49,'RP5 '!$C$17:$C$49,'RP5 '!B52,'RP5 '!$F$17:$F$49,D52)</f>
        <v/>
      </c>
      <c r="F52" s="815" t="n"/>
      <c r="G52" s="727">
        <f>SUMIFS('RP5 '!$D$85:$D$118,'RP5 '!$B$85:$B$118,'RP5 '!D52,'RP5 '!$C$85:$C$118,'RP5 '!B52)*E52</f>
        <v/>
      </c>
      <c r="H52" s="866" t="n"/>
      <c r="I52" s="815" t="n"/>
      <c r="J52" s="876">
        <f>SUMIFS('RP5 '!$M$17:$M$49,'RP5 '!$C$17:$C$49,'RP5 '!B52,'RP5 '!$F$17:$F$49,D52)</f>
        <v/>
      </c>
      <c r="K52" s="877">
        <f>IF(E52=0,"-",E52/J52)</f>
        <v/>
      </c>
      <c r="L52" s="832" t="n"/>
      <c r="M52" s="10" t="n"/>
      <c r="N52" s="59" t="inlineStr">
        <is>
          <t>Poste</t>
        </is>
      </c>
      <c r="O52" s="64" t="n">
        <v>1</v>
      </c>
      <c r="P52" s="168">
        <f>SUMIFS('RP5 '!$K$17:$K$49,'RP5 '!$N$17:$N$49,O52)</f>
        <v/>
      </c>
      <c r="Q52" s="833">
        <f>SUMIFS('RP5 '!$M$17:$M$49,'RP5 '!$N$17:$N$49,O52)</f>
        <v/>
      </c>
      <c r="R52" s="169">
        <f>P52/Q52</f>
        <v/>
      </c>
      <c r="S52" s="11" t="n"/>
      <c r="X52" s="378" t="n"/>
      <c r="Y52" s="76" t="n"/>
      <c r="Z52" s="77" t="n"/>
    </row>
    <row r="53" ht="32.25" customHeight="1">
      <c r="B53" s="834" t="inlineStr">
        <is>
          <t>BT</t>
        </is>
      </c>
      <c r="C53" s="800" t="n"/>
      <c r="D53" s="256" t="inlineStr">
        <is>
          <t>PW-UD</t>
        </is>
      </c>
      <c r="E53" s="675">
        <f>SUMIFS('RP5 '!$K$17:$K$49,'RP5 '!$C$17:$C$49,'RP5 '!B53,'RP5 '!$F$17:$F$49,D53)</f>
        <v/>
      </c>
      <c r="F53" s="800" t="n"/>
      <c r="G53" s="725">
        <f>SUMIFS('RP5 '!$D$85:$D$118,'RP5 '!$B$85:$B$118,'RP5 '!D53,'RP5 '!$C$85:$C$118,'RP5 '!B53)*E53</f>
        <v/>
      </c>
      <c r="H53" s="829" t="n"/>
      <c r="I53" s="800" t="n"/>
      <c r="J53" s="879">
        <f>SUMIFS('RP5 '!$M$17:$M$49,'RP5 '!$C$17:$C$49,'RP5 '!B53,'RP5 '!$F$17:$F$49,D53)</f>
        <v/>
      </c>
      <c r="K53" s="880">
        <f>IF(E53=0,"-",E53/J53)</f>
        <v/>
      </c>
      <c r="L53" s="836" t="n"/>
      <c r="M53" s="10" t="n"/>
      <c r="N53" s="60" t="inlineStr">
        <is>
          <t>Poste</t>
        </is>
      </c>
      <c r="O53" s="65" t="n">
        <v>2</v>
      </c>
      <c r="P53" s="170">
        <f>SUMIFS('RP5 '!$K$17:$K$49,'RP5 '!$N$17:$N$49,O53)</f>
        <v/>
      </c>
      <c r="Q53" s="837">
        <f>SUMIFS('RP5 '!$M$17:$M$49,'RP5 '!$N$17:$N$49,O53)</f>
        <v/>
      </c>
      <c r="R53" s="171">
        <f>P53/Q53</f>
        <v/>
      </c>
      <c r="S53" s="11" t="n"/>
      <c r="X53" s="378" t="n"/>
      <c r="Y53" s="76" t="n"/>
      <c r="Z53" s="77" t="n"/>
    </row>
    <row r="54" ht="32.25" customHeight="1" thickBot="1">
      <c r="B54" s="834" t="n"/>
      <c r="C54" s="800" t="n"/>
      <c r="D54" s="256" t="n"/>
      <c r="E54" s="675">
        <f>SUMIFS('RP5 '!$K$17:$K$49,'RP5 '!$C$17:$C$49,'RP5 '!B54,'RP5 '!$F$17:$F$49,D54)</f>
        <v/>
      </c>
      <c r="F54" s="800" t="n"/>
      <c r="G54" s="725">
        <f>SUMIFS('RP5 '!$D$85:$D$118,'RP5 '!$B$85:$B$118,'RP5 '!D54,'RP5 '!$C$85:$C$118,'RP5 '!B54)*E54</f>
        <v/>
      </c>
      <c r="H54" s="829" t="n"/>
      <c r="I54" s="800" t="n"/>
      <c r="J54" s="879">
        <f>SUMIFS('RP5 '!$M$17:$M$49,'RP5 '!$C$17:$C$49,'RP5 '!B54,'RP5 '!$F$17:$F$49,D54)</f>
        <v/>
      </c>
      <c r="K54" s="880">
        <f>IF(E54=0,"-",E54/J54)</f>
        <v/>
      </c>
      <c r="L54" s="836" t="n"/>
      <c r="M54" s="10" t="n"/>
      <c r="N54" s="61" t="inlineStr">
        <is>
          <t>Poste</t>
        </is>
      </c>
      <c r="O54" s="66" t="n">
        <v>3</v>
      </c>
      <c r="P54" s="172">
        <f>SUMIFS('RP5 '!$K$17:$K$49,'RP5 '!$N$17:$N$49,O54)</f>
        <v/>
      </c>
      <c r="Q54" s="838">
        <f>SUMIFS('RP5 '!$M$17:$M$49,'RP5 '!$N$17:$N$49,O54)</f>
        <v/>
      </c>
      <c r="R54" s="173">
        <f>P54/Q54</f>
        <v/>
      </c>
      <c r="S54" s="11" t="n"/>
    </row>
    <row r="55" ht="32.25" customHeight="1">
      <c r="B55" s="834" t="n"/>
      <c r="C55" s="800" t="n"/>
      <c r="D55" s="138" t="n"/>
      <c r="E55" s="675">
        <f>SUMIFS('RP5 '!$K$17:$K$49,'RP5 '!$C$17:$C$49,'RP5 '!B55,'RP5 '!$F$17:$F$49,D55)</f>
        <v/>
      </c>
      <c r="F55" s="800" t="n"/>
      <c r="G55" s="725">
        <f>SUMIFS('RP5 '!$D$85:$D$118,'RP5 '!$B$85:$B$118,'RP5 '!D55,'RP5 '!$C$85:$C$118,'RP5 '!B55)*E55</f>
        <v/>
      </c>
      <c r="H55" s="829" t="n"/>
      <c r="I55" s="800" t="n"/>
      <c r="J55" s="879">
        <f>SUMIFS('RP5 '!$M$17:$M$49,'RP5 '!$C$17:$C$49,'RP5 '!B55,'RP5 '!$F$17:$F$49,D55)</f>
        <v/>
      </c>
      <c r="K55" s="880">
        <f>IF(E55=0,"-",E55/J55)</f>
        <v/>
      </c>
      <c r="L55" s="836" t="n"/>
      <c r="M55" s="10" t="n"/>
      <c r="N55" s="10" t="n"/>
      <c r="O55" s="605" t="n"/>
      <c r="S55" s="11" t="n"/>
    </row>
    <row r="56" ht="32.25" customHeight="1">
      <c r="B56" s="834" t="n"/>
      <c r="C56" s="800" t="n"/>
      <c r="D56" s="138" t="n"/>
      <c r="E56" s="675">
        <f>SUMIFS('RP5 '!$K$17:$K$49,'RP5 '!$C$17:$C$49,'RP5 '!B56,'RP5 '!$F$17:$F$49,D56)</f>
        <v/>
      </c>
      <c r="F56" s="800" t="n"/>
      <c r="G56" s="725">
        <f>SUMIFS('RP5 '!$D$85:$D$118,'RP5 '!$B$85:$B$118,'RP5 '!D56,'RP5 '!$C$85:$C$118,'RP5 '!B56)*E56</f>
        <v/>
      </c>
      <c r="H56" s="829" t="n"/>
      <c r="I56" s="800" t="n"/>
      <c r="J56" s="879">
        <f>SUMIFS('RP5 '!$M$17:$M$49,'RP5 '!$C$17:$C$49,'RP5 '!B56,'RP5 '!$F$17:$F$49,D56)</f>
        <v/>
      </c>
      <c r="K56" s="880">
        <f>IF(E56=0,"-",E56/J56)</f>
        <v/>
      </c>
      <c r="L56" s="836" t="n"/>
      <c r="M56" s="10" t="n"/>
      <c r="N56" s="10" t="n"/>
      <c r="O56" s="11" t="n"/>
      <c r="P56" s="11" t="n"/>
      <c r="Q56" s="11" t="n"/>
      <c r="R56" s="11" t="n"/>
      <c r="S56" s="11" t="n"/>
    </row>
    <row r="57" ht="32.25" customHeight="1">
      <c r="B57" s="834" t="n"/>
      <c r="C57" s="800" t="n"/>
      <c r="D57" s="138" t="n"/>
      <c r="E57" s="675">
        <f>SUMIFS('RP5 '!$K$17:$K$49,'RP5 '!$C$17:$C$49,'RP5 '!B57,'RP5 '!$F$17:$F$49,D57)</f>
        <v/>
      </c>
      <c r="F57" s="800" t="n"/>
      <c r="G57" s="725">
        <f>SUMIFS('RP5 '!$D$85:$D$118,'RP5 '!$B$85:$B$118,'RP5 '!D57,'RP5 '!$C$85:$C$118,'RP5 '!B57)*E57</f>
        <v/>
      </c>
      <c r="H57" s="829" t="n"/>
      <c r="I57" s="800" t="n"/>
      <c r="J57" s="879">
        <f>SUMIFS('RP5 '!$M$17:$M$49,'RP5 '!$C$17:$C$49,'RP5 '!B57,'RP5 '!$F$17:$F$49,D57)</f>
        <v/>
      </c>
      <c r="K57" s="880">
        <f>IF(E57=0,"-",E57/J57)</f>
        <v/>
      </c>
      <c r="L57" s="836" t="n"/>
      <c r="M57" s="10" t="n"/>
      <c r="N57" s="10" t="n"/>
      <c r="O57" s="11" t="n"/>
      <c r="P57" s="11" t="n"/>
      <c r="Q57" s="11" t="n"/>
      <c r="R57" s="11" t="n"/>
      <c r="S57" s="11" t="n"/>
    </row>
    <row r="58" ht="32.25" customHeight="1">
      <c r="B58" s="834" t="n"/>
      <c r="C58" s="800" t="n"/>
      <c r="D58" s="138" t="n"/>
      <c r="E58" s="675">
        <f>SUMIFS('RP5 '!$K$17:$K$49,'RP5 '!$C$17:$C$49,'RP5 '!B58,'RP5 '!$F$17:$F$49,D58)</f>
        <v/>
      </c>
      <c r="F58" s="800" t="n"/>
      <c r="G58" s="725">
        <f>SUMIFS('RP5 '!$D$85:$D$118,'RP5 '!$B$85:$B$118,'RP5 '!D58,'RP5 '!$C$85:$C$118,'RP5 '!B58)*E58</f>
        <v/>
      </c>
      <c r="H58" s="829" t="n"/>
      <c r="I58" s="800" t="n"/>
      <c r="J58" s="879">
        <f>SUMIFS('RP5 '!$M$17:$M$49,'RP5 '!$C$17:$C$49,'RP5 '!B58,'RP5 '!$F$17:$F$49,D58)</f>
        <v/>
      </c>
      <c r="K58" s="880">
        <f>IF(E58=0,"-",E58/J58)</f>
        <v/>
      </c>
      <c r="L58" s="836" t="n"/>
      <c r="M58" s="10" t="n"/>
      <c r="N58" s="10" t="n"/>
      <c r="O58" s="11" t="n"/>
      <c r="P58" s="11" t="n"/>
      <c r="Q58" s="11" t="n"/>
      <c r="R58" s="11" t="n"/>
      <c r="S58" s="11" t="n"/>
    </row>
    <row r="59" ht="32.25" customHeight="1" thickBot="1">
      <c r="B59" s="841" t="n"/>
      <c r="C59" s="824" t="n"/>
      <c r="D59" s="140" t="n"/>
      <c r="E59" s="728">
        <f>SUMIFS('RP5 '!$K$17:$K$49,'RP5 '!$C$17:$C$49,'RP5 '!B59,'RP5 '!$F$17:$F$49,D59)</f>
        <v/>
      </c>
      <c r="F59" s="824" t="n"/>
      <c r="G59" s="729">
        <f>SUMIFS('RP5 '!$D$85:$D$118,'RP5 '!$B$85:$B$118,'RP5 '!D59,'RP5 '!$C$85:$C$118,'RP5 '!B59)*E59</f>
        <v/>
      </c>
      <c r="H59" s="842" t="n"/>
      <c r="I59" s="824" t="n"/>
      <c r="J59" s="881">
        <f>SUMIFS('RP5 '!$M$17:$M$49,'RP5 '!$C$17:$C$49,'RP5 '!B59,'RP5 '!$F$17:$F$49,D59)</f>
        <v/>
      </c>
      <c r="K59" s="882">
        <f>IF(E59=0,"-",E59/J59)</f>
        <v/>
      </c>
      <c r="L59" s="845" t="n"/>
      <c r="P59" s="378" t="n"/>
      <c r="Q59" s="378" t="n"/>
      <c r="R59" s="378" t="n"/>
      <c r="S59" s="11" t="n"/>
    </row>
    <row r="60" ht="43.5" customHeight="1" thickBot="1">
      <c r="B60" s="846" t="inlineStr">
        <is>
          <t>Total</t>
        </is>
      </c>
      <c r="C60" s="792" t="n"/>
      <c r="D60" s="793" t="n"/>
      <c r="E60" s="847">
        <f>SUM(E52:F59)</f>
        <v/>
      </c>
      <c r="F60" s="793" t="n"/>
      <c r="G60" s="848">
        <f>SUM(G52:I59)</f>
        <v/>
      </c>
      <c r="H60" s="792" t="n"/>
      <c r="I60" s="793" t="n"/>
      <c r="J60" s="849">
        <f>SUM(J52:J59)</f>
        <v/>
      </c>
      <c r="K60" s="848">
        <f>E60/J60</f>
        <v/>
      </c>
      <c r="L60" s="793" t="n"/>
    </row>
    <row r="61" ht="13.5" customHeight="1" thickBot="1"/>
    <row r="62" ht="33.6" customHeight="1" thickBot="1">
      <c r="B62" s="616" t="n"/>
      <c r="C62" s="850" t="n"/>
      <c r="D62" s="618" t="inlineStr">
        <is>
          <t>Destination</t>
        </is>
      </c>
      <c r="E62" s="618" t="inlineStr">
        <is>
          <t>Tonnage brut</t>
        </is>
      </c>
      <c r="F62" s="793" t="n"/>
      <c r="G62" s="618" t="inlineStr">
        <is>
          <t>Tge S/M</t>
        </is>
      </c>
      <c r="H62" s="792" t="n"/>
      <c r="I62" s="793" t="n"/>
      <c r="J62" s="618" t="inlineStr">
        <is>
          <t>H.M</t>
        </is>
      </c>
      <c r="K62" s="618" t="inlineStr">
        <is>
          <t>T/H</t>
        </is>
      </c>
      <c r="L62" s="793" t="n"/>
    </row>
    <row r="63" ht="32.25" customHeight="1" thickBot="1">
      <c r="B63" s="612" t="n"/>
      <c r="C63" s="850" t="n"/>
      <c r="D63" s="155" t="inlineStr">
        <is>
          <t>PW-UD</t>
        </is>
      </c>
      <c r="E63" s="614">
        <f>SUMIFS('RP5 '!$E$52:$E$59,'RP5 '!$D$52:$D$59,D63)</f>
        <v/>
      </c>
      <c r="F63" s="793" t="n"/>
      <c r="G63" s="615">
        <f>SUMIFS('RP5 '!$G$52:$G$59,'RP5 '!$D$52:$D$59,D63)</f>
        <v/>
      </c>
      <c r="H63" s="792" t="n"/>
      <c r="I63" s="793" t="n"/>
      <c r="J63" s="851">
        <f>SUMIFS('RP5 '!$J$52:$J$59,'RP5 '!$D$52:$D$59,D63)</f>
        <v/>
      </c>
      <c r="K63" s="615">
        <f>IF(E63=0,"-",E63/J63)</f>
        <v/>
      </c>
      <c r="L63" s="793" t="n"/>
      <c r="M63" s="10" t="n"/>
      <c r="N63" s="10" t="n"/>
      <c r="O63" s="62" t="n"/>
      <c r="P63" s="63" t="n"/>
      <c r="Q63" s="63" t="n"/>
      <c r="R63" s="63" t="n"/>
      <c r="S63" s="11" t="n"/>
    </row>
    <row r="64" ht="32.25" customHeight="1" thickBot="1">
      <c r="B64" s="612" t="n"/>
      <c r="C64" s="850" t="n"/>
      <c r="D64" s="155" t="inlineStr">
        <is>
          <t>PW-UB</t>
        </is>
      </c>
      <c r="E64" s="614">
        <f>SUMIFS('RP5 '!$E$52:$E$59,'RP5 '!$D$52:$D$59,D64)</f>
        <v/>
      </c>
      <c r="F64" s="793" t="n"/>
      <c r="G64" s="615">
        <f>SUMIFS('RP5 '!$G$52:$G$59,'RP5 '!$D$52:$D$59,D64)</f>
        <v/>
      </c>
      <c r="H64" s="792" t="n"/>
      <c r="I64" s="793" t="n"/>
      <c r="J64" s="851">
        <f>SUMIFS('RP5 '!$J$52:$J$59,'RP5 '!$D$52:$D$59,D64)</f>
        <v/>
      </c>
      <c r="K64" s="615">
        <f>IF(E64=0,"-",E64/J64)</f>
        <v/>
      </c>
      <c r="L64" s="793" t="n"/>
      <c r="P64" s="378" t="n"/>
      <c r="Q64" s="378" t="n"/>
      <c r="R64" s="378" t="n"/>
      <c r="S64" s="11" t="n"/>
    </row>
    <row r="66">
      <c r="Q66" s="48" t="n"/>
      <c r="R66" s="49" t="n"/>
    </row>
    <row r="67">
      <c r="Q67" s="48" t="n"/>
      <c r="R67" s="49" t="n"/>
    </row>
    <row r="68" ht="27" customHeight="1" thickBot="1">
      <c r="D68" s="161" t="inlineStr">
        <is>
          <t>Global</t>
        </is>
      </c>
      <c r="Q68" s="50" t="n"/>
      <c r="R68" s="49" t="n"/>
    </row>
    <row r="69" ht="33" customHeight="1" thickBot="1">
      <c r="D69" s="618" t="inlineStr">
        <is>
          <t>Destination</t>
        </is>
      </c>
      <c r="E69" s="618" t="inlineStr">
        <is>
          <t>Tonnage brut</t>
        </is>
      </c>
      <c r="F69" s="793" t="n"/>
      <c r="G69" s="618" t="inlineStr">
        <is>
          <t>Tge S/M</t>
        </is>
      </c>
      <c r="H69" s="792" t="n"/>
      <c r="I69" s="793" t="n"/>
      <c r="J69" s="618" t="inlineStr">
        <is>
          <t>H.M</t>
        </is>
      </c>
      <c r="K69" s="618" t="inlineStr">
        <is>
          <t>T/H</t>
        </is>
      </c>
      <c r="L69" s="793" t="n"/>
      <c r="Q69" s="48" t="n"/>
      <c r="R69" s="49" t="n"/>
    </row>
    <row r="70" ht="34.5" customHeight="1" thickBot="1">
      <c r="D70" s="155" t="inlineStr">
        <is>
          <t>PW-UD</t>
        </is>
      </c>
      <c r="E70" s="614">
        <f>SUMIFS('RP5 '!$E$52:$E$59,'RP5 '!$D$52:$D$59,D70)+SUMIFS('RP3 '!$E$50:$E$57,'RP3 '!$D$50:$D$57,D70)</f>
        <v/>
      </c>
      <c r="F70" s="793" t="n"/>
      <c r="G70" s="615">
        <f>SUMIFS('RP5 '!$G$52:$G$59,'RP5 '!$D$52:$D$59,D70)+SUMIFS('RP3 '!$G$50:$G$57,'RP3 '!$D$50:$D$57,D70)</f>
        <v/>
      </c>
      <c r="H70" s="792" t="n"/>
      <c r="I70" s="793" t="n"/>
      <c r="J70" s="851">
        <f>SUMIFS('RP5 '!$J$52:$J$59,'RP5 '!$D$52:$D$59,D70)+SUMIFS('RP3 '!$J$50:$J$57,'RP3 '!$D$50:$D$57,D70)</f>
        <v/>
      </c>
      <c r="K70" s="615">
        <f>IF(E70=0,"-",E70/J70)</f>
        <v/>
      </c>
      <c r="L70" s="793" t="n"/>
      <c r="Q70" s="48" t="n"/>
      <c r="R70" s="49" t="n"/>
    </row>
    <row r="71" ht="34.5" customHeight="1" thickBot="1">
      <c r="D71" s="155" t="inlineStr">
        <is>
          <t>PW-UB</t>
        </is>
      </c>
      <c r="E71" s="614">
        <f>SUMIFS('RP5 '!$E$52:$E$59,'RP5 '!$D$52:$D$59,D71)+SUMIFS('RP3 '!$E$50:$E$57,'RP3 '!$D$50:$D$57,D71)</f>
        <v/>
      </c>
      <c r="F71" s="793" t="n"/>
      <c r="G71" s="615">
        <f>SUMIFS('RP5 '!$G$52:$G$59,'RP5 '!$D$52:$D$59,D71)+SUMIFS('RP3 '!$G$50:$G$57,'RP3 '!$D$50:$D$57,D71)</f>
        <v/>
      </c>
      <c r="H71" s="792" t="n"/>
      <c r="I71" s="793" t="n"/>
      <c r="J71" s="851">
        <f>SUMIFS('RP5 '!$J$52:$J$59,'RP5 '!$D$52:$D$59,D71)+SUMIFS('RP3 '!$J$50:$J$57,'RP3 '!$D$50:$D$57,D71)</f>
        <v/>
      </c>
      <c r="K71" s="615">
        <f>IF(E71=0,"-",E71/J71)</f>
        <v/>
      </c>
      <c r="L71" s="793" t="n"/>
      <c r="Q71" s="48" t="n"/>
      <c r="R71" s="49" t="n"/>
    </row>
    <row r="72">
      <c r="Q72" s="48" t="n"/>
      <c r="R72" s="51" t="n"/>
    </row>
    <row r="74" ht="15.75" customHeight="1">
      <c r="D74" s="47" t="n"/>
      <c r="E74" s="47" t="n"/>
      <c r="F74" s="47" t="n"/>
      <c r="G74" s="47" t="n"/>
      <c r="H74" s="47" t="n"/>
      <c r="I74" s="47" t="n"/>
      <c r="J74" s="47" t="n"/>
      <c r="K74" s="47" t="n"/>
    </row>
    <row r="75" ht="15.75" customHeight="1">
      <c r="D75" s="47" t="n"/>
      <c r="E75" s="47" t="n"/>
      <c r="F75" s="47" t="n"/>
      <c r="G75" s="47" t="n"/>
      <c r="H75" s="47" t="n"/>
      <c r="I75" s="47" t="n"/>
      <c r="J75" s="47" t="n"/>
      <c r="K75" s="47" t="n"/>
    </row>
    <row r="76" ht="15.75" customHeight="1">
      <c r="D76" s="47" t="n"/>
      <c r="E76" s="47" t="n"/>
      <c r="F76" s="47" t="n"/>
      <c r="G76" s="47" t="n"/>
      <c r="H76" s="47" t="n"/>
      <c r="I76" s="47" t="n"/>
      <c r="J76" s="47" t="n"/>
      <c r="K76" s="47" t="n"/>
    </row>
    <row r="77" ht="15.75" customHeight="1">
      <c r="D77" s="47" t="n"/>
      <c r="E77" s="47" t="n"/>
      <c r="F77" s="47" t="n"/>
      <c r="G77" s="47" t="n"/>
      <c r="H77" s="47" t="n"/>
      <c r="I77" s="47" t="n"/>
      <c r="J77" s="47" t="n"/>
      <c r="K77" s="47" t="n"/>
    </row>
    <row r="78" ht="15.75" customHeight="1">
      <c r="D78" s="47" t="n"/>
      <c r="E78" s="47" t="n"/>
      <c r="F78" s="47" t="n"/>
      <c r="G78" s="47" t="n"/>
      <c r="H78" s="47" t="n"/>
      <c r="I78" s="47" t="n"/>
      <c r="J78" s="47" t="n"/>
      <c r="K78" s="47" t="n"/>
    </row>
    <row r="84">
      <c r="B84" s="54" t="inlineStr">
        <is>
          <t>destination</t>
        </is>
      </c>
      <c r="C84" s="54" t="inlineStr">
        <is>
          <t>Qualité</t>
        </is>
      </c>
      <c r="D84" s="54" t="inlineStr">
        <is>
          <t>Coef</t>
        </is>
      </c>
    </row>
    <row r="85" hidden="1" ht="18" customHeight="1">
      <c r="B85" s="71" t="inlineStr">
        <is>
          <t>SC-PW</t>
        </is>
      </c>
      <c r="C85" s="52" t="inlineStr">
        <is>
          <t>BTR</t>
        </is>
      </c>
      <c r="D85" s="53" t="n">
        <v>0.62</v>
      </c>
    </row>
    <row r="86" hidden="1" ht="18" customHeight="1">
      <c r="B86" s="71" t="inlineStr">
        <is>
          <t>SC-PW</t>
        </is>
      </c>
      <c r="C86" s="52" t="inlineStr">
        <is>
          <t>BT</t>
        </is>
      </c>
      <c r="D86" s="53" t="n">
        <v>0.58</v>
      </c>
    </row>
    <row r="87" hidden="1" ht="18" customHeight="1">
      <c r="B87" s="71" t="inlineStr">
        <is>
          <t>SC-PW</t>
        </is>
      </c>
      <c r="C87" s="52" t="inlineStr">
        <is>
          <t>HTN</t>
        </is>
      </c>
      <c r="D87" s="53" t="n">
        <v>0.8</v>
      </c>
    </row>
    <row r="88" hidden="1" ht="18" customHeight="1">
      <c r="B88" s="71" t="inlineStr">
        <is>
          <t>SC-PW</t>
        </is>
      </c>
      <c r="C88" s="52" t="inlineStr">
        <is>
          <t>HTM</t>
        </is>
      </c>
      <c r="D88" s="53" t="n">
        <v>0.79</v>
      </c>
    </row>
    <row r="89" hidden="1" ht="18" customHeight="1">
      <c r="B89" s="71" t="inlineStr">
        <is>
          <t>SC-PW</t>
        </is>
      </c>
      <c r="C89" s="52" t="inlineStr">
        <is>
          <t>MT</t>
        </is>
      </c>
      <c r="D89" s="53" t="n">
        <v>0.78</v>
      </c>
    </row>
    <row r="90" hidden="1" ht="18" customHeight="1">
      <c r="B90" s="71" t="inlineStr">
        <is>
          <t>SC-PW</t>
        </is>
      </c>
      <c r="C90" s="52" t="inlineStr">
        <is>
          <t>TBT</t>
        </is>
      </c>
      <c r="D90" s="53" t="n">
        <v>0.55</v>
      </c>
    </row>
    <row r="91" hidden="1" ht="18" customHeight="1">
      <c r="B91" s="71" t="inlineStr">
        <is>
          <t>SC-PW</t>
        </is>
      </c>
      <c r="C91" s="52" t="inlineStr">
        <is>
          <t>THT</t>
        </is>
      </c>
      <c r="D91" s="53" t="n">
        <v>0.82</v>
      </c>
    </row>
    <row r="92" hidden="1" ht="18" customHeight="1">
      <c r="B92" s="71" t="inlineStr">
        <is>
          <t>TS-CRIBLAGE</t>
        </is>
      </c>
      <c r="C92" s="52" t="inlineStr">
        <is>
          <t>TBTTS</t>
        </is>
      </c>
      <c r="D92" s="53" t="n">
        <v>0.4</v>
      </c>
    </row>
    <row r="93" ht="18" customHeight="1">
      <c r="B93" s="71" t="inlineStr">
        <is>
          <t>PW-UB</t>
        </is>
      </c>
      <c r="C93" s="381" t="inlineStr">
        <is>
          <t>BTLSC</t>
        </is>
      </c>
      <c r="D93" s="379" t="n">
        <v>0.85</v>
      </c>
    </row>
    <row r="94" ht="18" customHeight="1">
      <c r="B94" s="71" t="inlineStr">
        <is>
          <t>PW-UB</t>
        </is>
      </c>
      <c r="C94" s="381" t="inlineStr">
        <is>
          <t>BTRLSC</t>
        </is>
      </c>
      <c r="D94" s="379" t="n">
        <v>0.84</v>
      </c>
    </row>
    <row r="95" ht="18" customHeight="1">
      <c r="B95" s="71" t="inlineStr">
        <is>
          <t>PW-UB</t>
        </is>
      </c>
      <c r="C95" s="381" t="inlineStr">
        <is>
          <t>MTLSC</t>
        </is>
      </c>
      <c r="D95" s="379" t="n">
        <v>0.85</v>
      </c>
    </row>
    <row r="96" ht="18" customHeight="1">
      <c r="B96" s="71" t="inlineStr">
        <is>
          <t>PW-UB</t>
        </is>
      </c>
      <c r="C96" s="381" t="inlineStr">
        <is>
          <t>HTMTLSC</t>
        </is>
      </c>
      <c r="D96" s="379" t="n">
        <v>0.85</v>
      </c>
    </row>
    <row r="97" ht="18" customHeight="1">
      <c r="B97" s="71" t="inlineStr">
        <is>
          <t>PW-UB</t>
        </is>
      </c>
      <c r="C97" s="381" t="inlineStr">
        <is>
          <t>TBTLSC</t>
        </is>
      </c>
      <c r="D97" s="379" t="n">
        <v>0.85</v>
      </c>
    </row>
    <row r="98" ht="18" customHeight="1">
      <c r="B98" s="71" t="inlineStr">
        <is>
          <t>PW-UB</t>
        </is>
      </c>
      <c r="C98" s="381" t="inlineStr">
        <is>
          <t>TBTLTS</t>
        </is>
      </c>
      <c r="D98" s="379" t="n">
        <v>0.85</v>
      </c>
    </row>
    <row r="99" ht="18" customHeight="1">
      <c r="B99" s="71" t="inlineStr">
        <is>
          <t>PW-UB</t>
        </is>
      </c>
      <c r="C99" s="381" t="inlineStr">
        <is>
          <t>BTLTS</t>
        </is>
      </c>
      <c r="D99" s="379" t="n">
        <v>0.83</v>
      </c>
    </row>
    <row r="100" ht="18" customHeight="1">
      <c r="B100" s="71" t="inlineStr">
        <is>
          <t>PW-UB</t>
        </is>
      </c>
      <c r="C100" s="381" t="inlineStr">
        <is>
          <t>HTMTS</t>
        </is>
      </c>
      <c r="D100" s="379" t="n">
        <v>0.84</v>
      </c>
    </row>
    <row r="101" ht="18" customHeight="1">
      <c r="B101" s="71" t="inlineStr">
        <is>
          <t>PW-UB</t>
        </is>
      </c>
      <c r="C101" s="381" t="inlineStr">
        <is>
          <t>BT</t>
        </is>
      </c>
      <c r="D101" s="379" t="n">
        <v>0.74</v>
      </c>
    </row>
    <row r="102" ht="18" customHeight="1">
      <c r="B102" s="71" t="inlineStr">
        <is>
          <t>PW-UB</t>
        </is>
      </c>
      <c r="C102" s="381" t="inlineStr">
        <is>
          <t>BTR</t>
        </is>
      </c>
      <c r="D102" s="379" t="n">
        <v>0.78</v>
      </c>
    </row>
    <row r="103" ht="18" customHeight="1">
      <c r="B103" s="71" t="inlineStr">
        <is>
          <t>PW-UB</t>
        </is>
      </c>
      <c r="C103" s="381" t="inlineStr">
        <is>
          <t>TBT</t>
        </is>
      </c>
      <c r="D103" s="379" t="n">
        <v>0.71</v>
      </c>
    </row>
    <row r="104" ht="18" customHeight="1">
      <c r="B104" s="71" t="inlineStr">
        <is>
          <t>PW-UB</t>
        </is>
      </c>
      <c r="C104" s="381" t="inlineStr">
        <is>
          <t>HTNLSC</t>
        </is>
      </c>
      <c r="D104" s="380" t="n">
        <v>0.83</v>
      </c>
    </row>
    <row r="105" ht="18" customHeight="1">
      <c r="B105" s="72" t="inlineStr">
        <is>
          <t>PW-UB</t>
        </is>
      </c>
      <c r="C105" s="382" t="inlineStr">
        <is>
          <t>HTN</t>
        </is>
      </c>
      <c r="D105" s="380" t="n">
        <v>0.76</v>
      </c>
    </row>
    <row r="106" ht="18" customHeight="1">
      <c r="B106" s="72" t="inlineStr">
        <is>
          <t>PW-UB</t>
        </is>
      </c>
      <c r="C106" s="382" t="inlineStr">
        <is>
          <t>HTM</t>
        </is>
      </c>
      <c r="D106" s="380" t="n">
        <v>0.79</v>
      </c>
    </row>
    <row r="107" ht="18" customHeight="1">
      <c r="B107" s="72" t="inlineStr">
        <is>
          <t>PW-UB</t>
        </is>
      </c>
      <c r="C107" s="382" t="inlineStr">
        <is>
          <t>MT</t>
        </is>
      </c>
      <c r="D107" s="380" t="n">
        <v>0.8</v>
      </c>
    </row>
    <row r="108" hidden="1" ht="18" customHeight="1">
      <c r="B108" s="72" t="inlineStr">
        <is>
          <t>SC-BA</t>
        </is>
      </c>
      <c r="C108" s="382" t="inlineStr">
        <is>
          <t>BTR</t>
        </is>
      </c>
      <c r="D108" s="380" t="n">
        <v>0.67</v>
      </c>
    </row>
    <row r="109" hidden="1" ht="18" customHeight="1">
      <c r="B109" s="72" t="inlineStr">
        <is>
          <t>SC-BA</t>
        </is>
      </c>
      <c r="C109" s="382" t="inlineStr">
        <is>
          <t>BT</t>
        </is>
      </c>
      <c r="D109" s="380" t="n">
        <v>0.5600000000000001</v>
      </c>
    </row>
    <row r="110" hidden="1" ht="18" customHeight="1">
      <c r="B110" s="72" t="inlineStr">
        <is>
          <t>SC-BA</t>
        </is>
      </c>
      <c r="C110" s="382" t="inlineStr">
        <is>
          <t>HTM</t>
        </is>
      </c>
      <c r="D110" s="380" t="n">
        <v>0.71</v>
      </c>
    </row>
    <row r="111" hidden="1" ht="18" customHeight="1">
      <c r="B111" s="72" t="inlineStr">
        <is>
          <t>SC-BA</t>
        </is>
      </c>
      <c r="C111" s="382" t="inlineStr">
        <is>
          <t>MT</t>
        </is>
      </c>
      <c r="D111" s="380" t="n">
        <v>0.6899999999999999</v>
      </c>
    </row>
    <row r="112" hidden="1" ht="18" customHeight="1">
      <c r="B112" s="72" t="inlineStr">
        <is>
          <t>SC-BA</t>
        </is>
      </c>
      <c r="C112" s="382" t="inlineStr">
        <is>
          <t>TBT</t>
        </is>
      </c>
      <c r="D112" s="380" t="n">
        <v>0.34</v>
      </c>
    </row>
    <row r="113" ht="18" customHeight="1">
      <c r="B113" s="72" t="inlineStr">
        <is>
          <t>PW-UD</t>
        </is>
      </c>
      <c r="C113" s="382" t="inlineStr">
        <is>
          <t>BTR</t>
        </is>
      </c>
      <c r="D113" s="380" t="n">
        <v>0.6</v>
      </c>
    </row>
    <row r="114" ht="18" customHeight="1">
      <c r="B114" s="72" t="inlineStr">
        <is>
          <t>PW-UD</t>
        </is>
      </c>
      <c r="C114" s="382" t="inlineStr">
        <is>
          <t>BT</t>
        </is>
      </c>
      <c r="D114" s="380" t="n">
        <v>0.5600000000000001</v>
      </c>
    </row>
    <row r="115" ht="18" customHeight="1">
      <c r="B115" s="72" t="inlineStr">
        <is>
          <t>PW-UD</t>
        </is>
      </c>
      <c r="C115" s="382" t="inlineStr">
        <is>
          <t>HTN</t>
        </is>
      </c>
      <c r="D115" s="380" t="n">
        <v>0.64</v>
      </c>
    </row>
    <row r="116" ht="18" customHeight="1">
      <c r="B116" s="72" t="inlineStr">
        <is>
          <t>PW-UD</t>
        </is>
      </c>
      <c r="C116" s="382" t="inlineStr">
        <is>
          <t>HTM</t>
        </is>
      </c>
      <c r="D116" s="380" t="n">
        <v>0.64</v>
      </c>
    </row>
    <row r="117" ht="18" customHeight="1">
      <c r="B117" s="72" t="inlineStr">
        <is>
          <t>PW-UD</t>
        </is>
      </c>
      <c r="C117" s="382" t="inlineStr">
        <is>
          <t>MT</t>
        </is>
      </c>
      <c r="D117" s="380" t="n">
        <v>0.64</v>
      </c>
    </row>
    <row r="118" ht="18" customHeight="1">
      <c r="B118" s="72" t="inlineStr">
        <is>
          <t>PW-UD</t>
        </is>
      </c>
      <c r="C118" s="382" t="inlineStr">
        <is>
          <t>TBT</t>
        </is>
      </c>
      <c r="D118" s="380" t="n">
        <v>0.49</v>
      </c>
    </row>
    <row r="119" ht="18" customHeight="1">
      <c r="B119" s="72" t="n"/>
      <c r="C119" s="73" t="n"/>
      <c r="D119" s="74" t="n"/>
    </row>
  </sheetData>
  <mergeCells count="143">
    <mergeCell ref="H35:I35"/>
    <mergeCell ref="B60:D60"/>
    <mergeCell ref="P49:R49"/>
    <mergeCell ref="P27:R27"/>
    <mergeCell ref="E62:F62"/>
    <mergeCell ref="B13:R14"/>
    <mergeCell ref="P36:R36"/>
    <mergeCell ref="E71:F71"/>
    <mergeCell ref="G62:I62"/>
    <mergeCell ref="E64:F64"/>
    <mergeCell ref="H39:I39"/>
    <mergeCell ref="E51:F51"/>
    <mergeCell ref="P19:R19"/>
    <mergeCell ref="P28:R28"/>
    <mergeCell ref="E63:F63"/>
    <mergeCell ref="P37:R37"/>
    <mergeCell ref="G63:I63"/>
    <mergeCell ref="K58:L58"/>
    <mergeCell ref="P30:R30"/>
    <mergeCell ref="K52:L52"/>
    <mergeCell ref="H45:I45"/>
    <mergeCell ref="H37:I37"/>
    <mergeCell ref="G52:I52"/>
    <mergeCell ref="P38:R38"/>
    <mergeCell ref="B55:C55"/>
    <mergeCell ref="K53:L53"/>
    <mergeCell ref="B64:C64"/>
    <mergeCell ref="B51:C51"/>
    <mergeCell ref="P40:R40"/>
    <mergeCell ref="E53:F53"/>
    <mergeCell ref="H23:I23"/>
    <mergeCell ref="B63:C63"/>
    <mergeCell ref="O55:R55"/>
    <mergeCell ref="K69:L69"/>
    <mergeCell ref="I6:J6"/>
    <mergeCell ref="E55:F55"/>
    <mergeCell ref="G69:I69"/>
    <mergeCell ref="H41:I41"/>
    <mergeCell ref="F6:G6"/>
    <mergeCell ref="H50:I50"/>
    <mergeCell ref="K55:L55"/>
    <mergeCell ref="M6:O6"/>
    <mergeCell ref="K64:L64"/>
    <mergeCell ref="P16:R16"/>
    <mergeCell ref="H34:I34"/>
    <mergeCell ref="H25:I25"/>
    <mergeCell ref="K51:L51"/>
    <mergeCell ref="K63:L63"/>
    <mergeCell ref="H49:I49"/>
    <mergeCell ref="G55:I55"/>
    <mergeCell ref="P18:R18"/>
    <mergeCell ref="G64:I64"/>
    <mergeCell ref="H36:I36"/>
    <mergeCell ref="G51:I51"/>
    <mergeCell ref="B53:C53"/>
    <mergeCell ref="K56:L56"/>
    <mergeCell ref="H17:I17"/>
    <mergeCell ref="G54:I54"/>
    <mergeCell ref="K62:L62"/>
    <mergeCell ref="Q15:R15"/>
    <mergeCell ref="H19:I19"/>
    <mergeCell ref="P45:R45"/>
    <mergeCell ref="G56:I56"/>
    <mergeCell ref="H28:I28"/>
    <mergeCell ref="P20:R20"/>
    <mergeCell ref="P29:R29"/>
    <mergeCell ref="G71:I71"/>
    <mergeCell ref="H48:I48"/>
    <mergeCell ref="P22:R22"/>
    <mergeCell ref="P31:R31"/>
    <mergeCell ref="K6:L6"/>
    <mergeCell ref="E58:F58"/>
    <mergeCell ref="P21:R21"/>
    <mergeCell ref="B54:C54"/>
    <mergeCell ref="H38:I38"/>
    <mergeCell ref="C2:D3"/>
    <mergeCell ref="G53:I53"/>
    <mergeCell ref="H43:I43"/>
    <mergeCell ref="P48:R48"/>
    <mergeCell ref="E52:F52"/>
    <mergeCell ref="P23:R23"/>
    <mergeCell ref="H31:I31"/>
    <mergeCell ref="B56:C56"/>
    <mergeCell ref="K54:L54"/>
    <mergeCell ref="H40:I40"/>
    <mergeCell ref="E8:R8"/>
    <mergeCell ref="B58:C58"/>
    <mergeCell ref="K60:L60"/>
    <mergeCell ref="B52:C52"/>
    <mergeCell ref="G58:I58"/>
    <mergeCell ref="H21:I21"/>
    <mergeCell ref="E69:F69"/>
    <mergeCell ref="P43:R43"/>
    <mergeCell ref="B57:C57"/>
    <mergeCell ref="E59:F59"/>
    <mergeCell ref="E9:R9"/>
    <mergeCell ref="P33:R33"/>
    <mergeCell ref="H16:I16"/>
    <mergeCell ref="P42:R42"/>
    <mergeCell ref="Q6:R6"/>
    <mergeCell ref="K71:L71"/>
    <mergeCell ref="H22:I22"/>
    <mergeCell ref="P35:R35"/>
    <mergeCell ref="E70:F70"/>
    <mergeCell ref="E57:F57"/>
    <mergeCell ref="E54:F54"/>
    <mergeCell ref="P25:R25"/>
    <mergeCell ref="G70:I70"/>
    <mergeCell ref="H42:I42"/>
    <mergeCell ref="K57:L57"/>
    <mergeCell ref="E56:F56"/>
    <mergeCell ref="H30:I30"/>
    <mergeCell ref="B62:C62"/>
    <mergeCell ref="H20:I20"/>
    <mergeCell ref="P46:R46"/>
    <mergeCell ref="G57:I57"/>
    <mergeCell ref="B59:C59"/>
    <mergeCell ref="H29:I29"/>
    <mergeCell ref="P39:R39"/>
    <mergeCell ref="H44:I44"/>
    <mergeCell ref="P32:R32"/>
    <mergeCell ref="H46:I46"/>
    <mergeCell ref="P47:R47"/>
    <mergeCell ref="E60:F60"/>
    <mergeCell ref="K59:L59"/>
    <mergeCell ref="P24:R24"/>
    <mergeCell ref="G60:I60"/>
    <mergeCell ref="H32:I32"/>
    <mergeCell ref="B10:C10"/>
    <mergeCell ref="H47:I47"/>
    <mergeCell ref="G59:I59"/>
    <mergeCell ref="K70:L70"/>
    <mergeCell ref="P26:R26"/>
    <mergeCell ref="H27:I27"/>
    <mergeCell ref="C4:D5"/>
    <mergeCell ref="B8:C9"/>
    <mergeCell ref="F10:Q10"/>
    <mergeCell ref="P41:R41"/>
    <mergeCell ref="H24:I24"/>
    <mergeCell ref="H18:I18"/>
    <mergeCell ref="H33:I33"/>
    <mergeCell ref="P34:R34"/>
    <mergeCell ref="H26:I26"/>
  </mergeCells>
  <dataValidations count="2">
    <dataValidation sqref="B63:C64" showDropDown="0" showInputMessage="1" showErrorMessage="1" allowBlank="0" type="list">
      <formula1>$A$2:$A$15</formula1>
    </dataValidation>
    <dataValidation sqref="D63:D64 D70:D71" showDropDown="0" showInputMessage="1" showErrorMessage="1" allowBlank="0" type="list">
      <formula1>$A$2:$A$10</formula1>
    </dataValidation>
  </dataValidations>
  <printOptions horizontalCentered="1" verticalCentered="1"/>
  <pageMargins left="0" right="0.1968503937007874" top="0" bottom="0" header="0" footer="0"/>
  <pageSetup orientation="landscape" paperSize="9" scale="33" horizontalDpi="180" verticalDpi="180"/>
</worksheet>
</file>

<file path=xl/worksheets/sheet5.xml><?xml version="1.0" encoding="utf-8"?>
<worksheet xmlns="http://schemas.openxmlformats.org/spreadsheetml/2006/main">
  <sheetPr codeName="Feuil5">
    <tabColor theme="9" tint="0.3999755851924192"/>
    <outlinePr summaryBelow="1" summaryRight="1"/>
    <pageSetUpPr fitToPage="1"/>
  </sheetPr>
  <dimension ref="A2:Z112"/>
  <sheetViews>
    <sheetView showGridLines="0" zoomScale="70" zoomScaleNormal="70" zoomScaleSheetLayoutView="55" workbookViewId="0">
      <selection activeCell="B17" sqref="B17"/>
    </sheetView>
  </sheetViews>
  <sheetFormatPr baseColWidth="8" defaultColWidth="11.25" defaultRowHeight="12.75"/>
  <cols>
    <col width="3.625" customWidth="1" style="378" min="1" max="1"/>
    <col width="31.25" bestFit="1" customWidth="1" style="378" min="2" max="2"/>
    <col width="23.625" customWidth="1" style="378" min="3" max="3"/>
    <col width="24.5" customWidth="1" style="378" min="4" max="4"/>
    <col width="28.625" customWidth="1" style="378" min="5" max="5"/>
    <col width="30.375" customWidth="1" style="378" min="6" max="6"/>
    <col width="17.625" customWidth="1" style="378" min="7" max="7"/>
    <col width="7.75" customWidth="1" style="378" min="8" max="8"/>
    <col width="9.875" customWidth="1" style="378" min="9" max="9"/>
    <col width="26.25" customWidth="1" style="378" min="10" max="10"/>
    <col width="18.25" customWidth="1" style="378" min="11" max="11"/>
    <col width="20.375" customWidth="1" style="378" min="12" max="12"/>
    <col width="18.375" customWidth="1" style="378" min="13" max="14"/>
    <col width="12.25" customWidth="1" style="378" min="15" max="15"/>
    <col width="23.75" customWidth="1" style="378" min="16" max="16"/>
    <col width="16.25" customWidth="1" style="378" min="17" max="17"/>
    <col width="20.125" customWidth="1" style="378" min="18" max="18"/>
    <col width="5.75" customWidth="1" style="378" min="19" max="19"/>
    <col width="11.25" customWidth="1" style="378" min="20" max="22"/>
    <col width="11.25" customWidth="1" style="378" min="23" max="16384"/>
  </cols>
  <sheetData>
    <row r="1" ht="18.75" customHeight="1" thickBot="1"/>
    <row r="2" ht="34.5" customHeight="1" thickBot="1">
      <c r="B2" s="19" t="n"/>
      <c r="C2" s="571">
        <f>TODAY()</f>
        <v/>
      </c>
      <c r="E2" s="26" t="n"/>
      <c r="F2" s="26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  <c r="P2" s="19" t="n"/>
      <c r="Q2" s="19" t="n"/>
      <c r="R2" s="20" t="n"/>
      <c r="S2" s="28" t="n"/>
    </row>
    <row r="3" ht="34.5" customHeight="1" thickBot="1">
      <c r="B3" s="19" t="n"/>
      <c r="E3" s="26" t="n"/>
      <c r="F3" s="26" t="n"/>
      <c r="G3" s="21" t="n"/>
      <c r="H3" s="19" t="n"/>
      <c r="I3" s="19" t="n"/>
      <c r="J3" s="19" t="n"/>
      <c r="K3" s="19" t="n"/>
      <c r="L3" s="19" t="n"/>
      <c r="M3" s="19" t="n"/>
      <c r="N3" s="19" t="n"/>
      <c r="O3" s="19" t="n"/>
      <c r="P3" s="22" t="n"/>
      <c r="Q3" s="21" t="n"/>
      <c r="R3" s="20" t="n"/>
      <c r="S3" s="28" t="n"/>
    </row>
    <row r="4" ht="34.5" customHeight="1" thickBot="1">
      <c r="B4" s="19" t="n"/>
      <c r="C4" s="789">
        <f>NOW()</f>
        <v/>
      </c>
      <c r="E4" s="26" t="n"/>
      <c r="F4" s="26" t="n"/>
      <c r="G4" s="21" t="n"/>
      <c r="H4" s="19" t="n"/>
      <c r="I4" s="19" t="n"/>
      <c r="J4" s="19" t="n"/>
      <c r="K4" s="19" t="n"/>
      <c r="L4" s="19" t="n"/>
      <c r="M4" s="19" t="n"/>
      <c r="N4" s="19" t="n"/>
      <c r="O4" s="19" t="n"/>
      <c r="P4" s="22" t="n"/>
      <c r="Q4" s="21" t="n"/>
      <c r="R4" s="20" t="n"/>
      <c r="S4" s="28" t="n"/>
    </row>
    <row r="5" ht="34.5" customHeight="1" thickBot="1">
      <c r="B5" s="19" t="n"/>
      <c r="E5" s="26" t="n"/>
      <c r="F5" s="26" t="n"/>
      <c r="G5" s="21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  <c r="R5" s="20" t="n"/>
      <c r="S5" s="28" t="n"/>
    </row>
    <row r="6" ht="34.5" customHeight="1">
      <c r="B6" s="19" t="n"/>
      <c r="C6" s="24" t="n"/>
      <c r="D6" s="25" t="n"/>
      <c r="E6" s="26" t="n"/>
      <c r="F6" s="573" t="inlineStr">
        <is>
          <t>Fin</t>
        </is>
      </c>
      <c r="H6" s="574" t="inlineStr">
        <is>
          <t>Durée</t>
        </is>
      </c>
      <c r="I6" s="574" t="inlineStr">
        <is>
          <t>Type d'arrêt</t>
        </is>
      </c>
      <c r="K6" s="574" t="inlineStr">
        <is>
          <t>Zone</t>
        </is>
      </c>
      <c r="M6" s="574" t="inlineStr">
        <is>
          <t>Equipement</t>
        </is>
      </c>
      <c r="P6" s="574" t="n"/>
      <c r="Q6" s="574" t="n"/>
      <c r="S6" s="29" t="n"/>
    </row>
    <row r="7" ht="18.75" customHeight="1" thickBot="1"/>
    <row r="8" ht="36" customHeight="1" thickBot="1">
      <c r="A8" s="5" t="n"/>
      <c r="B8" s="790" t="n"/>
      <c r="C8" s="791" t="n"/>
      <c r="D8" s="38" t="inlineStr">
        <is>
          <t>Formulaire</t>
        </is>
      </c>
      <c r="E8" s="593" t="inlineStr">
        <is>
          <t>PRL-LA-IT-06-F-02</t>
        </is>
      </c>
      <c r="F8" s="792" t="n"/>
      <c r="G8" s="792" t="n"/>
      <c r="H8" s="792" t="n"/>
      <c r="I8" s="792" t="n"/>
      <c r="J8" s="792" t="n"/>
      <c r="K8" s="792" t="n"/>
      <c r="L8" s="792" t="n"/>
      <c r="M8" s="792" t="n"/>
      <c r="N8" s="792" t="n"/>
      <c r="O8" s="792" t="n"/>
      <c r="P8" s="792" t="n"/>
      <c r="Q8" s="792" t="n"/>
      <c r="R8" s="793" t="n"/>
    </row>
    <row r="9" ht="38.25" customHeight="1" thickBot="1">
      <c r="A9" s="5" t="n"/>
      <c r="B9" s="794" t="n"/>
      <c r="C9" s="795" t="n"/>
      <c r="D9" s="38" t="inlineStr">
        <is>
          <t>Entité</t>
        </is>
      </c>
      <c r="E9" s="594" t="inlineStr">
        <is>
          <t>Entités de Traitement de Site de Khouribga</t>
        </is>
      </c>
      <c r="F9" s="792" t="n"/>
      <c r="G9" s="792" t="n"/>
      <c r="H9" s="792" t="n"/>
      <c r="I9" s="792" t="n"/>
      <c r="J9" s="792" t="n"/>
      <c r="K9" s="792" t="n"/>
      <c r="L9" s="792" t="n"/>
      <c r="M9" s="792" t="n"/>
      <c r="N9" s="792" t="n"/>
      <c r="O9" s="792" t="n"/>
      <c r="P9" s="792" t="n"/>
      <c r="Q9" s="792" t="n"/>
      <c r="R9" s="793" t="n"/>
    </row>
    <row r="10" ht="38.25" customHeight="1" thickBot="1">
      <c r="A10" s="5" t="n"/>
      <c r="B10" s="796" t="inlineStr">
        <is>
          <t>DIRECTION EXECUTIVE
OPERATIONSINDUSTRIELLES
DIRECTION DE SITE  DE KHOURIBGA</t>
        </is>
      </c>
      <c r="C10" s="797" t="n"/>
      <c r="D10" s="38" t="inlineStr">
        <is>
          <t>Version</t>
        </is>
      </c>
      <c r="E10" s="593" t="n">
        <v>5</v>
      </c>
      <c r="F10" s="594" t="inlineStr">
        <is>
          <t xml:space="preserve">Applicable le </t>
        </is>
      </c>
      <c r="G10" s="792" t="n"/>
      <c r="H10" s="792" t="n"/>
      <c r="I10" s="792" t="n"/>
      <c r="J10" s="792" t="n"/>
      <c r="K10" s="792" t="n"/>
      <c r="L10" s="792" t="n"/>
      <c r="M10" s="792" t="n"/>
      <c r="N10" s="792" t="n"/>
      <c r="O10" s="792" t="n"/>
      <c r="P10" s="792" t="n"/>
      <c r="Q10" s="793" t="n"/>
      <c r="R10" s="37" t="n">
        <v>45000</v>
      </c>
    </row>
    <row r="11" ht="26.25" customHeight="1">
      <c r="A11" s="5" t="n"/>
      <c r="B11" s="32" t="inlineStr">
        <is>
          <t>OIK/BD/E- 428</t>
        </is>
      </c>
      <c r="C11" s="30" t="n"/>
      <c r="D11" s="31" t="n"/>
    </row>
    <row r="12" ht="5.25" customHeight="1"/>
    <row r="13" ht="24" customHeight="1">
      <c r="B13" s="583" t="inlineStr">
        <is>
          <t>Titre: Rapport de tonnage</t>
        </is>
      </c>
    </row>
    <row r="14" ht="21" customHeight="1">
      <c r="A14" s="6" t="n"/>
    </row>
    <row r="15" ht="33.75" customHeight="1" thickBot="1">
      <c r="A15" s="7" t="n"/>
      <c r="B15" s="166" t="inlineStr">
        <is>
          <t>Installation : RTPTS</t>
        </is>
      </c>
      <c r="C15" s="39" t="n"/>
      <c r="E15" s="36" t="n"/>
      <c r="J15" s="34" t="n"/>
      <c r="K15" s="34" t="n"/>
      <c r="P15" s="70" t="inlineStr">
        <is>
          <t>Journée du :</t>
        </is>
      </c>
      <c r="Q15" s="584">
        <f>'RPT1'!Q15:R15</f>
        <v/>
      </c>
    </row>
    <row r="16" ht="42.75" customFormat="1" customHeight="1" s="40" thickBot="1">
      <c r="B16" s="67" t="inlineStr">
        <is>
          <t>Heures</t>
        </is>
      </c>
      <c r="C16" s="68" t="inlineStr">
        <is>
          <t>Qualité</t>
        </is>
      </c>
      <c r="D16" s="68" t="inlineStr">
        <is>
          <t>Code</t>
        </is>
      </c>
      <c r="E16" s="68" t="inlineStr">
        <is>
          <t>Repère déstockage</t>
        </is>
      </c>
      <c r="F16" s="68" t="inlineStr">
        <is>
          <t>Destination</t>
        </is>
      </c>
      <c r="G16" s="68" t="inlineStr">
        <is>
          <t>Repère stockage</t>
        </is>
      </c>
      <c r="H16" s="798" t="inlineStr">
        <is>
          <t>Bascule
(T1)*</t>
        </is>
      </c>
      <c r="I16" s="799" t="n"/>
      <c r="J16" s="68" t="inlineStr">
        <is>
          <t>Index bascule</t>
        </is>
      </c>
      <c r="K16" s="83" t="inlineStr">
        <is>
          <t>Tonnage</t>
        </is>
      </c>
      <c r="L16" s="68" t="inlineStr">
        <is>
          <t>Index horaire
T1</t>
        </is>
      </c>
      <c r="M16" s="83" t="inlineStr">
        <is>
          <t>HM</t>
        </is>
      </c>
      <c r="N16" s="68" t="inlineStr">
        <is>
          <t>POSTE</t>
        </is>
      </c>
      <c r="O16" s="83" t="inlineStr">
        <is>
          <t>T/H</t>
        </is>
      </c>
      <c r="P16" s="69" t="inlineStr">
        <is>
          <t>Sous vitesses/Causes marche à vide</t>
        </is>
      </c>
      <c r="Q16" s="792" t="n"/>
      <c r="R16" s="793" t="n"/>
      <c r="S16" s="41" t="n"/>
    </row>
    <row r="17" ht="32.25" customFormat="1" customHeight="1" s="332">
      <c r="B17" s="400" t="n"/>
      <c r="C17" s="398" t="n"/>
      <c r="D17" s="705" t="n"/>
      <c r="E17" s="399" t="n"/>
      <c r="F17" s="488" t="n"/>
      <c r="G17" s="705" t="n"/>
      <c r="H17" s="704" t="n"/>
      <c r="I17" s="800" t="n"/>
      <c r="J17" s="489" t="n"/>
      <c r="K17" s="405" t="n"/>
      <c r="L17" s="801" t="n"/>
      <c r="M17" s="802" t="n"/>
      <c r="N17" s="409" t="n"/>
      <c r="O17" s="407">
        <f>IF(K17=0,"-",K17/M17)</f>
        <v/>
      </c>
      <c r="P17" s="711" t="n"/>
      <c r="Q17" s="829" t="n"/>
      <c r="R17" s="836" t="n"/>
      <c r="S17" s="332" t="n"/>
      <c r="X17" s="354" t="n"/>
      <c r="Y17" s="354" t="n"/>
      <c r="Z17" s="354" t="n"/>
    </row>
    <row r="18" ht="32.25" customHeight="1">
      <c r="B18" s="297" t="n"/>
      <c r="C18" s="480" t="n"/>
      <c r="D18" s="485" t="n"/>
      <c r="E18" s="304" t="n"/>
      <c r="F18" s="482" t="n"/>
      <c r="G18" s="485" t="n"/>
      <c r="H18" s="806" t="n"/>
      <c r="I18" s="800" t="n"/>
      <c r="J18" s="483" t="n"/>
      <c r="K18" s="287">
        <f>IF(AND(H18=H17,J18-J17&gt;0),J18-J17,0)</f>
        <v/>
      </c>
      <c r="L18" s="811" t="n"/>
      <c r="M18" s="812">
        <f>IF(AND(H18=H17,L18-L17&lt;1.1,L18-L17&gt;0),L18-L17,0)</f>
        <v/>
      </c>
      <c r="N18" s="292" t="n"/>
      <c r="O18" s="293">
        <f>IF(K18=0,"-",K18/M18)</f>
        <v/>
      </c>
      <c r="P18" s="870" t="n"/>
      <c r="Q18" s="829" t="n"/>
      <c r="R18" s="836" t="n"/>
      <c r="S18" s="378" t="n"/>
      <c r="X18" s="378" t="n"/>
      <c r="Y18" s="76" t="n"/>
      <c r="Z18" s="77" t="n"/>
    </row>
    <row r="19" ht="32.25" customHeight="1">
      <c r="B19" s="297" t="n"/>
      <c r="C19" s="480" t="n"/>
      <c r="D19" s="485" t="n"/>
      <c r="E19" s="304" t="n"/>
      <c r="F19" s="482" t="n"/>
      <c r="G19" s="485" t="n"/>
      <c r="H19" s="806" t="n"/>
      <c r="I19" s="800" t="n"/>
      <c r="J19" s="483" t="n"/>
      <c r="K19" s="287">
        <f>IF(AND(H19=H18,J19-J18&gt;0),J19-J18,0)</f>
        <v/>
      </c>
      <c r="L19" s="811" t="n"/>
      <c r="M19" s="812">
        <f>IF(AND(H19=H18,L19-L18&lt;1.1,L19-L18&gt;0),L19-L18,0)</f>
        <v/>
      </c>
      <c r="N19" s="292" t="n"/>
      <c r="O19" s="293">
        <f>IF(K19=0,"-",K19/M19)</f>
        <v/>
      </c>
      <c r="P19" s="870" t="n"/>
      <c r="Q19" s="829" t="n"/>
      <c r="R19" s="836" t="n"/>
      <c r="S19" s="378" t="n"/>
      <c r="X19" s="378" t="n"/>
      <c r="Y19" s="76" t="n"/>
      <c r="Z19" s="77" t="n"/>
    </row>
    <row r="20" ht="32.25" customHeight="1">
      <c r="B20" s="297" t="n"/>
      <c r="C20" s="480" t="n"/>
      <c r="D20" s="485" t="n"/>
      <c r="E20" s="304" t="n"/>
      <c r="F20" s="482" t="n"/>
      <c r="G20" s="485" t="n"/>
      <c r="H20" s="806" t="n"/>
      <c r="I20" s="800" t="n"/>
      <c r="J20" s="483" t="n"/>
      <c r="K20" s="287">
        <f>IF(AND(H20=H19,J20-J19&gt;0),J20-J19,0)</f>
        <v/>
      </c>
      <c r="L20" s="811" t="n"/>
      <c r="M20" s="812">
        <f>IF(AND(H20=H19,L20-L19&lt;1.1,L20-L19&gt;0),L20-L19,0)</f>
        <v/>
      </c>
      <c r="N20" s="292" t="n"/>
      <c r="O20" s="293">
        <f>IF(K20=0,"-",K20/M20)</f>
        <v/>
      </c>
      <c r="P20" s="870" t="n"/>
      <c r="Q20" s="829" t="n"/>
      <c r="R20" s="836" t="n"/>
      <c r="S20" s="378" t="n"/>
      <c r="X20" s="378" t="n"/>
      <c r="Y20" s="76" t="n"/>
      <c r="Z20" s="77" t="n"/>
    </row>
    <row r="21" ht="32.25" customHeight="1">
      <c r="B21" s="297" t="n"/>
      <c r="C21" s="480" t="n"/>
      <c r="D21" s="485" t="n"/>
      <c r="E21" s="304" t="n"/>
      <c r="F21" s="482" t="n"/>
      <c r="G21" s="485" t="n"/>
      <c r="H21" s="806" t="n"/>
      <c r="I21" s="800" t="n"/>
      <c r="J21" s="483" t="n"/>
      <c r="K21" s="287">
        <f>IF(AND(H21=H20,J21-J20&gt;0),J21-J20,0)</f>
        <v/>
      </c>
      <c r="L21" s="811" t="n"/>
      <c r="M21" s="812">
        <f>IF(AND(H21=H20,L21-L20&lt;1.1,L21-L20&gt;0),L21-L20,0)</f>
        <v/>
      </c>
      <c r="N21" s="292" t="n"/>
      <c r="O21" s="293">
        <f>IF(K21=0,"-",K21/M21)</f>
        <v/>
      </c>
      <c r="P21" s="870" t="n"/>
      <c r="Q21" s="829" t="n"/>
      <c r="R21" s="836" t="n"/>
      <c r="S21" s="378" t="n"/>
      <c r="X21" s="378" t="n"/>
      <c r="Y21" s="76" t="n"/>
      <c r="Z21" s="77" t="n"/>
    </row>
    <row r="22" ht="32.25" customHeight="1">
      <c r="B22" s="297" t="n"/>
      <c r="C22" s="480" t="n"/>
      <c r="D22" s="485" t="n"/>
      <c r="E22" s="304" t="n"/>
      <c r="F22" s="482" t="n"/>
      <c r="G22" s="487" t="n"/>
      <c r="H22" s="806" t="n"/>
      <c r="I22" s="800" t="n"/>
      <c r="J22" s="483" t="n"/>
      <c r="K22" s="287">
        <f>IF(AND(H22=H21,J22-J21&gt;0),J22-J21,0)</f>
        <v/>
      </c>
      <c r="L22" s="811" t="n"/>
      <c r="M22" s="812">
        <f>IF(AND(H22=H21,L22-L21&lt;1.1,L22-L21&gt;0),L22-L21,0)</f>
        <v/>
      </c>
      <c r="N22" s="292" t="n"/>
      <c r="O22" s="293">
        <f>IF(K22=0,"-",K22/M22)</f>
        <v/>
      </c>
      <c r="P22" s="870" t="n"/>
      <c r="Q22" s="829" t="n"/>
      <c r="R22" s="836" t="n"/>
      <c r="S22" s="378" t="n"/>
      <c r="W22" s="378" t="inlineStr">
        <is>
          <t xml:space="preserve"> </t>
        </is>
      </c>
      <c r="X22" s="378" t="n"/>
      <c r="Y22" s="76" t="n"/>
      <c r="Z22" s="77" t="n"/>
    </row>
    <row r="23" ht="32.25" customHeight="1">
      <c r="B23" s="297" t="n"/>
      <c r="C23" s="480" t="n"/>
      <c r="D23" s="485" t="n"/>
      <c r="E23" s="304" t="n"/>
      <c r="F23" s="482" t="n"/>
      <c r="G23" s="487" t="n"/>
      <c r="H23" s="806" t="n"/>
      <c r="I23" s="800" t="n"/>
      <c r="J23" s="483" t="n"/>
      <c r="K23" s="287">
        <f>IF(AND(H23=H22,J23-J22&gt;0),J23-J22,0)</f>
        <v/>
      </c>
      <c r="L23" s="811" t="n"/>
      <c r="M23" s="812">
        <f>IF(AND(H23=H22,L23-L22&lt;1.1,L23-L22&gt;0),L23-L22,0)</f>
        <v/>
      </c>
      <c r="N23" s="292" t="n"/>
      <c r="O23" s="293">
        <f>IF(K23=0,"-",K23/M23)</f>
        <v/>
      </c>
      <c r="P23" s="870" t="n"/>
      <c r="Q23" s="829" t="n"/>
      <c r="R23" s="836" t="n"/>
      <c r="S23" s="378" t="n"/>
      <c r="X23" s="378" t="n"/>
      <c r="Y23" s="76" t="n"/>
      <c r="Z23" s="77" t="n"/>
    </row>
    <row r="24" ht="32.25" customHeight="1">
      <c r="B24" s="315" t="n"/>
      <c r="C24" s="190" t="n"/>
      <c r="D24" s="719" t="n"/>
      <c r="E24" s="197" t="n"/>
      <c r="F24" s="324" t="n"/>
      <c r="G24" s="719" t="n"/>
      <c r="H24" s="718" t="n"/>
      <c r="I24" s="800" t="n"/>
      <c r="J24" s="184" t="n"/>
      <c r="K24" s="177">
        <f>IF(AND(H24=H23,J24-J23&gt;0),J24-J23,0)</f>
        <v/>
      </c>
      <c r="L24" s="809" t="n"/>
      <c r="M24" s="807">
        <f>IF(AND(H24=H23,L24-L23&lt;1.1,L24-L23&gt;0),L24-L23,0)</f>
        <v/>
      </c>
      <c r="N24" s="227" t="n"/>
      <c r="O24" s="195">
        <f>IF(K24=0,"-",K24/M24)</f>
        <v/>
      </c>
      <c r="P24" s="709" t="n"/>
      <c r="Q24" s="829" t="n"/>
      <c r="R24" s="836" t="n"/>
      <c r="S24" s="378" t="n"/>
      <c r="X24" s="378" t="n"/>
      <c r="Y24" s="76" t="n"/>
      <c r="Z24" s="77" t="n"/>
    </row>
    <row r="25" ht="32.25" customHeight="1">
      <c r="B25" s="315" t="n"/>
      <c r="C25" s="190" t="n"/>
      <c r="D25" s="719" t="n"/>
      <c r="E25" s="197" t="n"/>
      <c r="F25" s="324" t="n"/>
      <c r="G25" s="719" t="n"/>
      <c r="H25" s="718" t="n"/>
      <c r="I25" s="800" t="n"/>
      <c r="J25" s="184" t="n"/>
      <c r="K25" s="177">
        <f>IF(AND(H25=H24,J25-J24&gt;0),J25-J24,0)</f>
        <v/>
      </c>
      <c r="L25" s="809" t="n"/>
      <c r="M25" s="807">
        <f>IF(AND(H25=H24,L25-L24&lt;1.1,L25-L24&gt;0),L25-L24,0)</f>
        <v/>
      </c>
      <c r="N25" s="227" t="n"/>
      <c r="O25" s="195">
        <f>IF(K25=0,"-",K25/M25)</f>
        <v/>
      </c>
      <c r="P25" s="709" t="n"/>
      <c r="Q25" s="829" t="n"/>
      <c r="R25" s="836" t="n"/>
      <c r="S25" s="378" t="n"/>
      <c r="X25" s="378" t="n"/>
      <c r="Y25" s="76" t="n"/>
      <c r="Z25" s="77" t="n"/>
    </row>
    <row r="26" ht="32.25" customHeight="1">
      <c r="B26" s="315" t="n"/>
      <c r="C26" s="190" t="n"/>
      <c r="D26" s="719" t="n"/>
      <c r="E26" s="197" t="n"/>
      <c r="F26" s="324" t="n"/>
      <c r="G26" s="719" t="n"/>
      <c r="H26" s="718" t="n"/>
      <c r="I26" s="800" t="n"/>
      <c r="J26" s="184" t="n"/>
      <c r="K26" s="177">
        <f>IF(AND(H26=H25,J26-J25&gt;0),J26-J25,0)</f>
        <v/>
      </c>
      <c r="L26" s="809" t="n"/>
      <c r="M26" s="807">
        <f>IF(AND(H26=H25,L26-L25&lt;1.1,L26-L25&gt;0),L26-L25,0)</f>
        <v/>
      </c>
      <c r="N26" s="227" t="n"/>
      <c r="O26" s="195">
        <f>IF(K26=0,"-",K26/M26)</f>
        <v/>
      </c>
      <c r="P26" s="709" t="n"/>
      <c r="Q26" s="829" t="n"/>
      <c r="R26" s="836" t="n"/>
      <c r="S26" s="378" t="n"/>
      <c r="X26" s="378" t="n"/>
      <c r="Y26" s="76" t="n"/>
      <c r="Z26" s="77" t="n"/>
    </row>
    <row r="27" ht="32.25" customHeight="1">
      <c r="B27" s="315" t="n"/>
      <c r="C27" s="190" t="n"/>
      <c r="D27" s="719" t="n"/>
      <c r="E27" s="197" t="n"/>
      <c r="F27" s="324" t="n"/>
      <c r="G27" s="719" t="n"/>
      <c r="H27" s="718" t="n"/>
      <c r="I27" s="800" t="n"/>
      <c r="J27" s="184" t="n"/>
      <c r="K27" s="177">
        <f>IF(AND(H27=H26,J27-J26&gt;0),J27-J26,0)</f>
        <v/>
      </c>
      <c r="L27" s="809" t="n"/>
      <c r="M27" s="807">
        <f>IF(AND(H27=H26,L27-L26&lt;1.1,L27-L26&gt;0),L27-L26,0)</f>
        <v/>
      </c>
      <c r="N27" s="227" t="n"/>
      <c r="O27" s="195">
        <f>IF(K27=0,"-",K27/M27)</f>
        <v/>
      </c>
      <c r="P27" s="709" t="n"/>
      <c r="Q27" s="829" t="n"/>
      <c r="R27" s="836" t="n"/>
      <c r="S27" s="378" t="n"/>
      <c r="X27" s="378" t="n"/>
      <c r="Y27" s="76" t="n"/>
      <c r="Z27" s="77" t="n"/>
    </row>
    <row r="28" ht="32.25" customFormat="1" customHeight="1" s="332">
      <c r="B28" s="315" t="n"/>
      <c r="C28" s="206" t="n"/>
      <c r="D28" s="392" t="n"/>
      <c r="E28" s="317" t="n"/>
      <c r="F28" s="346" t="n"/>
      <c r="G28" s="392" t="n"/>
      <c r="H28" s="883" t="n"/>
      <c r="I28" s="800" t="n"/>
      <c r="J28" s="314" t="n"/>
      <c r="K28" s="395">
        <f>IF(AND(H28=H27,J28-J27&gt;0),J28-J27,0)</f>
        <v/>
      </c>
      <c r="L28" s="884" t="n"/>
      <c r="M28" s="885">
        <f>IF(AND(H28=H27,L28-L27&lt;1.1,L28-L27&gt;0),L28-L27,0)</f>
        <v/>
      </c>
      <c r="N28" s="313" t="n"/>
      <c r="O28" s="319">
        <f>IF(K28=0,"-",K28/M28)</f>
        <v/>
      </c>
      <c r="P28" s="886" t="n"/>
      <c r="Q28" s="829" t="n"/>
      <c r="R28" s="836" t="n"/>
      <c r="S28" s="332" t="n"/>
      <c r="X28" s="332" t="n"/>
      <c r="Y28" s="333" t="n"/>
      <c r="Z28" s="334" t="n"/>
    </row>
    <row r="29" ht="32.25" customHeight="1">
      <c r="B29" s="322" t="n"/>
      <c r="C29" s="190" t="n"/>
      <c r="D29" s="719" t="n"/>
      <c r="E29" s="197" t="n"/>
      <c r="F29" s="324" t="n"/>
      <c r="G29" s="719" t="n"/>
      <c r="H29" s="718" t="n"/>
      <c r="I29" s="800" t="n"/>
      <c r="J29" s="184" t="n"/>
      <c r="K29" s="177">
        <f>IF(AND(H29=H28,J29-J28&gt;0),J29-J28,0)</f>
        <v/>
      </c>
      <c r="L29" s="809" t="n"/>
      <c r="M29" s="807">
        <f>IF(AND(H29=H28,L29-L28&lt;1.1,L29-L28&gt;0),L29-L28,0)</f>
        <v/>
      </c>
      <c r="N29" s="227" t="n"/>
      <c r="O29" s="195">
        <f>IF(K29=0,"-",K29/M29)</f>
        <v/>
      </c>
      <c r="P29" s="709" t="n"/>
      <c r="Q29" s="829" t="n"/>
      <c r="R29" s="836" t="n"/>
      <c r="S29" s="378" t="n"/>
      <c r="X29" s="378" t="n"/>
      <c r="Y29" s="76" t="n"/>
      <c r="Z29" s="77" t="n"/>
    </row>
    <row r="30" ht="32.25" customHeight="1">
      <c r="B30" s="322" t="n"/>
      <c r="C30" s="190" t="n"/>
      <c r="D30" s="719" t="n"/>
      <c r="E30" s="197" t="n"/>
      <c r="F30" s="324" t="n"/>
      <c r="G30" s="719" t="n"/>
      <c r="H30" s="718" t="n"/>
      <c r="I30" s="800" t="n"/>
      <c r="J30" s="184" t="n"/>
      <c r="K30" s="177">
        <f>IF(AND(H30=H29,J30-J29&gt;0),J30-J29,0)</f>
        <v/>
      </c>
      <c r="L30" s="809" t="n"/>
      <c r="M30" s="807">
        <f>IF(AND(H30=H29,L30-L29&lt;1.1,L30-L29&gt;0),L30-L29,0)</f>
        <v/>
      </c>
      <c r="N30" s="227" t="n"/>
      <c r="O30" s="195">
        <f>IF(K30=0,"-",K30/M30)</f>
        <v/>
      </c>
      <c r="P30" s="709" t="n"/>
      <c r="Q30" s="829" t="n"/>
      <c r="R30" s="836" t="n"/>
      <c r="S30" s="378" t="n"/>
      <c r="X30" s="378" t="n"/>
      <c r="Y30" s="76" t="n"/>
      <c r="Z30" s="77" t="n"/>
    </row>
    <row r="31" ht="32.25" customHeight="1">
      <c r="B31" s="322" t="n"/>
      <c r="C31" s="190" t="n"/>
      <c r="D31" s="719" t="n"/>
      <c r="E31" s="197" t="n"/>
      <c r="F31" s="324" t="n"/>
      <c r="G31" s="719" t="n"/>
      <c r="H31" s="718" t="n"/>
      <c r="I31" s="800" t="n"/>
      <c r="J31" s="184" t="n"/>
      <c r="K31" s="177">
        <f>IF(AND(H31=H30,J31-J30&gt;0),J31-J30,0)</f>
        <v/>
      </c>
      <c r="L31" s="809" t="n"/>
      <c r="M31" s="807">
        <f>IF(AND(H31=H30,L31-L30&lt;1.1,L31-L30&gt;0),L31-L30,0)</f>
        <v/>
      </c>
      <c r="N31" s="227" t="n"/>
      <c r="O31" s="195">
        <f>IF(K31=0,"-",K31/M31)</f>
        <v/>
      </c>
      <c r="P31" s="709" t="n"/>
      <c r="Q31" s="829" t="n"/>
      <c r="R31" s="836" t="n"/>
      <c r="S31" s="378" t="n"/>
      <c r="X31" s="378" t="n"/>
      <c r="Y31" s="76" t="n"/>
      <c r="Z31" s="77" t="n"/>
    </row>
    <row r="32" ht="32.25" customFormat="1" customHeight="1" s="310">
      <c r="B32" s="322" t="n"/>
      <c r="C32" s="190" t="n"/>
      <c r="D32" s="719" t="n"/>
      <c r="E32" s="197" t="n"/>
      <c r="F32" s="324" t="n"/>
      <c r="G32" s="719" t="n"/>
      <c r="H32" s="718" t="n"/>
      <c r="I32" s="800" t="n"/>
      <c r="J32" s="184" t="n"/>
      <c r="K32" s="177">
        <f>IF(AND(H32=H31,J32-J31&gt;0),J32-J31,0)</f>
        <v/>
      </c>
      <c r="L32" s="809" t="n"/>
      <c r="M32" s="807">
        <f>IF(AND(H32=H31,L32-L31&lt;1.1,L32-L31&gt;0),L32-L31,0)</f>
        <v/>
      </c>
      <c r="N32" s="227" t="n"/>
      <c r="O32" s="195">
        <f>IF(K32=0,"-",K32/M32)</f>
        <v/>
      </c>
      <c r="P32" s="709" t="n"/>
      <c r="Q32" s="829" t="n"/>
      <c r="R32" s="836" t="n"/>
      <c r="S32" s="310" t="n"/>
      <c r="X32" s="378" t="n"/>
      <c r="Y32" s="76" t="n"/>
      <c r="Z32" s="77" t="n"/>
    </row>
    <row r="33" ht="32.25" customHeight="1">
      <c r="B33" s="230" t="n"/>
      <c r="C33" s="190" t="n"/>
      <c r="D33" s="719" t="n"/>
      <c r="E33" s="719" t="n"/>
      <c r="F33" s="324" t="n"/>
      <c r="G33" s="719" t="n"/>
      <c r="H33" s="718" t="n"/>
      <c r="I33" s="800" t="n"/>
      <c r="J33" s="184" t="n"/>
      <c r="K33" s="177">
        <f>IF(AND(H33=H32,J33-J32&gt;0),J33-J32,0)</f>
        <v/>
      </c>
      <c r="L33" s="809" t="n"/>
      <c r="M33" s="807">
        <f>IF(AND(H33=H32,L33-L32&lt;1.1,L33-L32&gt;0),L33-L32,0)</f>
        <v/>
      </c>
      <c r="N33" s="227" t="n"/>
      <c r="O33" s="195">
        <f>IF(K33=0,"-",K33/M33)</f>
        <v/>
      </c>
      <c r="P33" s="709" t="n"/>
      <c r="Q33" s="829" t="n"/>
      <c r="R33" s="836" t="n"/>
      <c r="S33" s="378" t="n"/>
      <c r="X33" s="378" t="n"/>
      <c r="Y33" s="76" t="n"/>
      <c r="Z33" s="77" t="n"/>
    </row>
    <row r="34" ht="32.25" customHeight="1">
      <c r="B34" s="230" t="n"/>
      <c r="C34" s="190" t="n"/>
      <c r="D34" s="719" t="n"/>
      <c r="E34" s="719" t="n"/>
      <c r="F34" s="324" t="n"/>
      <c r="G34" s="719" t="n"/>
      <c r="H34" s="718" t="n"/>
      <c r="I34" s="800" t="n"/>
      <c r="J34" s="184" t="n"/>
      <c r="K34" s="177">
        <f>IF(AND(H34=H33,J34-J33&gt;0),J34-J33,0)</f>
        <v/>
      </c>
      <c r="L34" s="809" t="n"/>
      <c r="M34" s="807">
        <f>IF(AND(H34=H33,L34-L33&lt;1.1,L34-L33&gt;0),L34-L33,0)</f>
        <v/>
      </c>
      <c r="N34" s="227" t="n"/>
      <c r="O34" s="195">
        <f>IF(K34=0,"-",K34/M34)</f>
        <v/>
      </c>
      <c r="P34" s="709" t="n"/>
      <c r="Q34" s="829" t="n"/>
      <c r="R34" s="836" t="n"/>
      <c r="S34" s="378" t="n"/>
      <c r="X34" s="378" t="n"/>
      <c r="Y34" s="76" t="n"/>
      <c r="Z34" s="77" t="n"/>
    </row>
    <row r="35" ht="32.25" customHeight="1">
      <c r="B35" s="230" t="n"/>
      <c r="C35" s="190" t="n"/>
      <c r="D35" s="719" t="n"/>
      <c r="E35" s="719" t="n"/>
      <c r="F35" s="324" t="n"/>
      <c r="G35" s="719" t="n"/>
      <c r="H35" s="718" t="n"/>
      <c r="I35" s="800" t="n"/>
      <c r="J35" s="184" t="n"/>
      <c r="K35" s="177">
        <f>IF(AND(H35=H34,J35-J34&gt;0),J35-J34,0)</f>
        <v/>
      </c>
      <c r="L35" s="809" t="n"/>
      <c r="M35" s="807">
        <f>IF(AND(H35=H34,L35-L34&lt;1.1,L35-L34&gt;0),L35-L34,0)</f>
        <v/>
      </c>
      <c r="N35" s="227" t="n"/>
      <c r="O35" s="195">
        <f>IF(K35=0,"-",K35/M35)</f>
        <v/>
      </c>
      <c r="P35" s="709" t="n"/>
      <c r="Q35" s="829" t="n"/>
      <c r="R35" s="836" t="n"/>
      <c r="S35" s="378" t="n"/>
      <c r="X35" s="378" t="n"/>
      <c r="Y35" s="76" t="n"/>
      <c r="Z35" s="77" t="n"/>
    </row>
    <row r="36" ht="32.25" customHeight="1">
      <c r="B36" s="230" t="n"/>
      <c r="C36" s="190" t="n"/>
      <c r="D36" s="719" t="n"/>
      <c r="E36" s="719" t="n"/>
      <c r="F36" s="324" t="n"/>
      <c r="G36" s="719" t="n"/>
      <c r="H36" s="718" t="n"/>
      <c r="I36" s="800" t="n"/>
      <c r="J36" s="184" t="n"/>
      <c r="K36" s="177">
        <f>IF(AND(H36=H35,J36-J35&gt;0),J36-J35,0)</f>
        <v/>
      </c>
      <c r="L36" s="809" t="n"/>
      <c r="M36" s="807">
        <f>IF(AND(H36=H35,L36-L35&lt;1.1,L36-L35&gt;0),L36-L35,0)</f>
        <v/>
      </c>
      <c r="N36" s="227" t="n"/>
      <c r="O36" s="195">
        <f>IF(K36=0,"-",K36/M36)</f>
        <v/>
      </c>
      <c r="P36" s="709" t="n"/>
      <c r="Q36" s="829" t="n"/>
      <c r="R36" s="836" t="n"/>
      <c r="S36" s="378" t="n"/>
      <c r="X36" s="378" t="n"/>
      <c r="Y36" s="76" t="n"/>
      <c r="Z36" s="77" t="n"/>
    </row>
    <row r="37" ht="32.25" customHeight="1">
      <c r="B37" s="230" t="n"/>
      <c r="C37" s="190" t="n"/>
      <c r="D37" s="719" t="n"/>
      <c r="E37" s="719" t="n"/>
      <c r="F37" s="324" t="n"/>
      <c r="G37" s="719" t="n"/>
      <c r="H37" s="718" t="n"/>
      <c r="I37" s="800" t="n"/>
      <c r="J37" s="184" t="n"/>
      <c r="K37" s="177">
        <f>IF(AND(H37=H36,J37-J36&gt;0),J37-J36,0)</f>
        <v/>
      </c>
      <c r="L37" s="809" t="n"/>
      <c r="M37" s="807">
        <f>IF(AND(H37=H36,L37-L36&lt;1.1,L37-L36&gt;0),L37-L36,0)</f>
        <v/>
      </c>
      <c r="N37" s="227" t="n"/>
      <c r="O37" s="195">
        <f>IF(K37=0,"-",K37/M37)</f>
        <v/>
      </c>
      <c r="P37" s="709" t="n"/>
      <c r="Q37" s="829" t="n"/>
      <c r="R37" s="836" t="n"/>
      <c r="S37" s="378" t="n"/>
      <c r="X37" s="378" t="n"/>
      <c r="Y37" s="76" t="n"/>
      <c r="Z37" s="77" t="n"/>
    </row>
    <row r="38" ht="32.25" customHeight="1">
      <c r="B38" s="230" t="n"/>
      <c r="C38" s="190" t="n"/>
      <c r="D38" s="719" t="n"/>
      <c r="E38" s="719" t="n"/>
      <c r="F38" s="324" t="n"/>
      <c r="G38" s="719" t="n"/>
      <c r="H38" s="718" t="n"/>
      <c r="I38" s="800" t="n"/>
      <c r="J38" s="184" t="n"/>
      <c r="K38" s="177">
        <f>IF(AND(H38=H37,J38-J37&gt;0),J38-J37,0)</f>
        <v/>
      </c>
      <c r="L38" s="809" t="n"/>
      <c r="M38" s="807">
        <f>IF(AND(H38=H37,L38-L37&lt;1.1,L38-L37&gt;0),L38-L37,0)</f>
        <v/>
      </c>
      <c r="N38" s="227" t="n"/>
      <c r="O38" s="195">
        <f>IF(K38=0,"-",K38/M38)</f>
        <v/>
      </c>
      <c r="P38" s="709" t="n"/>
      <c r="Q38" s="829" t="n"/>
      <c r="R38" s="836" t="n"/>
      <c r="S38" s="378" t="n"/>
      <c r="X38" s="378" t="n"/>
      <c r="Y38" s="76" t="n"/>
      <c r="Z38" s="77" t="n"/>
    </row>
    <row r="39" ht="32.25" customHeight="1">
      <c r="B39" s="230" t="n"/>
      <c r="C39" s="190" t="n"/>
      <c r="D39" s="719" t="n"/>
      <c r="E39" s="719" t="n"/>
      <c r="F39" s="324" t="n"/>
      <c r="G39" s="719" t="n"/>
      <c r="H39" s="718" t="n"/>
      <c r="I39" s="800" t="n"/>
      <c r="J39" s="184" t="n"/>
      <c r="K39" s="177">
        <f>IF(AND(H39=H38,J39-J38&gt;0),J39-J38,0)</f>
        <v/>
      </c>
      <c r="L39" s="809" t="n"/>
      <c r="M39" s="807">
        <f>IF(AND(H39=H38,L39-L38&lt;1.1,L39-L38&gt;0),L39-L38,0)</f>
        <v/>
      </c>
      <c r="N39" s="227" t="n"/>
      <c r="O39" s="195">
        <f>IF(K39=0,"-",K39/M39)</f>
        <v/>
      </c>
      <c r="P39" s="709" t="n"/>
      <c r="Q39" s="829" t="n"/>
      <c r="R39" s="836" t="n"/>
      <c r="S39" s="378" t="n"/>
      <c r="X39" s="378" t="n"/>
      <c r="Y39" s="76" t="n"/>
      <c r="Z39" s="77" t="n"/>
    </row>
    <row r="40" ht="32.25" customHeight="1">
      <c r="B40" s="230" t="n"/>
      <c r="C40" s="190" t="n"/>
      <c r="D40" s="719" t="n"/>
      <c r="E40" s="719" t="n"/>
      <c r="F40" s="324" t="n"/>
      <c r="G40" s="719" t="n"/>
      <c r="H40" s="718" t="n"/>
      <c r="I40" s="800" t="n"/>
      <c r="J40" s="184" t="n"/>
      <c r="K40" s="177">
        <f>IF(AND(H40=H39,J40-J39&gt;0),J40-J39,0)</f>
        <v/>
      </c>
      <c r="L40" s="809" t="n"/>
      <c r="M40" s="807">
        <f>IF(AND(H40=H39,L40-L39&lt;1.1,L40-L39&gt;0),L40-L39,0)</f>
        <v/>
      </c>
      <c r="N40" s="227" t="n"/>
      <c r="O40" s="195">
        <f>IF(K40=0,"-",K40/M40)</f>
        <v/>
      </c>
      <c r="P40" s="709" t="n"/>
      <c r="Q40" s="829" t="n"/>
      <c r="R40" s="836" t="n"/>
      <c r="S40" s="378" t="n"/>
      <c r="X40" s="378" t="n"/>
      <c r="Y40" s="76" t="n"/>
      <c r="Z40" s="77" t="n"/>
    </row>
    <row r="41" ht="32.25" customHeight="1">
      <c r="B41" s="230" t="n"/>
      <c r="C41" s="190" t="n"/>
      <c r="D41" s="237" t="n"/>
      <c r="E41" s="719" t="n"/>
      <c r="F41" s="324" t="n"/>
      <c r="G41" s="719" t="n"/>
      <c r="H41" s="718" t="n"/>
      <c r="I41" s="800" t="n"/>
      <c r="J41" s="184" t="n"/>
      <c r="K41" s="177">
        <f>IF(AND(H41=H40,J41-J40&gt;0),J41-J40,0)</f>
        <v/>
      </c>
      <c r="L41" s="809" t="n"/>
      <c r="M41" s="807">
        <f>IF(AND(H41=H40,L41-L40&lt;1.1,L41-L40&gt;0),L41-L40,0)</f>
        <v/>
      </c>
      <c r="N41" s="227" t="n"/>
      <c r="O41" s="195">
        <f>IF(K41=0,"-",K41/M41)</f>
        <v/>
      </c>
      <c r="P41" s="709" t="n"/>
      <c r="Q41" s="829" t="n"/>
      <c r="R41" s="836" t="n"/>
      <c r="S41" s="378" t="n"/>
      <c r="X41" s="378" t="n"/>
      <c r="Y41" s="76" t="n"/>
      <c r="Z41" s="77" t="n"/>
    </row>
    <row r="42" ht="32.25" customHeight="1">
      <c r="B42" s="230" t="n"/>
      <c r="C42" s="190" t="n"/>
      <c r="D42" s="719" t="n"/>
      <c r="E42" s="719" t="n"/>
      <c r="F42" s="324" t="n"/>
      <c r="G42" s="719" t="n"/>
      <c r="H42" s="718" t="n"/>
      <c r="I42" s="800" t="n"/>
      <c r="J42" s="184" t="n"/>
      <c r="K42" s="177">
        <f>IF(AND(H42=H41,J42-J41&gt;0),J42-J41,0)</f>
        <v/>
      </c>
      <c r="L42" s="809" t="n"/>
      <c r="M42" s="807">
        <f>IF(AND(H42=H41,L42-L41&lt;1.1,L42-L41&gt;0),L42-L41,0)</f>
        <v/>
      </c>
      <c r="N42" s="227" t="n"/>
      <c r="O42" s="195">
        <f>IF(K42=0,"-",K42/M42)</f>
        <v/>
      </c>
      <c r="P42" s="738" t="n"/>
      <c r="Q42" s="739" t="n"/>
      <c r="R42" s="740" t="n"/>
      <c r="S42" s="378" t="n"/>
      <c r="X42" s="378" t="n"/>
      <c r="Y42" s="76" t="n"/>
      <c r="Z42" s="77" t="n"/>
    </row>
    <row r="43" ht="32.25" customHeight="1">
      <c r="B43" s="230" t="n"/>
      <c r="C43" s="190" t="n"/>
      <c r="D43" s="719" t="n"/>
      <c r="E43" s="719" t="n"/>
      <c r="F43" s="324" t="n"/>
      <c r="G43" s="719" t="n"/>
      <c r="H43" s="718" t="n"/>
      <c r="I43" s="800" t="n"/>
      <c r="J43" s="184" t="n"/>
      <c r="K43" s="177">
        <f>IF(AND(H43=H42,J43-J42&gt;0),J43-J42,0)</f>
        <v/>
      </c>
      <c r="L43" s="809" t="n"/>
      <c r="M43" s="807">
        <f>IF(AND(H43=H42,L43-L42&lt;1.1,L43-L42&gt;0),L43-L42,0)</f>
        <v/>
      </c>
      <c r="N43" s="887" t="n"/>
      <c r="O43" s="195">
        <f>IF(K43=0,"-",K43/M43)</f>
        <v/>
      </c>
      <c r="P43" s="709" t="n"/>
      <c r="Q43" s="829" t="n"/>
      <c r="R43" s="836" t="n"/>
      <c r="S43" s="378" t="n"/>
      <c r="X43" s="378" t="n"/>
      <c r="Y43" s="76" t="n"/>
      <c r="Z43" s="77" t="n"/>
    </row>
    <row r="44" ht="32.25" customHeight="1">
      <c r="B44" s="230" t="n"/>
      <c r="C44" s="190" t="n"/>
      <c r="D44" s="719" t="n"/>
      <c r="E44" s="719" t="n"/>
      <c r="F44" s="324" t="n"/>
      <c r="G44" s="719" t="n"/>
      <c r="H44" s="718" t="n"/>
      <c r="I44" s="800" t="n"/>
      <c r="J44" s="184" t="n"/>
      <c r="K44" s="177">
        <f>IF(AND(H44=H43,J44-J43&gt;0),J44-J43,0)</f>
        <v/>
      </c>
      <c r="L44" s="809" t="n"/>
      <c r="M44" s="807">
        <f>IF(AND(H44=H43,L44-L43&lt;1.1,L44-L43&gt;0),L44-L43,0)</f>
        <v/>
      </c>
      <c r="N44" s="887" t="n"/>
      <c r="O44" s="195">
        <f>IF(K44=0,"-",K44/M44)</f>
        <v/>
      </c>
      <c r="P44" s="709" t="n"/>
      <c r="Q44" s="829" t="n"/>
      <c r="R44" s="836" t="n"/>
      <c r="S44" s="378" t="n"/>
      <c r="X44" s="378" t="n"/>
      <c r="Y44" s="76" t="n"/>
      <c r="Z44" s="77" t="n"/>
    </row>
    <row r="45" ht="32.25" customHeight="1">
      <c r="B45" s="230" t="n"/>
      <c r="C45" s="190" t="n"/>
      <c r="D45" s="719" t="n"/>
      <c r="E45" s="719" t="n"/>
      <c r="F45" s="324" t="n"/>
      <c r="G45" s="719" t="n"/>
      <c r="H45" s="718" t="n"/>
      <c r="I45" s="800" t="n"/>
      <c r="J45" s="184" t="n"/>
      <c r="K45" s="177">
        <f>IF(AND(H45=H44,J45-J44&gt;0),J45-J44,0)</f>
        <v/>
      </c>
      <c r="L45" s="809" t="n"/>
      <c r="M45" s="807">
        <f>IF(AND(H45=H44,L45-L44&lt;1.1,L45-L44&gt;0),L45-L44,0)</f>
        <v/>
      </c>
      <c r="N45" s="887" t="n"/>
      <c r="O45" s="195">
        <f>IF(K45=0,"-",K45/M45)</f>
        <v/>
      </c>
      <c r="P45" s="709" t="n"/>
      <c r="Q45" s="829" t="n"/>
      <c r="R45" s="836" t="n"/>
      <c r="S45" s="378" t="n"/>
      <c r="X45" s="378" t="n"/>
      <c r="Y45" s="76" t="n"/>
      <c r="Z45" s="77" t="n"/>
    </row>
    <row r="46" ht="32.25" customHeight="1" thickBot="1">
      <c r="B46" s="306" t="n"/>
      <c r="C46" s="357" t="n"/>
      <c r="D46" s="721" t="n"/>
      <c r="E46" s="721" t="n"/>
      <c r="F46" s="721" t="n"/>
      <c r="G46" s="721" t="n"/>
      <c r="H46" s="720" t="n"/>
      <c r="I46" s="824" t="n"/>
      <c r="J46" s="240" t="n"/>
      <c r="K46" s="211">
        <f>IF(AND(H46=H45,J46-J45&gt;0),J46-J45,0)</f>
        <v/>
      </c>
      <c r="L46" s="888" t="n"/>
      <c r="M46" s="889">
        <f>IF(AND(H46=H45,L46-L45&lt;1.1,L46-L45&gt;0),L46-L45,0)</f>
        <v/>
      </c>
      <c r="N46" s="890" t="n"/>
      <c r="O46" s="239">
        <f>IF(K46=0,"-",K46/M46)</f>
        <v/>
      </c>
      <c r="P46" s="723" t="n"/>
      <c r="Q46" s="842" t="n"/>
      <c r="R46" s="845" t="n"/>
      <c r="S46" s="378" t="n"/>
      <c r="X46" s="378" t="n"/>
      <c r="Y46" s="76" t="n"/>
      <c r="Z46" s="77" t="n"/>
    </row>
    <row r="47" ht="17.25" customHeight="1" thickBot="1">
      <c r="H47" s="568" t="n"/>
      <c r="X47" s="378" t="n"/>
      <c r="Y47" s="76" t="n"/>
      <c r="Z47" s="77" t="n"/>
    </row>
    <row r="48" ht="30.4" customHeight="1" thickBot="1">
      <c r="B48" s="692" t="inlineStr">
        <is>
          <t>Qualité</t>
        </is>
      </c>
      <c r="C48" s="827" t="n"/>
      <c r="D48" s="693" t="inlineStr">
        <is>
          <t>Destination</t>
        </is>
      </c>
      <c r="E48" s="753" t="inlineStr">
        <is>
          <t>Tonnage brut</t>
        </is>
      </c>
      <c r="F48" s="827" t="n"/>
      <c r="G48" s="753" t="inlineStr">
        <is>
          <t>Tge S/M</t>
        </is>
      </c>
      <c r="H48" s="792" t="n"/>
      <c r="I48" s="827" t="n"/>
      <c r="J48" s="753" t="inlineStr">
        <is>
          <t>H.M</t>
        </is>
      </c>
      <c r="K48" s="753" t="inlineStr">
        <is>
          <t>T/H</t>
        </is>
      </c>
      <c r="L48" s="827" t="n"/>
      <c r="M48" s="568" t="n"/>
      <c r="N48" s="568" t="n"/>
      <c r="P48" s="67" t="inlineStr">
        <is>
          <t>Tonnage brut</t>
        </is>
      </c>
      <c r="Q48" s="68" t="inlineStr">
        <is>
          <t>HM</t>
        </is>
      </c>
      <c r="R48" s="69" t="inlineStr">
        <is>
          <t>T/H</t>
        </is>
      </c>
      <c r="S48" s="605" t="n"/>
      <c r="X48" s="378" t="n"/>
      <c r="Y48" s="76" t="n"/>
      <c r="Z48" s="77" t="n"/>
    </row>
    <row r="49" ht="32.25" customHeight="1">
      <c r="B49" s="891" t="inlineStr">
        <is>
          <t>TBTTS</t>
        </is>
      </c>
      <c r="C49" s="815" t="n"/>
      <c r="D49" s="329" t="inlineStr">
        <is>
          <t>TS-CRIBLAGE</t>
        </is>
      </c>
      <c r="E49" s="726">
        <f>SUMIFS('RPTS '!$K$17:$K$46,'RPTS '!$C$17:$C$46,'RPTS '!B49,'RPTS '!$F$17:$F$46,D49)</f>
        <v/>
      </c>
      <c r="F49" s="815" t="n"/>
      <c r="G49" s="727">
        <f>SUMIFS('RPTS '!$D$79:$D$112,'RPTS '!$B$79:$B$112,'RPTS '!D49,'RPTS '!$C$79:$C$112,'RPTS '!B49)*E49</f>
        <v/>
      </c>
      <c r="H49" s="866" t="n"/>
      <c r="I49" s="815" t="n"/>
      <c r="J49" s="876">
        <f>SUMIFS('RPTS '!$M$17:$M$46,'RPTS '!$C$17:$C$46,'RPTS '!B49,'RPTS '!$F$17:$F$46,D49)</f>
        <v/>
      </c>
      <c r="K49" s="877">
        <f>IF(E49=0,"-",E49/J49)</f>
        <v/>
      </c>
      <c r="L49" s="832" t="n"/>
      <c r="M49" s="10" t="n"/>
      <c r="N49" s="59" t="inlineStr">
        <is>
          <t>Poste</t>
        </is>
      </c>
      <c r="O49" s="64" t="n">
        <v>1</v>
      </c>
      <c r="P49" s="168">
        <f>SUMIFS('RPTS '!$K$17:$K$46,'RPTS '!$N$17:$N$46,O49)</f>
        <v/>
      </c>
      <c r="Q49" s="833">
        <f>SUMIFS('RPTS '!$M$17:$M$46,'RPTS '!$N$17:$N$46,O49)</f>
        <v/>
      </c>
      <c r="R49" s="169">
        <f>P49/Q49</f>
        <v/>
      </c>
      <c r="S49" s="11" t="n"/>
      <c r="X49" s="378" t="n"/>
      <c r="Y49" s="76" t="n"/>
      <c r="Z49" s="77" t="n"/>
    </row>
    <row r="50" ht="32.25" customHeight="1">
      <c r="B50" s="891" t="n"/>
      <c r="C50" s="815" t="n"/>
      <c r="D50" s="138" t="n"/>
      <c r="E50" s="675">
        <f>SUMIFS('RPTS '!$K$17:$K$46,'RPTS '!$C$17:$C$46,'RPTS '!B50,'RPTS '!$F$17:$F$46,D50)</f>
        <v/>
      </c>
      <c r="F50" s="800" t="n"/>
      <c r="G50" s="725">
        <f>SUMIFS('RPTS '!$D$79:$D$112,'RPTS '!$B$79:$B$112,'RPTS '!D50,'RPTS '!$C$79:$C$112,'RPTS '!B50)*E50</f>
        <v/>
      </c>
      <c r="H50" s="829" t="n"/>
      <c r="I50" s="800" t="n"/>
      <c r="J50" s="879">
        <f>SUMIFS('RPTS '!$M$17:$M$46,'RPTS '!$C$17:$C$46,'RPTS '!B50,'RPTS '!$F$17:$F$46,D50)</f>
        <v/>
      </c>
      <c r="K50" s="880">
        <f>IF(E50=0,"-",E50/J50)</f>
        <v/>
      </c>
      <c r="L50" s="836" t="n"/>
      <c r="M50" s="10" t="n"/>
      <c r="N50" s="60" t="inlineStr">
        <is>
          <t>Poste</t>
        </is>
      </c>
      <c r="O50" s="65" t="n">
        <v>2</v>
      </c>
      <c r="P50" s="170">
        <f>SUMIFS('RPTS '!$K$17:$K$46,'RPTS '!$N$17:$N$46,O50)</f>
        <v/>
      </c>
      <c r="Q50" s="837">
        <f>SUMIFS('RPTS '!$M$17:$M$46,'RPTS '!$N$17:$N$46,O50)</f>
        <v/>
      </c>
      <c r="R50" s="171">
        <f>P50/Q50</f>
        <v/>
      </c>
      <c r="S50" s="11" t="n"/>
      <c r="X50" s="378" t="n"/>
      <c r="Y50" s="76" t="n"/>
      <c r="Z50" s="77" t="n"/>
    </row>
    <row r="51" ht="32.25" customHeight="1" thickBot="1">
      <c r="B51" s="891" t="n"/>
      <c r="C51" s="815" t="n"/>
      <c r="D51" s="138" t="n"/>
      <c r="E51" s="675">
        <f>SUMIFS('RPTS '!$K$17:$K$46,'RPTS '!$C$17:$C$46,'RPTS '!B51,'RPTS '!$F$17:$F$46,D51)</f>
        <v/>
      </c>
      <c r="F51" s="800" t="n"/>
      <c r="G51" s="725">
        <f>SUMIFS('RPTS '!$D$79:$D$112,'RPTS '!$B$79:$B$112,'RPTS '!D51,'RPTS '!$C$79:$C$112,'RPTS '!B51)*E51</f>
        <v/>
      </c>
      <c r="H51" s="829" t="n"/>
      <c r="I51" s="800" t="n"/>
      <c r="J51" s="879">
        <f>SUMIFS('RPTS '!$M$17:$M$46,'RPTS '!$C$17:$C$46,'RPTS '!B51,'RPTS '!$F$17:$F$46,D51)</f>
        <v/>
      </c>
      <c r="K51" s="880">
        <f>IF(E51=0,"-",E51/J51)</f>
        <v/>
      </c>
      <c r="L51" s="836" t="n"/>
      <c r="M51" s="10" t="n"/>
      <c r="N51" s="61" t="inlineStr">
        <is>
          <t>Poste</t>
        </is>
      </c>
      <c r="O51" s="66" t="n">
        <v>3</v>
      </c>
      <c r="P51" s="172">
        <f>SUMIFS('RPTS '!$K$17:$K$46,'RPTS '!$N$17:$N$46,O51)</f>
        <v/>
      </c>
      <c r="Q51" s="838">
        <f>SUMIFS('RPTS '!$M$17:$M$46,'RPTS '!$N$17:$N$46,O51)</f>
        <v/>
      </c>
      <c r="R51" s="173">
        <f>P51/Q51</f>
        <v/>
      </c>
      <c r="S51" s="11" t="n"/>
    </row>
    <row r="52" ht="32.25" customHeight="1">
      <c r="B52" s="891" t="n"/>
      <c r="C52" s="815" t="n"/>
      <c r="D52" s="138" t="n"/>
      <c r="E52" s="675">
        <f>SUMIFS('RPTS '!$K$17:$K$46,'RPTS '!$C$17:$C$46,'RPTS '!B52,'RPTS '!$F$17:$F$46,D52)</f>
        <v/>
      </c>
      <c r="F52" s="800" t="n"/>
      <c r="G52" s="725">
        <f>SUMIFS('RPTS '!$D$79:$D$112,'RPTS '!$B$79:$B$112,'RPTS '!D52,'RPTS '!$C$79:$C$112,'RPTS '!B52)*E52</f>
        <v/>
      </c>
      <c r="H52" s="829" t="n"/>
      <c r="I52" s="800" t="n"/>
      <c r="J52" s="879">
        <f>SUMIFS('RPTS '!$M$17:$M$46,'RPTS '!$C$17:$C$46,'RPTS '!B52,'RPTS '!$F$17:$F$46,D52)</f>
        <v/>
      </c>
      <c r="K52" s="880">
        <f>IF(E52=0,"-",E52/J52)</f>
        <v/>
      </c>
      <c r="L52" s="836" t="n"/>
      <c r="M52" s="10" t="n"/>
      <c r="N52" s="10" t="n"/>
      <c r="O52" s="605" t="n"/>
      <c r="S52" s="11" t="n"/>
    </row>
    <row r="53" ht="32.25" customHeight="1">
      <c r="B53" s="891" t="n"/>
      <c r="C53" s="815" t="n"/>
      <c r="D53" s="138" t="n"/>
      <c r="E53" s="675">
        <f>SUMIFS('RPTS '!$K$17:$K$46,'RPTS '!$C$17:$C$46,'RPTS '!B53,'RPTS '!$F$17:$F$46,D53)</f>
        <v/>
      </c>
      <c r="F53" s="800" t="n"/>
      <c r="G53" s="725">
        <f>SUMIFS('RPTS '!$D$79:$D$112,'RPTS '!$B$79:$B$112,'RPTS '!D53,'RPTS '!$C$79:$C$112,'RPTS '!B53)*E53</f>
        <v/>
      </c>
      <c r="H53" s="829" t="n"/>
      <c r="I53" s="800" t="n"/>
      <c r="J53" s="879">
        <f>SUMIFS('RPTS '!$M$17:$M$46,'RPTS '!$C$17:$C$46,'RPTS '!B53,'RPTS '!$F$17:$F$46,D53)</f>
        <v/>
      </c>
      <c r="K53" s="880">
        <f>IF(E53=0,"-",E53/J53)</f>
        <v/>
      </c>
      <c r="L53" s="836" t="n"/>
      <c r="M53" s="10" t="n"/>
      <c r="N53" s="10" t="n"/>
      <c r="O53" s="11" t="n"/>
      <c r="P53" s="11" t="n"/>
      <c r="Q53" s="11" t="n"/>
      <c r="R53" s="11" t="n"/>
      <c r="S53" s="11" t="n"/>
    </row>
    <row r="54" ht="32.25" customHeight="1">
      <c r="B54" s="891" t="n"/>
      <c r="C54" s="815" t="n"/>
      <c r="D54" s="138" t="n"/>
      <c r="E54" s="675">
        <f>SUMIFS('RPTS '!$K$17:$K$46,'RPTS '!$C$17:$C$46,'RPTS '!B54,'RPTS '!$F$17:$F$46,D54)</f>
        <v/>
      </c>
      <c r="F54" s="800" t="n"/>
      <c r="G54" s="725">
        <f>SUMIFS('RPTS '!$D$79:$D$112,'RPTS '!$B$79:$B$112,'RPTS '!D54,'RPTS '!$C$79:$C$112,'RPTS '!B54)*E54</f>
        <v/>
      </c>
      <c r="H54" s="829" t="n"/>
      <c r="I54" s="800" t="n"/>
      <c r="J54" s="879">
        <f>SUMIFS('RPTS '!$M$17:$M$46,'RPTS '!$C$17:$C$46,'RPTS '!B54,'RPTS '!$F$17:$F$46,D54)</f>
        <v/>
      </c>
      <c r="K54" s="880">
        <f>IF(E54=0,"-",E54/J54)</f>
        <v/>
      </c>
      <c r="L54" s="836" t="n"/>
      <c r="M54" s="10" t="n"/>
      <c r="N54" s="10" t="n"/>
      <c r="O54" s="11" t="n"/>
      <c r="P54" s="11" t="n"/>
      <c r="Q54" s="11" t="n"/>
      <c r="R54" s="11" t="n"/>
      <c r="S54" s="11" t="n"/>
    </row>
    <row r="55" ht="32.25" customHeight="1">
      <c r="B55" s="891" t="n"/>
      <c r="C55" s="815" t="n"/>
      <c r="D55" s="138" t="n"/>
      <c r="E55" s="675">
        <f>SUMIFS('RPTS '!$K$17:$K$46,'RPTS '!$C$17:$C$46,'RPTS '!B55,'RPTS '!$F$17:$F$46,D55)</f>
        <v/>
      </c>
      <c r="F55" s="800" t="n"/>
      <c r="G55" s="725">
        <f>SUMIFS('RPTS '!$D$79:$D$112,'RPTS '!$B$79:$B$112,'RPTS '!D55,'RPTS '!$C$79:$C$112,'RPTS '!B55)*E55</f>
        <v/>
      </c>
      <c r="H55" s="829" t="n"/>
      <c r="I55" s="800" t="n"/>
      <c r="J55" s="879">
        <f>SUMIFS('RPTS '!$M$17:$M$46,'RPTS '!$C$17:$C$46,'RPTS '!B55,'RPTS '!$F$17:$F$46,D55)</f>
        <v/>
      </c>
      <c r="K55" s="880">
        <f>IF(E55=0,"-",E55/J55)</f>
        <v/>
      </c>
      <c r="L55" s="836" t="n"/>
      <c r="M55" s="10" t="n"/>
      <c r="N55" s="10" t="n"/>
      <c r="O55" s="11" t="n"/>
      <c r="P55" s="11" t="n"/>
      <c r="Q55" s="11" t="n"/>
      <c r="R55" s="11" t="n"/>
      <c r="S55" s="11" t="n"/>
    </row>
    <row r="56" ht="32.25" customHeight="1" thickBot="1">
      <c r="B56" s="891" t="n"/>
      <c r="C56" s="815" t="n"/>
      <c r="D56" s="140" t="n"/>
      <c r="E56" s="728">
        <f>SUMIFS('RPTS '!$K$17:$K$46,'RPTS '!$C$17:$C$46,'RPTS '!B56,'RPTS '!$F$17:$F$46,D56)</f>
        <v/>
      </c>
      <c r="F56" s="824" t="n"/>
      <c r="G56" s="729">
        <f>SUMIFS('RPTS '!$D$79:$D$112,'RPTS '!$B$79:$B$112,'RPTS '!D56,'RPTS '!$C$79:$C$112,'RPTS '!B56)*E56</f>
        <v/>
      </c>
      <c r="H56" s="842" t="n"/>
      <c r="I56" s="824" t="n"/>
      <c r="J56" s="881">
        <f>SUMIFS('RPTS '!$M$17:$M$46,'RPTS '!$C$17:$C$46,'RPTS '!B56,'RPTS '!$F$17:$F$46,D56)</f>
        <v/>
      </c>
      <c r="K56" s="882">
        <f>IF(E56=0,"-",E56/J56)</f>
        <v/>
      </c>
      <c r="L56" s="845" t="n"/>
      <c r="P56" s="378" t="n"/>
      <c r="Q56" s="378" t="n"/>
      <c r="R56" s="378" t="n"/>
      <c r="S56" s="11" t="n"/>
    </row>
    <row r="57" ht="43.5" customHeight="1"/>
    <row r="58" ht="13.5" customHeight="1" thickBot="1"/>
    <row r="59" ht="33.6" customHeight="1" thickBot="1">
      <c r="B59" s="759" t="inlineStr">
        <is>
          <t>Destination</t>
        </is>
      </c>
      <c r="C59" s="792" t="n"/>
      <c r="D59" s="158" t="n"/>
      <c r="E59" s="618" t="inlineStr">
        <is>
          <t>Tonnage brut</t>
        </is>
      </c>
      <c r="F59" s="793" t="n"/>
      <c r="G59" s="618" t="inlineStr">
        <is>
          <t>Tge S/M</t>
        </is>
      </c>
      <c r="H59" s="792" t="n"/>
      <c r="I59" s="793" t="n"/>
      <c r="J59" s="618" t="inlineStr">
        <is>
          <t>H.M</t>
        </is>
      </c>
      <c r="K59" s="618" t="inlineStr">
        <is>
          <t>T/H</t>
        </is>
      </c>
      <c r="L59" s="793" t="n"/>
    </row>
    <row r="60" ht="32.25" customHeight="1" thickBot="1">
      <c r="B60" s="757" t="inlineStr">
        <is>
          <t>TS-CRIBLAGE</t>
        </is>
      </c>
      <c r="C60" s="792" t="n"/>
      <c r="D60" s="159" t="n"/>
      <c r="E60" s="614">
        <f>SUMIFS('RPTS '!$E$49:$E$56,'RPTS '!$D$49:$D$56,D60)</f>
        <v/>
      </c>
      <c r="F60" s="793" t="n"/>
      <c r="G60" s="615">
        <f>SUMIFS('RPTS '!$G$49:$G$56,'RPTS '!$D$49:$D$56,D60)</f>
        <v/>
      </c>
      <c r="H60" s="792" t="n"/>
      <c r="I60" s="793" t="n"/>
      <c r="J60" s="851">
        <f>SUMIFS('RPTS '!$J$49:$J$56,'RPTS '!$D$49:$D$56,D60)</f>
        <v/>
      </c>
      <c r="K60" s="615">
        <f>IF(E60=0,"-",E60/J60)</f>
        <v/>
      </c>
      <c r="L60" s="793" t="n"/>
      <c r="M60" s="10" t="n"/>
      <c r="N60" s="10" t="n"/>
      <c r="O60" s="62" t="n"/>
      <c r="P60" s="63" t="n"/>
      <c r="Q60" s="63" t="n"/>
      <c r="R60" s="63" t="n"/>
      <c r="S60" s="11" t="n"/>
    </row>
    <row r="62">
      <c r="Q62" s="48" t="n"/>
      <c r="R62" s="49" t="n"/>
    </row>
    <row r="63">
      <c r="Q63" s="48" t="n"/>
      <c r="R63" s="49" t="n"/>
    </row>
    <row r="64">
      <c r="Q64" s="50" t="n"/>
      <c r="R64" s="49" t="n"/>
    </row>
    <row r="65">
      <c r="Q65" s="48" t="n"/>
      <c r="R65" s="49" t="n"/>
    </row>
    <row r="66">
      <c r="Q66" s="48" t="n"/>
      <c r="R66" s="49" t="n"/>
    </row>
    <row r="67">
      <c r="Q67" s="48" t="n"/>
      <c r="R67" s="49" t="n"/>
    </row>
    <row r="68">
      <c r="Q68" s="48" t="n"/>
      <c r="R68" s="51" t="n"/>
    </row>
    <row r="70" ht="15.75" customHeight="1">
      <c r="D70" s="47" t="n"/>
      <c r="E70" s="47" t="n"/>
      <c r="F70" s="47" t="n"/>
      <c r="G70" s="47" t="n"/>
      <c r="H70" s="47" t="n"/>
      <c r="I70" s="47" t="n"/>
      <c r="J70" s="47" t="n"/>
      <c r="K70" s="47" t="n"/>
    </row>
    <row r="71" ht="15.75" customHeight="1">
      <c r="D71" s="47" t="n"/>
      <c r="E71" s="47" t="n"/>
      <c r="F71" s="47" t="n"/>
      <c r="G71" s="47" t="n"/>
      <c r="H71" s="47" t="n"/>
      <c r="I71" s="47" t="n"/>
      <c r="J71" s="47" t="n"/>
      <c r="K71" s="47" t="n"/>
    </row>
    <row r="72" ht="15.75" customHeight="1">
      <c r="D72" s="47" t="n"/>
      <c r="E72" s="47" t="n"/>
      <c r="F72" s="47" t="n"/>
      <c r="G72" s="47" t="n"/>
      <c r="H72" s="47" t="n"/>
      <c r="I72" s="47" t="n"/>
      <c r="J72" s="47" t="n"/>
      <c r="K72" s="47" t="n"/>
    </row>
    <row r="73" ht="15.75" customHeight="1">
      <c r="D73" s="47" t="n"/>
      <c r="E73" s="47" t="n"/>
      <c r="F73" s="47" t="n"/>
      <c r="G73" s="47" t="n"/>
      <c r="H73" s="47" t="n"/>
      <c r="I73" s="47" t="n"/>
      <c r="J73" s="47" t="n"/>
      <c r="K73" s="47" t="n"/>
    </row>
    <row r="74" ht="15.75" customHeight="1">
      <c r="D74" s="47" t="n"/>
      <c r="E74" s="47" t="n"/>
      <c r="F74" s="47" t="n"/>
      <c r="G74" s="47" t="n"/>
      <c r="H74" s="47" t="n"/>
      <c r="I74" s="47" t="n"/>
      <c r="J74" s="47" t="n"/>
      <c r="K74" s="47" t="n"/>
    </row>
    <row r="78">
      <c r="B78" s="54" t="inlineStr">
        <is>
          <t>destination</t>
        </is>
      </c>
      <c r="C78" s="54" t="inlineStr">
        <is>
          <t>Qualité</t>
        </is>
      </c>
      <c r="D78" s="54" t="inlineStr">
        <is>
          <t>Coef</t>
        </is>
      </c>
    </row>
    <row r="79" hidden="1" ht="18" customHeight="1">
      <c r="B79" s="71" t="inlineStr">
        <is>
          <t>SC-PW</t>
        </is>
      </c>
      <c r="C79" s="52" t="inlineStr">
        <is>
          <t>BTR</t>
        </is>
      </c>
      <c r="D79" s="53" t="n">
        <v>0.62</v>
      </c>
    </row>
    <row r="80" hidden="1" ht="18" customHeight="1">
      <c r="B80" s="71" t="inlineStr">
        <is>
          <t>SC-PW</t>
        </is>
      </c>
      <c r="C80" s="52" t="inlineStr">
        <is>
          <t>BT</t>
        </is>
      </c>
      <c r="D80" s="53" t="n">
        <v>0.58</v>
      </c>
    </row>
    <row r="81" hidden="1" ht="18" customHeight="1">
      <c r="B81" s="71" t="inlineStr">
        <is>
          <t>SC-PW</t>
        </is>
      </c>
      <c r="C81" s="52" t="inlineStr">
        <is>
          <t>HTN</t>
        </is>
      </c>
      <c r="D81" s="53" t="n">
        <v>0.8</v>
      </c>
    </row>
    <row r="82" hidden="1" ht="18" customHeight="1">
      <c r="B82" s="71" t="inlineStr">
        <is>
          <t>SC-PW</t>
        </is>
      </c>
      <c r="C82" s="52" t="inlineStr">
        <is>
          <t>HTM</t>
        </is>
      </c>
      <c r="D82" s="53" t="n">
        <v>0.79</v>
      </c>
    </row>
    <row r="83" hidden="1" ht="18" customHeight="1">
      <c r="B83" s="71" t="inlineStr">
        <is>
          <t>SC-PW</t>
        </is>
      </c>
      <c r="C83" s="52" t="inlineStr">
        <is>
          <t>MT</t>
        </is>
      </c>
      <c r="D83" s="53" t="n">
        <v>0.78</v>
      </c>
    </row>
    <row r="84" hidden="1" ht="18" customHeight="1">
      <c r="B84" s="71" t="inlineStr">
        <is>
          <t>SC-PW</t>
        </is>
      </c>
      <c r="C84" s="52" t="inlineStr">
        <is>
          <t>TBT</t>
        </is>
      </c>
      <c r="D84" s="53" t="n">
        <v>0.55</v>
      </c>
    </row>
    <row r="85" hidden="1" ht="18" customHeight="1">
      <c r="B85" s="71" t="inlineStr">
        <is>
          <t>SC-PW</t>
        </is>
      </c>
      <c r="C85" s="52" t="inlineStr">
        <is>
          <t>THT</t>
        </is>
      </c>
      <c r="D85" s="53" t="n">
        <v>0.82</v>
      </c>
    </row>
    <row r="86" ht="18" customHeight="1">
      <c r="B86" s="71" t="inlineStr">
        <is>
          <t>TS-CRIBLAGE</t>
        </is>
      </c>
      <c r="C86" s="52" t="inlineStr">
        <is>
          <t>TBTTS</t>
        </is>
      </c>
      <c r="D86" s="53" t="n">
        <v>0.57</v>
      </c>
    </row>
    <row r="87" hidden="1" ht="18" customHeight="1">
      <c r="B87" s="71" t="inlineStr">
        <is>
          <t>PW-UB</t>
        </is>
      </c>
      <c r="C87" s="52" t="inlineStr">
        <is>
          <t>BTLSC</t>
        </is>
      </c>
      <c r="D87" s="53" t="n">
        <v>0.82</v>
      </c>
    </row>
    <row r="88" hidden="1" ht="18" customHeight="1">
      <c r="B88" s="71" t="inlineStr">
        <is>
          <t>PW-UB</t>
        </is>
      </c>
      <c r="C88" s="52" t="inlineStr">
        <is>
          <t>BTRLSC</t>
        </is>
      </c>
      <c r="D88" s="53" t="n">
        <v>0.82</v>
      </c>
    </row>
    <row r="89" hidden="1" ht="18" customHeight="1">
      <c r="B89" s="71" t="inlineStr">
        <is>
          <t>PW-UB</t>
        </is>
      </c>
      <c r="C89" s="52" t="inlineStr">
        <is>
          <t>MTLSC</t>
        </is>
      </c>
      <c r="D89" s="53" t="n">
        <v>0.82</v>
      </c>
    </row>
    <row r="90" hidden="1" ht="18" customHeight="1">
      <c r="B90" s="71" t="inlineStr">
        <is>
          <t>PW-UB</t>
        </is>
      </c>
      <c r="C90" s="52" t="inlineStr">
        <is>
          <t>HTMTLSC</t>
        </is>
      </c>
      <c r="D90" s="53" t="n">
        <v>0.82</v>
      </c>
    </row>
    <row r="91" hidden="1" ht="18" customHeight="1">
      <c r="B91" s="71" t="inlineStr">
        <is>
          <t>PW-UB</t>
        </is>
      </c>
      <c r="C91" s="52" t="inlineStr">
        <is>
          <t>TBTLSC</t>
        </is>
      </c>
      <c r="D91" s="53" t="n">
        <v>0.84</v>
      </c>
    </row>
    <row r="92" hidden="1" ht="18" customHeight="1">
      <c r="B92" s="71" t="inlineStr">
        <is>
          <t>PW-UB</t>
        </is>
      </c>
      <c r="C92" s="52" t="inlineStr">
        <is>
          <t>TBTLTS</t>
        </is>
      </c>
      <c r="D92" s="53" t="n">
        <v>0.85</v>
      </c>
    </row>
    <row r="93" hidden="1" ht="18" customHeight="1">
      <c r="B93" s="71" t="inlineStr">
        <is>
          <t>PW-UB</t>
        </is>
      </c>
      <c r="C93" s="52" t="inlineStr">
        <is>
          <t>BTLTS</t>
        </is>
      </c>
      <c r="D93" s="53" t="n">
        <v>0.84</v>
      </c>
    </row>
    <row r="94" hidden="1" ht="18" customHeight="1">
      <c r="B94" s="71" t="inlineStr">
        <is>
          <t>PW-UB</t>
        </is>
      </c>
      <c r="C94" s="52" t="inlineStr">
        <is>
          <t>HTMLTS</t>
        </is>
      </c>
      <c r="D94" s="53" t="n">
        <v>0.84</v>
      </c>
    </row>
    <row r="95" hidden="1" ht="18" customHeight="1">
      <c r="B95" s="71" t="inlineStr">
        <is>
          <t>PW-UB</t>
        </is>
      </c>
      <c r="C95" s="52" t="inlineStr">
        <is>
          <t>BT</t>
        </is>
      </c>
      <c r="D95" s="53" t="n">
        <v>0.75</v>
      </c>
    </row>
    <row r="96" hidden="1" ht="18" customHeight="1">
      <c r="B96" s="71" t="inlineStr">
        <is>
          <t>PW-UB</t>
        </is>
      </c>
      <c r="C96" s="52" t="inlineStr">
        <is>
          <t>BTR</t>
        </is>
      </c>
      <c r="D96" s="53" t="n">
        <v>0.76</v>
      </c>
    </row>
    <row r="97" hidden="1" ht="18" customHeight="1">
      <c r="B97" s="71" t="inlineStr">
        <is>
          <t>PW-UB</t>
        </is>
      </c>
      <c r="C97" s="52" t="inlineStr">
        <is>
          <t>TBT</t>
        </is>
      </c>
      <c r="D97" s="53" t="n">
        <v>0.71</v>
      </c>
    </row>
    <row r="98" hidden="1" ht="18" customHeight="1">
      <c r="B98" s="72" t="inlineStr">
        <is>
          <t>PW-UB</t>
        </is>
      </c>
      <c r="C98" s="73" t="inlineStr">
        <is>
          <t>HTNLSC</t>
        </is>
      </c>
      <c r="D98" s="74" t="n">
        <v>0.8</v>
      </c>
    </row>
    <row r="99" hidden="1" ht="18" customHeight="1">
      <c r="B99" s="72" t="inlineStr">
        <is>
          <t>PW-UB</t>
        </is>
      </c>
      <c r="C99" s="73" t="inlineStr">
        <is>
          <t>HTN</t>
        </is>
      </c>
      <c r="D99" s="74" t="n">
        <v>0.8</v>
      </c>
    </row>
    <row r="100" hidden="1" ht="18" customHeight="1">
      <c r="B100" s="72" t="inlineStr">
        <is>
          <t>PW-UB</t>
        </is>
      </c>
      <c r="C100" s="73" t="inlineStr">
        <is>
          <t>HTM</t>
        </is>
      </c>
      <c r="D100" s="74" t="n">
        <v>0.79</v>
      </c>
    </row>
    <row r="101" hidden="1" ht="18" customHeight="1">
      <c r="B101" s="72" t="inlineStr">
        <is>
          <t>PW-UB</t>
        </is>
      </c>
      <c r="C101" s="73" t="inlineStr">
        <is>
          <t>MT</t>
        </is>
      </c>
      <c r="D101" s="74" t="n">
        <v>0.78</v>
      </c>
    </row>
    <row r="102" hidden="1" ht="18" customHeight="1">
      <c r="B102" s="72" t="inlineStr">
        <is>
          <t>SC-BA</t>
        </is>
      </c>
      <c r="C102" s="73" t="inlineStr">
        <is>
          <t>BTR</t>
        </is>
      </c>
      <c r="D102" s="74" t="n">
        <v>0.67</v>
      </c>
    </row>
    <row r="103" hidden="1" ht="18" customHeight="1">
      <c r="B103" s="72" t="inlineStr">
        <is>
          <t>SC-BA</t>
        </is>
      </c>
      <c r="C103" s="73" t="inlineStr">
        <is>
          <t>BT</t>
        </is>
      </c>
      <c r="D103" s="74" t="n">
        <v>0.5600000000000001</v>
      </c>
    </row>
    <row r="104" hidden="1" ht="18" customHeight="1">
      <c r="B104" s="72" t="inlineStr">
        <is>
          <t>SC-BA</t>
        </is>
      </c>
      <c r="C104" s="73" t="inlineStr">
        <is>
          <t>HTM</t>
        </is>
      </c>
      <c r="D104" s="74" t="n">
        <v>0.71</v>
      </c>
    </row>
    <row r="105" hidden="1" ht="18" customHeight="1">
      <c r="B105" s="72" t="inlineStr">
        <is>
          <t>SC-BA</t>
        </is>
      </c>
      <c r="C105" s="73" t="inlineStr">
        <is>
          <t>MT</t>
        </is>
      </c>
      <c r="D105" s="74" t="n">
        <v>0.6899999999999999</v>
      </c>
    </row>
    <row r="106" hidden="1" ht="18" customHeight="1">
      <c r="B106" s="72" t="inlineStr">
        <is>
          <t>SC-BA</t>
        </is>
      </c>
      <c r="C106" s="73" t="inlineStr">
        <is>
          <t>TBT</t>
        </is>
      </c>
      <c r="D106" s="74" t="n">
        <v>0.34</v>
      </c>
    </row>
    <row r="107" hidden="1" ht="18" customHeight="1">
      <c r="B107" s="72" t="inlineStr">
        <is>
          <t>PW-UD</t>
        </is>
      </c>
      <c r="C107" s="73" t="inlineStr">
        <is>
          <t>BTR</t>
        </is>
      </c>
      <c r="D107" s="74" t="n">
        <v>0.62</v>
      </c>
    </row>
    <row r="108" hidden="1" ht="18" customHeight="1">
      <c r="B108" s="72" t="inlineStr">
        <is>
          <t>PW-UD</t>
        </is>
      </c>
      <c r="C108" s="73" t="inlineStr">
        <is>
          <t>BT</t>
        </is>
      </c>
      <c r="D108" s="74" t="n">
        <v>0.58</v>
      </c>
    </row>
    <row r="109" hidden="1" ht="18" customHeight="1">
      <c r="B109" s="72" t="inlineStr">
        <is>
          <t>PW-UD</t>
        </is>
      </c>
      <c r="C109" s="73" t="inlineStr">
        <is>
          <t>HTN</t>
        </is>
      </c>
      <c r="D109" s="74" t="n">
        <v>0.6899999999999999</v>
      </c>
    </row>
    <row r="110" hidden="1" ht="18" customHeight="1">
      <c r="B110" s="72" t="inlineStr">
        <is>
          <t>PW-UD</t>
        </is>
      </c>
      <c r="C110" s="73" t="inlineStr">
        <is>
          <t>HTM</t>
        </is>
      </c>
      <c r="D110" s="74" t="n">
        <v>0.71</v>
      </c>
    </row>
    <row r="111" hidden="1" ht="18" customHeight="1">
      <c r="B111" s="72" t="inlineStr">
        <is>
          <t>PW-UD</t>
        </is>
      </c>
      <c r="C111" s="73" t="inlineStr">
        <is>
          <t>MT</t>
        </is>
      </c>
      <c r="D111" s="74" t="n">
        <v>0.6899999999999999</v>
      </c>
    </row>
    <row r="112" hidden="1" ht="18" customHeight="1">
      <c r="B112" s="72" t="inlineStr">
        <is>
          <t>PW-UD</t>
        </is>
      </c>
      <c r="C112" s="73" t="inlineStr">
        <is>
          <t>TBT</t>
        </is>
      </c>
      <c r="D112" s="74" t="n">
        <v>0.55</v>
      </c>
    </row>
  </sheetData>
  <mergeCells count="121">
    <mergeCell ref="K49:L49"/>
    <mergeCell ref="H35:I35"/>
    <mergeCell ref="P27:R27"/>
    <mergeCell ref="B13:R14"/>
    <mergeCell ref="O52:R52"/>
    <mergeCell ref="P36:R36"/>
    <mergeCell ref="P17:R17"/>
    <mergeCell ref="H39:I39"/>
    <mergeCell ref="E51:F51"/>
    <mergeCell ref="P19:R19"/>
    <mergeCell ref="P28:R28"/>
    <mergeCell ref="K50:L50"/>
    <mergeCell ref="P37:R37"/>
    <mergeCell ref="P30:R30"/>
    <mergeCell ref="K52:L52"/>
    <mergeCell ref="G50:I50"/>
    <mergeCell ref="H45:I45"/>
    <mergeCell ref="E49:F49"/>
    <mergeCell ref="H37:I37"/>
    <mergeCell ref="G52:I52"/>
    <mergeCell ref="B49:C49"/>
    <mergeCell ref="P38:R38"/>
    <mergeCell ref="B55:C55"/>
    <mergeCell ref="K53:L53"/>
    <mergeCell ref="B51:C51"/>
    <mergeCell ref="P40:R40"/>
    <mergeCell ref="E53:F53"/>
    <mergeCell ref="H23:I23"/>
    <mergeCell ref="I6:J6"/>
    <mergeCell ref="E55:F55"/>
    <mergeCell ref="H41:I41"/>
    <mergeCell ref="F6:G6"/>
    <mergeCell ref="E48:F48"/>
    <mergeCell ref="K55:L55"/>
    <mergeCell ref="M6:O6"/>
    <mergeCell ref="P16:R16"/>
    <mergeCell ref="H34:I34"/>
    <mergeCell ref="H25:I25"/>
    <mergeCell ref="K51:L51"/>
    <mergeCell ref="G55:I55"/>
    <mergeCell ref="P18:R18"/>
    <mergeCell ref="H36:I36"/>
    <mergeCell ref="G51:I51"/>
    <mergeCell ref="B53:C53"/>
    <mergeCell ref="K56:L56"/>
    <mergeCell ref="H17:I17"/>
    <mergeCell ref="G54:I54"/>
    <mergeCell ref="Q15:R15"/>
    <mergeCell ref="H19:I19"/>
    <mergeCell ref="P45:R45"/>
    <mergeCell ref="G56:I56"/>
    <mergeCell ref="H28:I28"/>
    <mergeCell ref="P20:R20"/>
    <mergeCell ref="P29:R29"/>
    <mergeCell ref="P44:R44"/>
    <mergeCell ref="P22:R22"/>
    <mergeCell ref="P31:R31"/>
    <mergeCell ref="K6:L6"/>
    <mergeCell ref="E50:F50"/>
    <mergeCell ref="P21:R21"/>
    <mergeCell ref="B54:C54"/>
    <mergeCell ref="H38:I38"/>
    <mergeCell ref="C2:D3"/>
    <mergeCell ref="G53:I53"/>
    <mergeCell ref="H43:I43"/>
    <mergeCell ref="E52:F52"/>
    <mergeCell ref="P23:R23"/>
    <mergeCell ref="H31:I31"/>
    <mergeCell ref="B56:C56"/>
    <mergeCell ref="K54:L54"/>
    <mergeCell ref="H40:I40"/>
    <mergeCell ref="E8:R8"/>
    <mergeCell ref="K60:L60"/>
    <mergeCell ref="B52:C52"/>
    <mergeCell ref="H21:I21"/>
    <mergeCell ref="B60:C60"/>
    <mergeCell ref="P43:R43"/>
    <mergeCell ref="E59:F59"/>
    <mergeCell ref="E9:R9"/>
    <mergeCell ref="P33:R33"/>
    <mergeCell ref="H16:I16"/>
    <mergeCell ref="Q6:R6"/>
    <mergeCell ref="H22:I22"/>
    <mergeCell ref="P35:R35"/>
    <mergeCell ref="E54:F54"/>
    <mergeCell ref="P25:R25"/>
    <mergeCell ref="H42:I42"/>
    <mergeCell ref="E56:F56"/>
    <mergeCell ref="H30:I30"/>
    <mergeCell ref="H20:I20"/>
    <mergeCell ref="P46:R46"/>
    <mergeCell ref="B59:C59"/>
    <mergeCell ref="H29:I29"/>
    <mergeCell ref="G49:I49"/>
    <mergeCell ref="P39:R39"/>
    <mergeCell ref="H44:I44"/>
    <mergeCell ref="B48:C48"/>
    <mergeCell ref="P32:R32"/>
    <mergeCell ref="H46:I46"/>
    <mergeCell ref="E60:F60"/>
    <mergeCell ref="K59:L59"/>
    <mergeCell ref="P24:R24"/>
    <mergeCell ref="G60:I60"/>
    <mergeCell ref="H32:I32"/>
    <mergeCell ref="B10:C10"/>
    <mergeCell ref="H47:I47"/>
    <mergeCell ref="G59:I59"/>
    <mergeCell ref="P26:R26"/>
    <mergeCell ref="K48:L48"/>
    <mergeCell ref="H27:I27"/>
    <mergeCell ref="C4:D5"/>
    <mergeCell ref="B8:C9"/>
    <mergeCell ref="F10:Q10"/>
    <mergeCell ref="P41:R41"/>
    <mergeCell ref="H24:I24"/>
    <mergeCell ref="H18:I18"/>
    <mergeCell ref="H33:I33"/>
    <mergeCell ref="G48:I48"/>
    <mergeCell ref="B50:C50"/>
    <mergeCell ref="P34:R34"/>
    <mergeCell ref="H26:I26"/>
  </mergeCells>
  <dataValidations count="2">
    <dataValidation sqref="B60:C60" showDropDown="0" showInputMessage="1" showErrorMessage="1" allowBlank="0" type="list">
      <formula1>$A$2:$A$15</formula1>
    </dataValidation>
    <dataValidation sqref="D60" showDropDown="0" showInputMessage="1" showErrorMessage="1" allowBlank="0" type="list">
      <formula1>$A$2:$A$10</formula1>
    </dataValidation>
  </dataValidations>
  <printOptions horizontalCentered="1" verticalCentered="1"/>
  <pageMargins left="0" right="0.1968503937007874" top="0" bottom="0" header="0" footer="0"/>
  <pageSetup orientation="landscape" paperSize="9" scale="36" horizontalDpi="180" verticalDpi="180"/>
</worksheet>
</file>

<file path=xl/worksheets/sheet6.xml><?xml version="1.0" encoding="utf-8"?>
<worksheet xmlns="http://schemas.openxmlformats.org/spreadsheetml/2006/main">
  <sheetPr codeName="Feuil6">
    <tabColor theme="9" tint="0.3999755851924192"/>
    <outlinePr summaryBelow="1" summaryRight="1"/>
    <pageSetUpPr fitToPage="1"/>
  </sheetPr>
  <dimension ref="A1:Z107"/>
  <sheetViews>
    <sheetView showGridLines="0" zoomScale="64" zoomScaleNormal="64" zoomScaleSheetLayoutView="40" workbookViewId="0">
      <selection activeCell="B17" sqref="B17"/>
    </sheetView>
  </sheetViews>
  <sheetFormatPr baseColWidth="8" defaultColWidth="11.25" defaultRowHeight="12.75"/>
  <cols>
    <col width="3.625" customWidth="1" style="378" min="1" max="1"/>
    <col width="31.25" bestFit="1" customWidth="1" style="378" min="2" max="2"/>
    <col width="23.625" customWidth="1" style="378" min="3" max="3"/>
    <col width="26.75" bestFit="1" customWidth="1" style="378" min="4" max="4"/>
    <col width="30.125" bestFit="1" customWidth="1" style="378" min="5" max="5"/>
    <col width="31.25" customWidth="1" style="378" min="6" max="6"/>
    <col width="16.625" customWidth="1" style="378" min="7" max="7"/>
    <col width="7.75" customWidth="1" style="378" min="8" max="8"/>
    <col width="9.875" customWidth="1" style="378" min="9" max="9"/>
    <col width="26.25" customWidth="1" style="378" min="10" max="10"/>
    <col width="18.25" customWidth="1" style="378" min="11" max="11"/>
    <col width="20.375" customWidth="1" style="378" min="12" max="12"/>
    <col width="18.375" customWidth="1" style="378" min="13" max="14"/>
    <col width="12.25" customWidth="1" style="378" min="15" max="15"/>
    <col width="23.75" customWidth="1" style="378" min="16" max="16"/>
    <col width="16.25" customWidth="1" style="378" min="17" max="17"/>
    <col width="20.125" customWidth="1" style="378" min="18" max="18"/>
    <col width="5.75" customWidth="1" style="378" min="19" max="19"/>
    <col width="11.25" customWidth="1" style="378" min="20" max="22"/>
    <col width="11.25" customWidth="1" style="378" min="23" max="16384"/>
  </cols>
  <sheetData>
    <row r="1" ht="18.75" customHeight="1" thickBot="1">
      <c r="A1" s="378" t="n">
        <v>6</v>
      </c>
    </row>
    <row r="2" ht="34.5" customHeight="1" thickBot="1">
      <c r="B2" s="19" t="n"/>
      <c r="C2" s="571">
        <f>TODAY()</f>
        <v/>
      </c>
      <c r="E2" s="26" t="n"/>
      <c r="F2" s="26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  <c r="P2" s="19" t="n"/>
      <c r="Q2" s="19" t="n"/>
      <c r="R2" s="20" t="n"/>
      <c r="S2" s="28" t="n"/>
    </row>
    <row r="3" ht="34.5" customHeight="1" thickBot="1">
      <c r="B3" s="19" t="n"/>
      <c r="E3" s="26" t="n"/>
      <c r="F3" s="26" t="n"/>
      <c r="G3" s="21" t="n"/>
      <c r="H3" s="19" t="n"/>
      <c r="I3" s="19" t="n"/>
      <c r="J3" s="19" t="n"/>
      <c r="K3" s="19" t="n"/>
      <c r="L3" s="19" t="n"/>
      <c r="M3" s="19" t="n"/>
      <c r="N3" s="19" t="n"/>
      <c r="O3" s="19" t="n"/>
      <c r="P3" s="22" t="n"/>
      <c r="Q3" s="21" t="n"/>
      <c r="R3" s="20" t="n"/>
      <c r="S3" s="28" t="n"/>
    </row>
    <row r="4" ht="34.5" customHeight="1" thickBot="1">
      <c r="B4" s="19" t="n"/>
      <c r="C4" s="789">
        <f>NOW()</f>
        <v/>
      </c>
      <c r="E4" s="26" t="n"/>
      <c r="F4" s="26" t="n"/>
      <c r="G4" s="21" t="n"/>
      <c r="H4" s="19" t="n"/>
      <c r="I4" s="19" t="n"/>
      <c r="J4" s="19" t="n"/>
      <c r="K4" s="19" t="n"/>
      <c r="L4" s="19" t="n"/>
      <c r="M4" s="19" t="n"/>
      <c r="N4" s="19" t="n"/>
      <c r="O4" s="19" t="n"/>
      <c r="P4" s="22" t="n"/>
      <c r="Q4" s="21" t="n"/>
      <c r="R4" s="20" t="n"/>
      <c r="S4" s="28" t="n"/>
    </row>
    <row r="5" ht="34.5" customHeight="1" thickBot="1">
      <c r="B5" s="19" t="n"/>
      <c r="E5" s="26" t="n"/>
      <c r="F5" s="26" t="n"/>
      <c r="G5" s="21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  <c r="R5" s="20" t="n"/>
      <c r="S5" s="28" t="n"/>
    </row>
    <row r="6" ht="34.5" customHeight="1">
      <c r="B6" s="19" t="n"/>
      <c r="C6" s="24" t="n"/>
      <c r="D6" s="25" t="n"/>
      <c r="E6" s="26" t="n"/>
      <c r="F6" s="573" t="inlineStr">
        <is>
          <t>Fin</t>
        </is>
      </c>
      <c r="H6" s="574" t="inlineStr">
        <is>
          <t>Durée</t>
        </is>
      </c>
      <c r="I6" s="574" t="inlineStr">
        <is>
          <t>Type d'arrêt</t>
        </is>
      </c>
      <c r="K6" s="574" t="inlineStr">
        <is>
          <t>Zone</t>
        </is>
      </c>
      <c r="M6" s="574" t="inlineStr">
        <is>
          <t>Equipement</t>
        </is>
      </c>
      <c r="P6" s="574" t="n"/>
      <c r="Q6" s="574" t="n"/>
      <c r="S6" s="29" t="n"/>
    </row>
    <row r="7" ht="18.75" customHeight="1" thickBot="1"/>
    <row r="8" ht="36" customHeight="1" thickBot="1">
      <c r="A8" s="5" t="n"/>
      <c r="B8" s="790" t="n"/>
      <c r="C8" s="791" t="n"/>
      <c r="D8" s="38" t="inlineStr">
        <is>
          <t>Formulaire</t>
        </is>
      </c>
      <c r="E8" s="593" t="inlineStr">
        <is>
          <t>PRL-LA-IT-06-F-02</t>
        </is>
      </c>
      <c r="F8" s="792" t="n"/>
      <c r="G8" s="792" t="n"/>
      <c r="H8" s="792" t="n"/>
      <c r="I8" s="792" t="n"/>
      <c r="J8" s="792" t="n"/>
      <c r="K8" s="792" t="n"/>
      <c r="L8" s="792" t="n"/>
      <c r="M8" s="792" t="n"/>
      <c r="N8" s="792" t="n"/>
      <c r="O8" s="792" t="n"/>
      <c r="P8" s="792" t="n"/>
      <c r="Q8" s="792" t="n"/>
      <c r="R8" s="793" t="n"/>
    </row>
    <row r="9" ht="38.25" customHeight="1" thickBot="1">
      <c r="A9" s="5" t="n"/>
      <c r="B9" s="794" t="n"/>
      <c r="C9" s="795" t="n"/>
      <c r="D9" s="38" t="inlineStr">
        <is>
          <t>Entité</t>
        </is>
      </c>
      <c r="E9" s="594" t="inlineStr">
        <is>
          <t>Entités de Traitement de Site de Khouribga</t>
        </is>
      </c>
      <c r="F9" s="792" t="n"/>
      <c r="G9" s="792" t="n"/>
      <c r="H9" s="792" t="n"/>
      <c r="I9" s="792" t="n"/>
      <c r="J9" s="792" t="n"/>
      <c r="K9" s="792" t="n"/>
      <c r="L9" s="792" t="n"/>
      <c r="M9" s="792" t="n"/>
      <c r="N9" s="792" t="n"/>
      <c r="O9" s="792" t="n"/>
      <c r="P9" s="792" t="n"/>
      <c r="Q9" s="792" t="n"/>
      <c r="R9" s="793" t="n"/>
    </row>
    <row r="10" ht="38.25" customHeight="1" thickBot="1">
      <c r="A10" s="5" t="n"/>
      <c r="B10" s="796" t="inlineStr">
        <is>
          <t>DIRECTION EXECUTIVE
OPERATIONSINDUSTRIELLES
DIRECTION DE SITE  DE KHOURIBGA</t>
        </is>
      </c>
      <c r="C10" s="797" t="n"/>
      <c r="D10" s="38" t="inlineStr">
        <is>
          <t>Version</t>
        </is>
      </c>
      <c r="E10" s="593" t="n">
        <v>5</v>
      </c>
      <c r="F10" s="594" t="inlineStr">
        <is>
          <t xml:space="preserve">Applicable le </t>
        </is>
      </c>
      <c r="G10" s="792" t="n"/>
      <c r="H10" s="792" t="n"/>
      <c r="I10" s="792" t="n"/>
      <c r="J10" s="792" t="n"/>
      <c r="K10" s="792" t="n"/>
      <c r="L10" s="792" t="n"/>
      <c r="M10" s="792" t="n"/>
      <c r="N10" s="792" t="n"/>
      <c r="O10" s="792" t="n"/>
      <c r="P10" s="792" t="n"/>
      <c r="Q10" s="793" t="n"/>
      <c r="R10" s="37" t="n">
        <v>45000</v>
      </c>
    </row>
    <row r="11" ht="26.25" customHeight="1">
      <c r="A11" s="5" t="n"/>
      <c r="B11" s="32" t="inlineStr">
        <is>
          <t>OIK/BD/E- 428</t>
        </is>
      </c>
      <c r="C11" s="30" t="n"/>
      <c r="D11" s="31" t="n"/>
    </row>
    <row r="12" ht="5.25" customHeight="1"/>
    <row r="13" ht="24" customHeight="1">
      <c r="B13" s="583" t="inlineStr">
        <is>
          <t>Titre: Rapport de tonnage</t>
        </is>
      </c>
    </row>
    <row r="14" ht="21" customHeight="1">
      <c r="A14" s="6" t="n"/>
    </row>
    <row r="15" ht="33.75" customHeight="1" thickBot="1">
      <c r="A15" s="7" t="n"/>
      <c r="B15" s="166" t="inlineStr">
        <is>
          <t>Installation : CRIBLAGE</t>
        </is>
      </c>
      <c r="C15" s="39" t="n"/>
      <c r="E15" s="36" t="n"/>
      <c r="J15" s="34" t="n"/>
      <c r="K15" s="34" t="n"/>
      <c r="P15" s="70" t="inlineStr">
        <is>
          <t>Journée du :</t>
        </is>
      </c>
      <c r="Q15" s="584">
        <f>'RPT1'!Q15:R15</f>
        <v/>
      </c>
    </row>
    <row r="16" ht="42.75" customFormat="1" customHeight="1" s="40" thickBot="1">
      <c r="B16" s="67" t="inlineStr">
        <is>
          <t>Heures</t>
        </is>
      </c>
      <c r="C16" s="68" t="inlineStr">
        <is>
          <t>Qualité</t>
        </is>
      </c>
      <c r="D16" s="68" t="inlineStr">
        <is>
          <t>Code</t>
        </is>
      </c>
      <c r="E16" s="68" t="inlineStr">
        <is>
          <t>Repère déstockage</t>
        </is>
      </c>
      <c r="F16" s="68" t="inlineStr">
        <is>
          <t>Destination</t>
        </is>
      </c>
      <c r="G16" s="68" t="inlineStr">
        <is>
          <t>Repère stockage</t>
        </is>
      </c>
      <c r="H16" s="798" t="inlineStr">
        <is>
          <t>Bascule
T11</t>
        </is>
      </c>
      <c r="I16" s="799" t="n"/>
      <c r="J16" s="68" t="inlineStr">
        <is>
          <t>Index bascule</t>
        </is>
      </c>
      <c r="K16" s="83" t="inlineStr">
        <is>
          <t>Tonnage</t>
        </is>
      </c>
      <c r="L16" s="68" t="inlineStr">
        <is>
          <t>Index horaire
T11</t>
        </is>
      </c>
      <c r="M16" s="83" t="inlineStr">
        <is>
          <t>HM</t>
        </is>
      </c>
      <c r="N16" s="68" t="inlineStr">
        <is>
          <t>POSTE</t>
        </is>
      </c>
      <c r="O16" s="83" t="inlineStr">
        <is>
          <t>T/H</t>
        </is>
      </c>
      <c r="P16" s="69" t="inlineStr">
        <is>
          <t>Sous vitesses/Causes marche à vide</t>
        </is>
      </c>
      <c r="Q16" s="792" t="n"/>
      <c r="R16" s="793" t="n"/>
      <c r="S16" s="41" t="n"/>
    </row>
    <row r="17" ht="32.25" customFormat="1" customHeight="1" s="332">
      <c r="B17" s="400" t="n"/>
      <c r="C17" s="398" t="n"/>
      <c r="D17" s="705" t="n"/>
      <c r="E17" s="399" t="n"/>
      <c r="F17" s="488" t="n"/>
      <c r="G17" s="705" t="n"/>
      <c r="H17" s="852" t="n"/>
      <c r="I17" s="815" t="n"/>
      <c r="J17" s="489" t="n"/>
      <c r="K17" s="405" t="n"/>
      <c r="L17" s="801" t="n"/>
      <c r="M17" s="802" t="n"/>
      <c r="N17" s="409" t="n"/>
      <c r="O17" s="407">
        <f>IF(K17=0,"-",K17/M17)</f>
        <v/>
      </c>
      <c r="P17" s="711" t="n"/>
      <c r="Q17" s="829" t="n"/>
      <c r="R17" s="836" t="n"/>
      <c r="S17" s="332" t="n"/>
      <c r="X17" s="354" t="n"/>
      <c r="Y17" s="354" t="n"/>
      <c r="Z17" s="354" t="n"/>
    </row>
    <row r="18" ht="32.25" customFormat="1" customHeight="1" s="378">
      <c r="B18" s="297" t="n"/>
      <c r="C18" s="190" t="n"/>
      <c r="D18" s="719" t="n"/>
      <c r="E18" s="197" t="n"/>
      <c r="F18" s="192" t="n"/>
      <c r="G18" s="719" t="n"/>
      <c r="H18" s="892" t="n"/>
      <c r="I18" s="815" t="n"/>
      <c r="J18" s="184" t="n"/>
      <c r="K18" s="177">
        <f>IF(AND(H18=H17,J18-J17&gt;0),J18-J17,0)</f>
        <v/>
      </c>
      <c r="L18" s="809" t="n"/>
      <c r="M18" s="807">
        <f>IF(AND(H18=H17,L18-L17&lt;1.1,L18-L17&gt;0),L18-L17,0)</f>
        <v/>
      </c>
      <c r="N18" s="227" t="n"/>
      <c r="O18" s="195">
        <f>IF(K18=0,"-",K18/M18)</f>
        <v/>
      </c>
      <c r="P18" s="709" t="n"/>
      <c r="Q18" s="829" t="n"/>
      <c r="R18" s="836" t="n"/>
      <c r="S18" s="378" t="n"/>
      <c r="X18" s="378" t="n"/>
      <c r="Y18" s="76" t="n"/>
      <c r="Z18" s="77" t="n"/>
    </row>
    <row r="19" ht="32.25" customFormat="1" customHeight="1" s="378">
      <c r="B19" s="297" t="n"/>
      <c r="C19" s="190" t="n"/>
      <c r="D19" s="719" t="n"/>
      <c r="E19" s="197" t="n"/>
      <c r="F19" s="192" t="n"/>
      <c r="G19" s="719" t="n"/>
      <c r="H19" s="892" t="n"/>
      <c r="I19" s="815" t="n"/>
      <c r="J19" s="184" t="n"/>
      <c r="K19" s="177">
        <f>IF(AND(H19=H18,J19-J18&gt;0),J19-J18,0)</f>
        <v/>
      </c>
      <c r="L19" s="809" t="n"/>
      <c r="M19" s="807">
        <f>IF(AND(H19=H18,L19-L18&lt;1.1,L19-L18&gt;0),L19-L18,0)</f>
        <v/>
      </c>
      <c r="N19" s="227" t="n"/>
      <c r="O19" s="195">
        <f>IF(K19=0,"-",K19/M19)</f>
        <v/>
      </c>
      <c r="P19" s="709" t="n"/>
      <c r="Q19" s="829" t="n"/>
      <c r="R19" s="836" t="n"/>
      <c r="S19" s="378" t="n"/>
      <c r="X19" s="378" t="n"/>
      <c r="Y19" s="76" t="n"/>
      <c r="Z19" s="77" t="n"/>
    </row>
    <row r="20" ht="32.25" customFormat="1" customHeight="1" s="378">
      <c r="B20" s="297" t="n"/>
      <c r="C20" s="190" t="n"/>
      <c r="D20" s="719" t="n"/>
      <c r="E20" s="197" t="n"/>
      <c r="F20" s="192" t="n"/>
      <c r="G20" s="719" t="n"/>
      <c r="H20" s="892" t="n"/>
      <c r="I20" s="815" t="n"/>
      <c r="J20" s="184" t="n"/>
      <c r="K20" s="177">
        <f>IF(AND(H20=H19,J20-J19&gt;0),J20-J19,0)</f>
        <v/>
      </c>
      <c r="L20" s="809" t="n"/>
      <c r="M20" s="807">
        <f>IF(AND(H20=H19,L20-L19&lt;1.1,L20-L19&gt;0),L20-L19,0)</f>
        <v/>
      </c>
      <c r="N20" s="227" t="n"/>
      <c r="O20" s="195">
        <f>IF(K20=0,"-",K20/M20)</f>
        <v/>
      </c>
      <c r="P20" s="709" t="n"/>
      <c r="Q20" s="829" t="n"/>
      <c r="R20" s="836" t="n"/>
      <c r="S20" s="378" t="n"/>
      <c r="X20" s="378" t="n"/>
      <c r="Y20" s="76" t="n"/>
      <c r="Z20" s="77" t="n"/>
    </row>
    <row r="21" ht="32.25" customFormat="1" customHeight="1" s="378">
      <c r="B21" s="297" t="n"/>
      <c r="C21" s="190" t="n"/>
      <c r="D21" s="719" t="n"/>
      <c r="E21" s="197" t="n"/>
      <c r="F21" s="192" t="n"/>
      <c r="G21" s="719" t="n"/>
      <c r="H21" s="892" t="n"/>
      <c r="I21" s="815" t="n"/>
      <c r="J21" s="184" t="n"/>
      <c r="K21" s="177">
        <f>IF(AND(H21=H20,J21-J20&gt;0),J21-J20,0)</f>
        <v/>
      </c>
      <c r="L21" s="809" t="n"/>
      <c r="M21" s="807">
        <f>IF(AND(H21=H20,L21-L20&lt;1.1,L21-L20&gt;0),L21-L20,0)</f>
        <v/>
      </c>
      <c r="N21" s="227" t="n"/>
      <c r="O21" s="195">
        <f>IF(K21=0,"-",K21/M21)</f>
        <v/>
      </c>
      <c r="P21" s="709" t="n"/>
      <c r="Q21" s="829" t="n"/>
      <c r="R21" s="836" t="n"/>
      <c r="S21" s="378" t="n"/>
      <c r="X21" s="378" t="n"/>
      <c r="Y21" s="76" t="n"/>
      <c r="Z21" s="77" t="n"/>
    </row>
    <row r="22" ht="32.25" customFormat="1" customHeight="1" s="378">
      <c r="B22" s="297" t="n"/>
      <c r="C22" s="190" t="n"/>
      <c r="D22" s="719" t="n"/>
      <c r="E22" s="197" t="n"/>
      <c r="F22" s="192" t="n"/>
      <c r="G22" s="719" t="n"/>
      <c r="H22" s="892" t="n"/>
      <c r="I22" s="815" t="n"/>
      <c r="J22" s="184" t="n"/>
      <c r="K22" s="177">
        <f>IF(AND(H22=H21,J22-J21&gt;0),J22-J21,0)</f>
        <v/>
      </c>
      <c r="L22" s="809" t="n"/>
      <c r="M22" s="807">
        <f>IF(AND(H22=H21,L22-L21&lt;1.1,L22-L21&gt;0),L22-L21,0)</f>
        <v/>
      </c>
      <c r="N22" s="227" t="n"/>
      <c r="O22" s="195">
        <f>IF(K22=0,"-",K22/M22)</f>
        <v/>
      </c>
      <c r="P22" s="709" t="n"/>
      <c r="Q22" s="829" t="n"/>
      <c r="R22" s="836" t="n"/>
      <c r="S22" s="378" t="n"/>
      <c r="X22" s="378" t="n"/>
      <c r="Y22" s="76" t="n"/>
      <c r="Z22" s="77" t="n"/>
    </row>
    <row r="23" ht="32.25" customFormat="1" customHeight="1" s="378">
      <c r="B23" s="297" t="n"/>
      <c r="C23" s="190" t="n"/>
      <c r="D23" s="719" t="n"/>
      <c r="E23" s="197" t="n"/>
      <c r="F23" s="192" t="n"/>
      <c r="G23" s="719" t="n"/>
      <c r="H23" s="892" t="n"/>
      <c r="I23" s="815" t="n"/>
      <c r="J23" s="184" t="n"/>
      <c r="K23" s="177">
        <f>IF(AND(H23=H22,J23-J22&gt;0),J23-J22,0)</f>
        <v/>
      </c>
      <c r="L23" s="809" t="n"/>
      <c r="M23" s="807">
        <f>IF(AND(H23=H22,L23-L22&lt;1.1,L23-L22&gt;0),L23-L22,0)</f>
        <v/>
      </c>
      <c r="N23" s="227" t="n"/>
      <c r="O23" s="195">
        <f>IF(K23=0,"-",K23/M23)</f>
        <v/>
      </c>
      <c r="P23" s="709" t="n"/>
      <c r="Q23" s="829" t="n"/>
      <c r="R23" s="836" t="n"/>
      <c r="S23" s="378" t="n"/>
      <c r="X23" s="378" t="n"/>
      <c r="Y23" s="76" t="n"/>
      <c r="Z23" s="77" t="n"/>
    </row>
    <row r="24" ht="32.25" customFormat="1" customHeight="1" s="378">
      <c r="B24" s="297" t="n"/>
      <c r="C24" s="190" t="n"/>
      <c r="D24" s="719" t="n"/>
      <c r="E24" s="197" t="n"/>
      <c r="F24" s="192" t="n"/>
      <c r="G24" s="719" t="n"/>
      <c r="H24" s="892" t="n"/>
      <c r="I24" s="815" t="n"/>
      <c r="J24" s="184" t="n"/>
      <c r="K24" s="177">
        <f>IF(AND(H24=H23,J24-J23&gt;0),J24-J23,0)</f>
        <v/>
      </c>
      <c r="L24" s="809" t="n"/>
      <c r="M24" s="807">
        <f>IF(AND(H24=H23,L24-L23&lt;1.1,L24-L23&gt;0),L24-L23,0)</f>
        <v/>
      </c>
      <c r="N24" s="227" t="n"/>
      <c r="O24" s="195">
        <f>IF(K24=0,"-",K24/M24)</f>
        <v/>
      </c>
      <c r="P24" s="709" t="n"/>
      <c r="Q24" s="829" t="n"/>
      <c r="R24" s="836" t="n"/>
      <c r="S24" s="378" t="n"/>
      <c r="X24" s="378" t="n"/>
      <c r="Y24" s="76" t="n"/>
      <c r="Z24" s="77" t="n"/>
    </row>
    <row r="25" ht="32.25" customFormat="1" customHeight="1" s="378">
      <c r="B25" s="297" t="n"/>
      <c r="C25" s="190" t="n"/>
      <c r="D25" s="719" t="n"/>
      <c r="E25" s="197" t="n"/>
      <c r="F25" s="192" t="n"/>
      <c r="G25" s="719" t="n"/>
      <c r="H25" s="892" t="n"/>
      <c r="I25" s="815" t="n"/>
      <c r="J25" s="184" t="n"/>
      <c r="K25" s="177">
        <f>IF(AND(H25=H24,J25-J24&gt;0),J25-J24,0)</f>
        <v/>
      </c>
      <c r="L25" s="809" t="n"/>
      <c r="M25" s="807">
        <f>IF(AND(H25=H24,L25-L24&lt;1.1,L25-L24&gt;0),L25-L24,0)</f>
        <v/>
      </c>
      <c r="N25" s="227" t="n"/>
      <c r="O25" s="195">
        <f>IF(K25=0,"-",K25/M25)</f>
        <v/>
      </c>
      <c r="P25" s="709" t="n"/>
      <c r="Q25" s="829" t="n"/>
      <c r="R25" s="836" t="n"/>
      <c r="S25" s="378" t="n"/>
      <c r="X25" s="378" t="n"/>
      <c r="Y25" s="76" t="n"/>
      <c r="Z25" s="77" t="n"/>
    </row>
    <row r="26" ht="32.25" customFormat="1" customHeight="1" s="378">
      <c r="B26" s="297" t="n"/>
      <c r="C26" s="190" t="n"/>
      <c r="D26" s="719" t="n"/>
      <c r="E26" s="197" t="n"/>
      <c r="F26" s="192" t="n"/>
      <c r="G26" s="719" t="n"/>
      <c r="H26" s="892" t="n"/>
      <c r="I26" s="815" t="n"/>
      <c r="J26" s="184" t="n"/>
      <c r="K26" s="177">
        <f>IF(AND(H26=H25,J26-J25&gt;0),J26-J25,0)</f>
        <v/>
      </c>
      <c r="L26" s="809" t="n"/>
      <c r="M26" s="807">
        <f>IF(AND(H26=H25,L26-L25&lt;1.1,L26-L25&gt;0),L26-L25,0)</f>
        <v/>
      </c>
      <c r="N26" s="227" t="n"/>
      <c r="O26" s="195">
        <f>IF(K26=0,"-",K26/M26)</f>
        <v/>
      </c>
      <c r="P26" s="709" t="n"/>
      <c r="Q26" s="829" t="n"/>
      <c r="R26" s="836" t="n"/>
      <c r="S26" s="378" t="n"/>
      <c r="X26" s="378" t="n"/>
      <c r="Y26" s="76" t="n"/>
      <c r="Z26" s="77" t="n"/>
    </row>
    <row r="27" ht="32.25" customHeight="1">
      <c r="B27" s="297" t="n"/>
      <c r="C27" s="190" t="n"/>
      <c r="D27" s="719" t="n"/>
      <c r="E27" s="197" t="n"/>
      <c r="F27" s="192" t="n"/>
      <c r="G27" s="719" t="n"/>
      <c r="H27" s="892" t="n"/>
      <c r="I27" s="815" t="n"/>
      <c r="J27" s="184" t="n"/>
      <c r="K27" s="177">
        <f>IF(AND(H27=H26,J27-J26&gt;0),J27-J26,0)</f>
        <v/>
      </c>
      <c r="L27" s="809" t="n"/>
      <c r="M27" s="807">
        <f>IF(AND(H27=H26,L27-L26&lt;1.1,L27-L26&gt;0),L27-L26,0)</f>
        <v/>
      </c>
      <c r="N27" s="227" t="n"/>
      <c r="O27" s="195">
        <f>IF(K27=0,"-",K27/M27)</f>
        <v/>
      </c>
      <c r="P27" s="709" t="n"/>
      <c r="Q27" s="829" t="n"/>
      <c r="R27" s="836" t="n"/>
      <c r="S27" s="378" t="n"/>
      <c r="X27" s="378" t="n"/>
      <c r="Y27" s="76" t="n"/>
      <c r="Z27" s="77" t="n"/>
    </row>
    <row r="28" ht="32.25" customHeight="1">
      <c r="B28" s="297" t="n"/>
      <c r="C28" s="190" t="n"/>
      <c r="D28" s="719" t="n"/>
      <c r="E28" s="197" t="n"/>
      <c r="F28" s="192" t="n"/>
      <c r="G28" s="719" t="n"/>
      <c r="H28" s="892" t="n"/>
      <c r="I28" s="815" t="n"/>
      <c r="J28" s="184" t="n"/>
      <c r="K28" s="177">
        <f>IF(AND(H28=H27,J28-J27&gt;0),J28-J27,0)</f>
        <v/>
      </c>
      <c r="L28" s="809" t="n"/>
      <c r="M28" s="807">
        <f>IF(AND(H28=H27,L28-L27&lt;1.1,L28-L27&gt;0),L28-L27,0)</f>
        <v/>
      </c>
      <c r="N28" s="227" t="n"/>
      <c r="O28" s="195">
        <f>IF(K28=0,"-",K28/M28)</f>
        <v/>
      </c>
      <c r="P28" s="709" t="n"/>
      <c r="Q28" s="829" t="n"/>
      <c r="R28" s="836" t="n"/>
      <c r="S28" s="378" t="n"/>
      <c r="X28" s="378" t="n"/>
      <c r="Y28" s="76" t="n"/>
      <c r="Z28" s="77" t="n"/>
    </row>
    <row r="29" ht="32.25" customHeight="1">
      <c r="B29" s="297" t="n"/>
      <c r="C29" s="190" t="n"/>
      <c r="D29" s="719" t="n"/>
      <c r="E29" s="197" t="n"/>
      <c r="F29" s="192" t="n"/>
      <c r="G29" s="719" t="n"/>
      <c r="H29" s="892" t="n"/>
      <c r="I29" s="815" t="n"/>
      <c r="J29" s="184" t="n"/>
      <c r="K29" s="177">
        <f>IF(AND(H29=H28,J29-J28&gt;0),J29-J28,0)</f>
        <v/>
      </c>
      <c r="L29" s="809" t="n"/>
      <c r="M29" s="807">
        <f>IF(AND(H29=H28,L29-L28&lt;1.1,L29-L28&gt;0),L29-L28,0)</f>
        <v/>
      </c>
      <c r="N29" s="227" t="n"/>
      <c r="O29" s="195">
        <f>IF(K29=0,"-",K29/M29)</f>
        <v/>
      </c>
      <c r="P29" s="709" t="n"/>
      <c r="Q29" s="829" t="n"/>
      <c r="R29" s="836" t="n"/>
      <c r="S29" s="378" t="n"/>
      <c r="X29" s="378" t="n"/>
      <c r="Y29" s="76" t="n"/>
      <c r="Z29" s="77" t="n"/>
    </row>
    <row r="30" ht="32.25" customHeight="1">
      <c r="B30" s="230" t="n"/>
      <c r="C30" s="190" t="n"/>
      <c r="D30" s="719" t="n"/>
      <c r="E30" s="197" t="n"/>
      <c r="F30" s="192" t="n"/>
      <c r="G30" s="719" t="n"/>
      <c r="H30" s="892" t="n"/>
      <c r="I30" s="815" t="n"/>
      <c r="J30" s="184" t="n"/>
      <c r="K30" s="177">
        <f>IF(AND(H30=H29,J30-J29&gt;0),J30-J29,0)</f>
        <v/>
      </c>
      <c r="L30" s="809" t="n"/>
      <c r="M30" s="807">
        <f>IF(AND(H30=H29,L30-L29&lt;1.1,L30-L29&gt;0),L30-L29,0)</f>
        <v/>
      </c>
      <c r="N30" s="227" t="n"/>
      <c r="O30" s="195">
        <f>IF(K30=0,"-",K30/M30)</f>
        <v/>
      </c>
      <c r="P30" s="709" t="n"/>
      <c r="Q30" s="829" t="n"/>
      <c r="R30" s="836" t="n"/>
      <c r="S30" s="378" t="n"/>
      <c r="X30" s="378" t="n"/>
      <c r="Y30" s="76" t="n"/>
      <c r="Z30" s="77" t="n"/>
    </row>
    <row r="31" ht="32.25" customHeight="1">
      <c r="B31" s="230" t="n"/>
      <c r="C31" s="190" t="n"/>
      <c r="D31" s="719" t="n"/>
      <c r="E31" s="197" t="n"/>
      <c r="F31" s="192" t="n"/>
      <c r="G31" s="719" t="n"/>
      <c r="H31" s="892" t="n"/>
      <c r="I31" s="815" t="n"/>
      <c r="J31" s="184" t="n"/>
      <c r="K31" s="177">
        <f>IF(AND(H31=H30,J31-J30&gt;0),J31-J30,0)</f>
        <v/>
      </c>
      <c r="L31" s="809" t="n"/>
      <c r="M31" s="807">
        <f>IF(AND(H31=H30,L31-L30&lt;1.1,L31-L30&gt;0),L31-L30,0)</f>
        <v/>
      </c>
      <c r="N31" s="227" t="n"/>
      <c r="O31" s="195">
        <f>IF(K31=0,"-",K31/M31)</f>
        <v/>
      </c>
      <c r="P31" s="709" t="n"/>
      <c r="Q31" s="829" t="n"/>
      <c r="R31" s="836" t="n"/>
      <c r="S31" s="378" t="n"/>
      <c r="X31" s="378" t="n"/>
      <c r="Y31" s="76" t="n"/>
      <c r="Z31" s="77" t="n"/>
    </row>
    <row r="32" ht="32.25" customFormat="1" customHeight="1" s="310">
      <c r="B32" s="230" t="n"/>
      <c r="C32" s="190" t="n"/>
      <c r="D32" s="719" t="n"/>
      <c r="E32" s="197" t="n"/>
      <c r="F32" s="192" t="n"/>
      <c r="G32" s="719" t="n"/>
      <c r="H32" s="892" t="n"/>
      <c r="I32" s="815" t="n"/>
      <c r="J32" s="184" t="n"/>
      <c r="K32" s="177">
        <f>IF(AND(H32=H31,J32-J31&gt;0),J32-J31,0)</f>
        <v/>
      </c>
      <c r="L32" s="809" t="n"/>
      <c r="M32" s="807">
        <f>IF(AND(H32=H31,L32-L31&lt;1.1,L32-L31&gt;0),L32-L31,0)</f>
        <v/>
      </c>
      <c r="N32" s="227" t="n"/>
      <c r="O32" s="195">
        <f>IF(K32=0,"-",K32/M32)</f>
        <v/>
      </c>
      <c r="P32" s="709" t="n"/>
      <c r="Q32" s="829" t="n"/>
      <c r="R32" s="836" t="n"/>
      <c r="S32" s="310" t="n"/>
      <c r="X32" s="378" t="n"/>
      <c r="Y32" s="76" t="n"/>
      <c r="Z32" s="77" t="n"/>
    </row>
    <row r="33" ht="32.25" customHeight="1">
      <c r="B33" s="230" t="n"/>
      <c r="C33" s="190" t="n"/>
      <c r="D33" s="719" t="n"/>
      <c r="E33" s="197" t="n"/>
      <c r="F33" s="192" t="n"/>
      <c r="G33" s="719" t="n"/>
      <c r="H33" s="892" t="n"/>
      <c r="I33" s="815" t="n"/>
      <c r="J33" s="184" t="n"/>
      <c r="K33" s="177">
        <f>IF(AND(H33=H32,J33-J32&gt;0),J33-J32,0)</f>
        <v/>
      </c>
      <c r="L33" s="809" t="n"/>
      <c r="M33" s="807">
        <f>IF(AND(H33=H32,L33-L32&lt;1.1,L33-L32&gt;0),L33-L32,0)</f>
        <v/>
      </c>
      <c r="N33" s="227" t="n"/>
      <c r="O33" s="195">
        <f>IF(K33=0,"-",K33/M33)</f>
        <v/>
      </c>
      <c r="P33" s="709" t="n"/>
      <c r="Q33" s="829" t="n"/>
      <c r="R33" s="836" t="n"/>
      <c r="S33" s="378" t="n"/>
      <c r="X33" s="378" t="n"/>
      <c r="Y33" s="76" t="n"/>
      <c r="Z33" s="77" t="n"/>
    </row>
    <row r="34" ht="32.25" customHeight="1">
      <c r="B34" s="230" t="n"/>
      <c r="C34" s="190" t="n"/>
      <c r="D34" s="719" t="n"/>
      <c r="E34" s="197" t="n"/>
      <c r="F34" s="192" t="n"/>
      <c r="G34" s="719" t="n"/>
      <c r="H34" s="892" t="n"/>
      <c r="I34" s="815" t="n"/>
      <c r="J34" s="184" t="n"/>
      <c r="K34" s="177">
        <f>IF(AND(H34=H33,J34-J33&gt;0),J34-J33,0)</f>
        <v/>
      </c>
      <c r="L34" s="809" t="n"/>
      <c r="M34" s="807">
        <f>IF(AND(H34=H33,L34-L33&lt;1.1,L34-L33&gt;0),L34-L33,0)</f>
        <v/>
      </c>
      <c r="N34" s="227" t="n"/>
      <c r="O34" s="195">
        <f>IF(K34=0,"-",K34/M34)</f>
        <v/>
      </c>
      <c r="P34" s="709" t="n"/>
      <c r="Q34" s="829" t="n"/>
      <c r="R34" s="836" t="n"/>
      <c r="S34" s="378" t="n"/>
      <c r="X34" s="378" t="n"/>
      <c r="Y34" s="76" t="n"/>
      <c r="Z34" s="77" t="n"/>
    </row>
    <row r="35" ht="32.25" customHeight="1">
      <c r="B35" s="230" t="n"/>
      <c r="C35" s="190" t="n"/>
      <c r="D35" s="719" t="n"/>
      <c r="E35" s="197" t="n"/>
      <c r="F35" s="192" t="n"/>
      <c r="G35" s="719" t="n"/>
      <c r="H35" s="892" t="n"/>
      <c r="I35" s="815" t="n"/>
      <c r="J35" s="184" t="n"/>
      <c r="K35" s="177">
        <f>IF(AND(H35=H34,J35-J34&gt;0),J35-J34,0)</f>
        <v/>
      </c>
      <c r="L35" s="809" t="n"/>
      <c r="M35" s="807">
        <f>IF(AND(H35=H34,L35-L34&lt;1.1,L35-L34&gt;0),L35-L34,0)</f>
        <v/>
      </c>
      <c r="N35" s="227" t="n"/>
      <c r="O35" s="195">
        <f>IF(K35=0,"-",K35/M35)</f>
        <v/>
      </c>
      <c r="P35" s="709" t="n"/>
      <c r="Q35" s="829" t="n"/>
      <c r="R35" s="836" t="n"/>
      <c r="S35" s="378" t="n"/>
      <c r="X35" s="378" t="n"/>
      <c r="Y35" s="76" t="n"/>
      <c r="Z35" s="77" t="n"/>
    </row>
    <row r="36" ht="32.25" customHeight="1">
      <c r="B36" s="230" t="n"/>
      <c r="C36" s="190" t="n"/>
      <c r="D36" s="719" t="n"/>
      <c r="E36" s="197" t="n"/>
      <c r="F36" s="192" t="n"/>
      <c r="G36" s="719" t="n"/>
      <c r="H36" s="892" t="n"/>
      <c r="I36" s="815" t="n"/>
      <c r="J36" s="184" t="n"/>
      <c r="K36" s="177">
        <f>IF(AND(H36=H35,J36-J35&gt;0),J36-J35,0)</f>
        <v/>
      </c>
      <c r="L36" s="809" t="n"/>
      <c r="M36" s="807">
        <f>IF(AND(H36=H35,L36-L35&lt;1.1,L36-L35&gt;0),L36-L35,0)</f>
        <v/>
      </c>
      <c r="N36" s="227" t="n"/>
      <c r="O36" s="195">
        <f>IF(K36=0,"-",K36/M36)</f>
        <v/>
      </c>
      <c r="P36" s="709" t="n"/>
      <c r="Q36" s="829" t="n"/>
      <c r="R36" s="836" t="n"/>
      <c r="S36" s="378" t="n"/>
      <c r="X36" s="378" t="n"/>
      <c r="Y36" s="76" t="n"/>
      <c r="Z36" s="77" t="n"/>
    </row>
    <row r="37" ht="32.25" customHeight="1">
      <c r="B37" s="230" t="n"/>
      <c r="C37" s="190" t="n"/>
      <c r="D37" s="719" t="n"/>
      <c r="E37" s="197" t="n"/>
      <c r="F37" s="192" t="n"/>
      <c r="G37" s="719" t="n"/>
      <c r="H37" s="892" t="n"/>
      <c r="I37" s="815" t="n"/>
      <c r="J37" s="184" t="n"/>
      <c r="K37" s="177">
        <f>IF(AND(H37=H36,J37-J36&gt;0),J37-J36,0)</f>
        <v/>
      </c>
      <c r="L37" s="809" t="n"/>
      <c r="M37" s="807">
        <f>IF(AND(H37=H36,L37-L36&lt;1.1,L37-L36&gt;0),L37-L36,0)</f>
        <v/>
      </c>
      <c r="N37" s="227" t="n"/>
      <c r="O37" s="195">
        <f>IF(K37=0,"-",K37/M37)</f>
        <v/>
      </c>
      <c r="P37" s="709" t="n"/>
      <c r="Q37" s="829" t="n"/>
      <c r="R37" s="836" t="n"/>
      <c r="S37" s="378" t="n"/>
      <c r="X37" s="378" t="n"/>
      <c r="Y37" s="76" t="n"/>
      <c r="Z37" s="77" t="n"/>
    </row>
    <row r="38" ht="32.25" customHeight="1">
      <c r="B38" s="230" t="n"/>
      <c r="C38" s="190" t="n"/>
      <c r="D38" s="719" t="n"/>
      <c r="E38" s="197" t="n"/>
      <c r="F38" s="192" t="n"/>
      <c r="G38" s="719" t="n"/>
      <c r="H38" s="892" t="n"/>
      <c r="I38" s="815" t="n"/>
      <c r="J38" s="184" t="n"/>
      <c r="K38" s="177">
        <f>IF(AND(H38=H37,J38-J37&gt;0),J38-J37,0)</f>
        <v/>
      </c>
      <c r="L38" s="809" t="n"/>
      <c r="M38" s="807">
        <f>IF(AND(H38=H37,L38-L37&lt;1.1,L38-L37&gt;0),L38-L37,0)</f>
        <v/>
      </c>
      <c r="N38" s="227" t="n"/>
      <c r="O38" s="195">
        <f>IF(K38=0,"-",K38/M38)</f>
        <v/>
      </c>
      <c r="P38" s="709" t="n"/>
      <c r="Q38" s="829" t="n"/>
      <c r="R38" s="836" t="n"/>
      <c r="S38" s="378" t="n"/>
      <c r="X38" s="378" t="n"/>
      <c r="Y38" s="76" t="n"/>
      <c r="Z38" s="77" t="n"/>
    </row>
    <row r="39" ht="32.25" customHeight="1">
      <c r="B39" s="230" t="n"/>
      <c r="C39" s="190" t="n"/>
      <c r="D39" s="719" t="n"/>
      <c r="E39" s="197" t="n"/>
      <c r="F39" s="192" t="n"/>
      <c r="G39" s="719" t="n"/>
      <c r="H39" s="892" t="n"/>
      <c r="I39" s="815" t="n"/>
      <c r="J39" s="184" t="n"/>
      <c r="K39" s="177">
        <f>IF(AND(H39=H38,J39-J38&gt;0),J39-J38,0)</f>
        <v/>
      </c>
      <c r="L39" s="809" t="n"/>
      <c r="M39" s="807">
        <f>IF(AND(H39=H38,L39-L38&lt;1.1,L39-L38&gt;0),L39-L38,0)</f>
        <v/>
      </c>
      <c r="N39" s="227" t="n"/>
      <c r="O39" s="195">
        <f>IF(K39=0,"-",K39/M39)</f>
        <v/>
      </c>
      <c r="P39" s="709" t="n"/>
      <c r="Q39" s="829" t="n"/>
      <c r="R39" s="836" t="n"/>
      <c r="S39" s="378" t="n"/>
      <c r="X39" s="378" t="n"/>
      <c r="Y39" s="76" t="n"/>
      <c r="Z39" s="77" t="n"/>
    </row>
    <row r="40" ht="32.25" customHeight="1">
      <c r="B40" s="230" t="n"/>
      <c r="C40" s="190" t="n"/>
      <c r="D40" s="719" t="n"/>
      <c r="E40" s="197" t="n"/>
      <c r="F40" s="192" t="n"/>
      <c r="G40" s="719" t="n"/>
      <c r="H40" s="892" t="n"/>
      <c r="I40" s="815" t="n"/>
      <c r="J40" s="184" t="n"/>
      <c r="K40" s="177">
        <f>IF(AND(H40=H39,J40-J39&gt;0),J40-J39,0)</f>
        <v/>
      </c>
      <c r="L40" s="809" t="n"/>
      <c r="M40" s="807">
        <f>IF(AND(H40=H39,L40-L39&lt;1.1,L40-L39&gt;0),L40-L39,0)</f>
        <v/>
      </c>
      <c r="N40" s="227" t="n"/>
      <c r="O40" s="195">
        <f>IF(K40=0,"-",K40/M40)</f>
        <v/>
      </c>
      <c r="P40" s="709" t="n"/>
      <c r="Q40" s="829" t="n"/>
      <c r="R40" s="836" t="n"/>
      <c r="S40" s="378" t="n"/>
      <c r="X40" s="378" t="n"/>
      <c r="Y40" s="76" t="n"/>
      <c r="Z40" s="77" t="n"/>
    </row>
    <row r="41" ht="32.25" customHeight="1">
      <c r="B41" s="230" t="n"/>
      <c r="C41" s="190" t="n"/>
      <c r="D41" s="237" t="n"/>
      <c r="E41" s="197" t="n"/>
      <c r="F41" s="192" t="n"/>
      <c r="G41" s="719" t="n"/>
      <c r="H41" s="892" t="n"/>
      <c r="I41" s="815" t="n"/>
      <c r="J41" s="184" t="n"/>
      <c r="K41" s="177">
        <f>IF(AND(H41=H40,J41-J40&gt;0),J41-J40,0)</f>
        <v/>
      </c>
      <c r="L41" s="809" t="n"/>
      <c r="M41" s="807">
        <f>IF(AND(H41=H40,L41-L40&lt;1.1,L41-L40&gt;0),L41-L40,0)</f>
        <v/>
      </c>
      <c r="N41" s="227" t="n"/>
      <c r="O41" s="195">
        <f>IF(K41=0,"-",K41/M41)</f>
        <v/>
      </c>
      <c r="P41" s="709" t="n"/>
      <c r="Q41" s="829" t="n"/>
      <c r="R41" s="836" t="n"/>
      <c r="S41" s="378" t="n"/>
      <c r="X41" s="378" t="n"/>
      <c r="Y41" s="76" t="n"/>
      <c r="Z41" s="77" t="n"/>
    </row>
    <row r="42" ht="32.25" customHeight="1">
      <c r="B42" s="230" t="n"/>
      <c r="C42" s="190" t="n"/>
      <c r="D42" s="719" t="n"/>
      <c r="E42" s="719" t="n"/>
      <c r="F42" s="192" t="n"/>
      <c r="G42" s="719" t="n"/>
      <c r="H42" s="718" t="n"/>
      <c r="I42" s="800" t="n"/>
      <c r="J42" s="184" t="n"/>
      <c r="K42" s="177">
        <f>IF(AND(H42=H41,J42-J41&gt;0),J42-J41,0)</f>
        <v/>
      </c>
      <c r="L42" s="809" t="n"/>
      <c r="M42" s="807">
        <f>IF(AND(H42=H41,L42-L41&lt;1.1,L42-L41&gt;0),L42-L41,0)</f>
        <v/>
      </c>
      <c r="N42" s="227" t="n"/>
      <c r="O42" s="195">
        <f>IF(K42=0,"-",K42/M42)</f>
        <v/>
      </c>
      <c r="P42" s="738" t="n"/>
      <c r="Q42" s="739" t="n"/>
      <c r="R42" s="740" t="n"/>
      <c r="S42" s="378" t="n"/>
      <c r="X42" s="378" t="n"/>
      <c r="Y42" s="76" t="n"/>
      <c r="Z42" s="77" t="n"/>
    </row>
    <row r="43" ht="32.25" customHeight="1">
      <c r="B43" s="230" t="n"/>
      <c r="C43" s="190" t="n"/>
      <c r="D43" s="719" t="n"/>
      <c r="E43" s="719" t="n"/>
      <c r="F43" s="192" t="n"/>
      <c r="G43" s="719" t="n"/>
      <c r="H43" s="718" t="n"/>
      <c r="I43" s="800" t="n"/>
      <c r="J43" s="184" t="n"/>
      <c r="K43" s="177">
        <f>IF(AND(H43=H42,J43-J42&gt;0),J43-J42,0)</f>
        <v/>
      </c>
      <c r="L43" s="184" t="n"/>
      <c r="M43" s="807">
        <f>IF(AND(H43=H42,L43-L42&lt;1.1,L43-L42&gt;0),L43-L42,0)</f>
        <v/>
      </c>
      <c r="N43" s="227" t="n"/>
      <c r="O43" s="195">
        <f>IF(K43=0,"-",K43/M43)</f>
        <v/>
      </c>
      <c r="P43" s="709" t="n"/>
      <c r="Q43" s="829" t="n"/>
      <c r="R43" s="836" t="n"/>
      <c r="S43" s="378" t="n"/>
      <c r="X43" s="378" t="n"/>
      <c r="Y43" s="76" t="n"/>
      <c r="Z43" s="77" t="n"/>
    </row>
    <row r="44" ht="32.25" customHeight="1">
      <c r="B44" s="230" t="n"/>
      <c r="C44" s="190" t="n"/>
      <c r="D44" s="719" t="n"/>
      <c r="E44" s="719" t="n"/>
      <c r="F44" s="192" t="n"/>
      <c r="G44" s="719" t="n"/>
      <c r="H44" s="718" t="n"/>
      <c r="I44" s="800" t="n"/>
      <c r="J44" s="184" t="n"/>
      <c r="K44" s="177">
        <f>IF(AND(H44=H43,J44-J43&gt;0),J44-J43,0)</f>
        <v/>
      </c>
      <c r="L44" s="184" t="n"/>
      <c r="M44" s="807">
        <f>IF(AND(H44=H43,L44-L43&lt;1.1,L44-L43&gt;0),L44-L43,0)</f>
        <v/>
      </c>
      <c r="N44" s="227" t="n"/>
      <c r="O44" s="195">
        <f>IF(K44=0,"-",K44/M44)</f>
        <v/>
      </c>
      <c r="P44" s="709" t="n"/>
      <c r="Q44" s="829" t="n"/>
      <c r="R44" s="836" t="n"/>
      <c r="S44" s="378" t="n"/>
      <c r="X44" s="378" t="n"/>
      <c r="Y44" s="76" t="n"/>
      <c r="Z44" s="77" t="n"/>
    </row>
    <row r="45" ht="32.25" customHeight="1">
      <c r="B45" s="230" t="n"/>
      <c r="C45" s="190" t="n"/>
      <c r="D45" s="719" t="n"/>
      <c r="E45" s="719" t="n"/>
      <c r="F45" s="192" t="n"/>
      <c r="G45" s="719" t="n"/>
      <c r="H45" s="718" t="n"/>
      <c r="I45" s="800" t="n"/>
      <c r="J45" s="184" t="n"/>
      <c r="K45" s="177">
        <f>IF(AND(H45=H44,J45-J44&gt;0),J45-J44,0)</f>
        <v/>
      </c>
      <c r="L45" s="184" t="n"/>
      <c r="M45" s="807">
        <f>IF(AND(H45=H44,L45-L44&lt;1.1,L45-L44&gt;0),L45-L44,0)</f>
        <v/>
      </c>
      <c r="N45" s="227" t="n"/>
      <c r="O45" s="195">
        <f>IF(K45=0,"-",K45/M45)</f>
        <v/>
      </c>
      <c r="P45" s="709" t="n"/>
      <c r="Q45" s="829" t="n"/>
      <c r="R45" s="836" t="n"/>
      <c r="S45" s="378" t="n"/>
      <c r="X45" s="378" t="n"/>
      <c r="Y45" s="76" t="n"/>
      <c r="Z45" s="77" t="n"/>
    </row>
    <row r="46" ht="32.25" customHeight="1" thickBot="1">
      <c r="B46" s="306" t="n"/>
      <c r="C46" s="307" t="n"/>
      <c r="D46" s="721" t="n"/>
      <c r="E46" s="721" t="n"/>
      <c r="F46" s="389" t="n"/>
      <c r="G46" s="721" t="n"/>
      <c r="H46" s="720" t="n"/>
      <c r="I46" s="824" t="n"/>
      <c r="J46" s="240" t="n"/>
      <c r="K46" s="211">
        <f>IF(AND(H46=H45,J46-J45&gt;0),J46-J45,0)</f>
        <v/>
      </c>
      <c r="L46" s="240" t="n"/>
      <c r="M46" s="889">
        <f>IF(AND(H46=H45,L46-L45&lt;1.1,L46-L45&gt;0),L46-L45,0)</f>
        <v/>
      </c>
      <c r="N46" s="235" t="n"/>
      <c r="O46" s="239">
        <f>IF(K46=0,"-",K46/M46)</f>
        <v/>
      </c>
      <c r="P46" s="723" t="n"/>
      <c r="Q46" s="842" t="n"/>
      <c r="R46" s="845" t="n"/>
      <c r="S46" s="378" t="n"/>
      <c r="X46" s="378" t="n"/>
      <c r="Y46" s="76" t="n"/>
      <c r="Z46" s="77" t="n"/>
    </row>
    <row r="47" ht="17.25" customHeight="1" thickBot="1">
      <c r="H47" s="568" t="n"/>
      <c r="X47" s="378" t="n"/>
      <c r="Y47" s="76" t="n"/>
      <c r="Z47" s="77" t="n"/>
    </row>
    <row r="48" ht="30.4" customHeight="1" thickBot="1">
      <c r="B48" s="692" t="inlineStr">
        <is>
          <t>Qualité</t>
        </is>
      </c>
      <c r="C48" s="827" t="n"/>
      <c r="D48" s="693" t="inlineStr">
        <is>
          <t>Destination</t>
        </is>
      </c>
      <c r="E48" s="753" t="inlineStr">
        <is>
          <t>Tonnage brut</t>
        </is>
      </c>
      <c r="F48" s="827" t="n"/>
      <c r="G48" s="753" t="inlineStr">
        <is>
          <t>Tge S/M</t>
        </is>
      </c>
      <c r="H48" s="792" t="n"/>
      <c r="I48" s="827" t="n"/>
      <c r="J48" s="753" t="inlineStr">
        <is>
          <t>H.M</t>
        </is>
      </c>
      <c r="K48" s="753" t="inlineStr">
        <is>
          <t>T/H</t>
        </is>
      </c>
      <c r="L48" s="827" t="n"/>
      <c r="M48" s="568" t="n"/>
      <c r="N48" s="568" t="n"/>
      <c r="P48" s="67" t="inlineStr">
        <is>
          <t>Tonnage brut</t>
        </is>
      </c>
      <c r="Q48" s="68" t="inlineStr">
        <is>
          <t>HM</t>
        </is>
      </c>
      <c r="R48" s="69" t="inlineStr">
        <is>
          <t>T/H</t>
        </is>
      </c>
      <c r="S48" s="605" t="n"/>
      <c r="X48" s="378" t="n"/>
      <c r="Y48" s="76" t="n"/>
      <c r="Z48" s="77" t="n"/>
    </row>
    <row r="49" ht="32.25" customHeight="1">
      <c r="B49" s="828" t="inlineStr">
        <is>
          <t>TBTTS</t>
        </is>
      </c>
      <c r="C49" s="815" t="n"/>
      <c r="D49" s="138" t="inlineStr">
        <is>
          <t>CRIBLAGE-UD</t>
        </is>
      </c>
      <c r="E49" s="767">
        <f>SUMIFS('CRIBLAGE '!$K$17:$K$46,'CRIBLAGE '!$C$17:$C$46,'CRIBLAGE '!B49,'CRIBLAGE '!$F$17:$F$46,D49)</f>
        <v/>
      </c>
      <c r="F49" s="875" t="n"/>
      <c r="G49" s="727">
        <f>SUMIFS('CRIBLAGE '!$D$74:$D$107,'CRIBLAGE '!$B$74:$B$107,'CRIBLAGE '!D49,'CRIBLAGE '!$C$74:$C$107,'CRIBLAGE '!B49)*E49</f>
        <v/>
      </c>
      <c r="H49" s="866" t="n"/>
      <c r="I49" s="815" t="n"/>
      <c r="J49" s="879">
        <f>SUMIFS('CRIBLAGE '!$M$17:$M$46,'CRIBLAGE '!$C$17:$C$46,'CRIBLAGE '!B49,'CRIBLAGE '!$F$17:$F$46,D49)</f>
        <v/>
      </c>
      <c r="K49" s="877">
        <f>IF(E49=0,"-",E49/J49)</f>
        <v/>
      </c>
      <c r="L49" s="832" t="n"/>
      <c r="M49" s="10" t="n"/>
      <c r="N49" s="59" t="inlineStr">
        <is>
          <t>Poste</t>
        </is>
      </c>
      <c r="O49" s="64" t="n">
        <v>1</v>
      </c>
      <c r="P49" s="168">
        <f>SUMIFS('CRIBLAGE '!$K$17:$K$46,'CRIBLAGE '!$N$17:$N$46,O49)</f>
        <v/>
      </c>
      <c r="Q49" s="833">
        <f>SUMIFS('CRIBLAGE '!$M$17:$M$46,'CRIBLAGE '!$N$17:$N$46,O49)</f>
        <v/>
      </c>
      <c r="R49" s="169">
        <f>P49/Q49</f>
        <v/>
      </c>
      <c r="S49" s="11" t="n"/>
      <c r="X49" s="378" t="n"/>
      <c r="Y49" s="76" t="n"/>
      <c r="Z49" s="77" t="n"/>
    </row>
    <row r="50" ht="32.25" customHeight="1">
      <c r="B50" s="828" t="n"/>
      <c r="C50" s="815" t="n"/>
      <c r="D50" s="138" t="n"/>
      <c r="E50" s="675">
        <f>SUMIFS('CRIBLAGE '!$K$17:$K$46,'CRIBLAGE '!$C$17:$C$46,'CRIBLAGE '!B50,'CRIBLAGE '!$F$17:$F$46,D50)</f>
        <v/>
      </c>
      <c r="F50" s="800" t="n"/>
      <c r="G50" s="725">
        <f>SUMIFS('CRIBLAGE '!$D$74:$D$107,'CRIBLAGE '!$B$74:$B$107,'CRIBLAGE '!D50,'CRIBLAGE '!$C$74:$C$107,'CRIBLAGE '!B50)*E50</f>
        <v/>
      </c>
      <c r="H50" s="829" t="n"/>
      <c r="I50" s="800" t="n"/>
      <c r="J50" s="879">
        <f>SUMIFS('CRIBLAGE '!$M$17:$M$46,'CRIBLAGE '!$C$17:$C$46,'CRIBLAGE '!B50,'CRIBLAGE '!$F$17:$F$46,D50)</f>
        <v/>
      </c>
      <c r="K50" s="880">
        <f>IF(E50=0,"-",E50/J50)</f>
        <v/>
      </c>
      <c r="L50" s="836" t="n"/>
      <c r="M50" s="10" t="n"/>
      <c r="N50" s="60" t="inlineStr">
        <is>
          <t>Poste</t>
        </is>
      </c>
      <c r="O50" s="65" t="n">
        <v>2</v>
      </c>
      <c r="P50" s="170">
        <f>SUMIFS('CRIBLAGE '!$K$17:$K$46,'CRIBLAGE '!$N$17:$N$46,O50)</f>
        <v/>
      </c>
      <c r="Q50" s="837">
        <f>SUMIFS('CRIBLAGE '!$M$17:$M$46,'CRIBLAGE '!$N$17:$N$46,O50)</f>
        <v/>
      </c>
      <c r="R50" s="171">
        <f>P50/Q50</f>
        <v/>
      </c>
      <c r="S50" s="11" t="n"/>
      <c r="X50" s="378" t="n"/>
      <c r="Y50" s="76" t="n"/>
      <c r="Z50" s="77" t="n"/>
    </row>
    <row r="51" ht="32.25" customHeight="1" thickBot="1">
      <c r="B51" s="828" t="n"/>
      <c r="C51" s="815" t="n"/>
      <c r="D51" s="138" t="n"/>
      <c r="E51" s="675">
        <f>SUMIFS('CRIBLAGE '!$K$17:$K$46,'CRIBLAGE '!$C$17:$C$46,'CRIBLAGE '!B51,'CRIBLAGE '!$F$17:$F$46,D51)</f>
        <v/>
      </c>
      <c r="F51" s="800" t="n"/>
      <c r="G51" s="725">
        <f>SUMIFS('CRIBLAGE '!$D$74:$D$107,'CRIBLAGE '!$B$74:$B$107,'CRIBLAGE '!D51,'CRIBLAGE '!$C$74:$C$107,'CRIBLAGE '!B51)*E51</f>
        <v/>
      </c>
      <c r="H51" s="829" t="n"/>
      <c r="I51" s="800" t="n"/>
      <c r="J51" s="879">
        <f>SUMIFS('CRIBLAGE '!$M$17:$M$46,'CRIBLAGE '!$C$17:$C$46,'CRIBLAGE '!B51,'CRIBLAGE '!$F$17:$F$46,D51)</f>
        <v/>
      </c>
      <c r="K51" s="880">
        <f>IF(E51=0,"-",E51/J51)</f>
        <v/>
      </c>
      <c r="L51" s="836" t="n"/>
      <c r="M51" s="10" t="n"/>
      <c r="N51" s="61" t="inlineStr">
        <is>
          <t>Poste</t>
        </is>
      </c>
      <c r="O51" s="66" t="n">
        <v>3</v>
      </c>
      <c r="P51" s="172">
        <f>SUMIFS('CRIBLAGE '!$K$17:$K$46,'CRIBLAGE '!$N$17:$N$46,O51)</f>
        <v/>
      </c>
      <c r="Q51" s="838">
        <f>SUMIFS('CRIBLAGE '!$M$17:$M$46,'CRIBLAGE '!$N$17:$N$46,O51)</f>
        <v/>
      </c>
      <c r="R51" s="173">
        <f>P51/Q51</f>
        <v/>
      </c>
      <c r="S51" s="11" t="n"/>
    </row>
    <row r="52" ht="32.25" customHeight="1">
      <c r="B52" s="828" t="n"/>
      <c r="C52" s="815" t="n"/>
      <c r="D52" s="138" t="n"/>
      <c r="E52" s="675">
        <f>SUMIFS('CRIBLAGE '!$K$17:$K$46,'CRIBLAGE '!$C$17:$C$46,'CRIBLAGE '!B52,'CRIBLAGE '!$F$17:$F$46,D52)</f>
        <v/>
      </c>
      <c r="F52" s="800" t="n"/>
      <c r="G52" s="725">
        <f>SUMIFS('CRIBLAGE '!$D$74:$D$107,'CRIBLAGE '!$B$74:$B$107,'CRIBLAGE '!D52,'CRIBLAGE '!$C$74:$C$107,'CRIBLAGE '!B52)*E52</f>
        <v/>
      </c>
      <c r="H52" s="829" t="n"/>
      <c r="I52" s="800" t="n"/>
      <c r="J52" s="879">
        <f>SUMIFS('CRIBLAGE '!$M$17:$M$46,'CRIBLAGE '!$C$17:$C$46,'CRIBLAGE '!B52,'CRIBLAGE '!$F$17:$F$46,D52)</f>
        <v/>
      </c>
      <c r="K52" s="880">
        <f>IF(E52=0,"-",E52/J52)</f>
        <v/>
      </c>
      <c r="L52" s="836" t="n"/>
      <c r="M52" s="10" t="n"/>
      <c r="N52" s="10" t="n"/>
      <c r="O52" s="605" t="n"/>
      <c r="S52" s="11" t="n"/>
    </row>
    <row r="53" ht="32.25" customHeight="1">
      <c r="B53" s="828" t="n"/>
      <c r="C53" s="815" t="n"/>
      <c r="D53" s="138" t="n"/>
      <c r="E53" s="675">
        <f>SUMIFS('CRIBLAGE '!$K$17:$K$46,'CRIBLAGE '!$C$17:$C$46,'CRIBLAGE '!B53,'CRIBLAGE '!$F$17:$F$46,D53)</f>
        <v/>
      </c>
      <c r="F53" s="800" t="n"/>
      <c r="G53" s="725">
        <f>SUMIFS('CRIBLAGE '!$D$74:$D$107,'CRIBLAGE '!$B$74:$B$107,'CRIBLAGE '!D53,'CRIBLAGE '!$C$74:$C$107,'CRIBLAGE '!B53)*E53</f>
        <v/>
      </c>
      <c r="H53" s="829" t="n"/>
      <c r="I53" s="800" t="n"/>
      <c r="J53" s="879">
        <f>SUMIFS('CRIBLAGE '!$M$17:$M$46,'CRIBLAGE '!$C$17:$C$46,'CRIBLAGE '!B53,'CRIBLAGE '!$F$17:$F$46,D53)</f>
        <v/>
      </c>
      <c r="K53" s="880">
        <f>IF(E53=0,"-",E53/J53)</f>
        <v/>
      </c>
      <c r="L53" s="836" t="n"/>
      <c r="M53" s="10" t="n"/>
      <c r="N53" s="10" t="n"/>
      <c r="O53" s="11" t="n"/>
      <c r="P53" s="11" t="n"/>
      <c r="Q53" s="11" t="n"/>
      <c r="R53" s="11" t="n"/>
      <c r="S53" s="11" t="n"/>
    </row>
    <row r="54" ht="32.25" customHeight="1">
      <c r="B54" s="828" t="n"/>
      <c r="C54" s="815" t="n"/>
      <c r="D54" s="138" t="n"/>
      <c r="E54" s="675">
        <f>SUMIFS('CRIBLAGE '!$K$17:$K$46,'CRIBLAGE '!$C$17:$C$46,'CRIBLAGE '!B54,'CRIBLAGE '!$F$17:$F$46,D54)</f>
        <v/>
      </c>
      <c r="F54" s="800" t="n"/>
      <c r="G54" s="725">
        <f>SUMIFS('CRIBLAGE '!$D$74:$D$107,'CRIBLAGE '!$B$74:$B$107,'CRIBLAGE '!D54,'CRIBLAGE '!$C$74:$C$107,'CRIBLAGE '!B54)*E54</f>
        <v/>
      </c>
      <c r="H54" s="829" t="n"/>
      <c r="I54" s="800" t="n"/>
      <c r="J54" s="879">
        <f>SUMIFS('CRIBLAGE '!$M$17:$M$46,'CRIBLAGE '!$C$17:$C$46,'CRIBLAGE '!B54,'CRIBLAGE '!$F$17:$F$46,D54)</f>
        <v/>
      </c>
      <c r="K54" s="880">
        <f>IF(E54=0,"-",E54/J54)</f>
        <v/>
      </c>
      <c r="L54" s="836" t="n"/>
      <c r="M54" s="10" t="n"/>
      <c r="N54" s="10" t="n"/>
      <c r="O54" s="11" t="n"/>
      <c r="P54" s="11" t="n"/>
      <c r="Q54" s="11" t="n"/>
      <c r="R54" s="11" t="n"/>
      <c r="S54" s="11" t="n"/>
    </row>
    <row r="55" ht="32.25" customHeight="1">
      <c r="B55" s="828" t="n"/>
      <c r="C55" s="815" t="n"/>
      <c r="D55" s="138" t="n"/>
      <c r="E55" s="675">
        <f>SUMIFS('CRIBLAGE '!$K$17:$K$46,'CRIBLAGE '!$C$17:$C$46,'CRIBLAGE '!B55,'CRIBLAGE '!$F$17:$F$46,D55)</f>
        <v/>
      </c>
      <c r="F55" s="800" t="n"/>
      <c r="G55" s="725">
        <f>SUMIFS('CRIBLAGE '!$D$74:$D$107,'CRIBLAGE '!$B$74:$B$107,'CRIBLAGE '!D55,'CRIBLAGE '!$C$74:$C$107,'CRIBLAGE '!B55)*E55</f>
        <v/>
      </c>
      <c r="H55" s="829" t="n"/>
      <c r="I55" s="800" t="n"/>
      <c r="J55" s="879">
        <f>SUMIFS('CRIBLAGE '!$M$17:$M$46,'CRIBLAGE '!$C$17:$C$46,'CRIBLAGE '!B55,'CRIBLAGE '!$F$17:$F$46,D55)</f>
        <v/>
      </c>
      <c r="K55" s="880">
        <f>IF(E55=0,"-",E55/J55)</f>
        <v/>
      </c>
      <c r="L55" s="836" t="n"/>
      <c r="M55" s="10" t="n"/>
      <c r="N55" s="10" t="n"/>
      <c r="O55" s="11" t="n"/>
      <c r="P55" s="11" t="n"/>
      <c r="Q55" s="11" t="n"/>
      <c r="R55" s="11" t="n"/>
      <c r="S55" s="11" t="n"/>
    </row>
    <row r="56" ht="32.25" customHeight="1" thickBot="1">
      <c r="B56" s="828" t="n"/>
      <c r="C56" s="815" t="n"/>
      <c r="D56" s="140" t="n"/>
      <c r="E56" s="728">
        <f>SUMIFS('CRIBLAGE '!$K$17:$K$46,'CRIBLAGE '!$C$17:$C$46,'CRIBLAGE '!B56,'CRIBLAGE '!$F$17:$F$46,D56)</f>
        <v/>
      </c>
      <c r="F56" s="824" t="n"/>
      <c r="G56" s="729">
        <f>SUMIFS('CRIBLAGE '!$D$74:$D$107,'CRIBLAGE '!$B$74:$B$107,'CRIBLAGE '!D56,'CRIBLAGE '!$C$74:$C$107,'CRIBLAGE '!B56)*E56</f>
        <v/>
      </c>
      <c r="H56" s="842" t="n"/>
      <c r="I56" s="824" t="n"/>
      <c r="J56" s="881">
        <f>SUMIFS('CRIBLAGE '!$M$17:$M$46,'CRIBLAGE '!$C$17:$C$46,'CRIBLAGE '!B56,'CRIBLAGE '!$F$17:$F$46,D56)</f>
        <v/>
      </c>
      <c r="K56" s="882">
        <f>IF(E56=0,"-",E56/J56)</f>
        <v/>
      </c>
      <c r="L56" s="845" t="n"/>
      <c r="P56" s="378" t="n"/>
      <c r="Q56" s="378" t="n"/>
      <c r="R56" s="378" t="n"/>
      <c r="S56" s="11" t="n"/>
    </row>
    <row r="57" ht="43.5" customHeight="1"/>
    <row r="58" ht="13.5" customHeight="1" thickBot="1"/>
    <row r="59" ht="33.6" customHeight="1" thickBot="1">
      <c r="B59" s="768" t="inlineStr">
        <is>
          <t>Destination</t>
        </is>
      </c>
      <c r="C59" s="792" t="n"/>
      <c r="D59" s="158" t="n"/>
      <c r="E59" s="770" t="inlineStr">
        <is>
          <t>Tonnage brut</t>
        </is>
      </c>
      <c r="F59" s="793" t="n"/>
      <c r="G59" s="770" t="inlineStr">
        <is>
          <t>Tge S/M</t>
        </is>
      </c>
      <c r="H59" s="792" t="n"/>
      <c r="I59" s="793" t="n"/>
      <c r="J59" s="770" t="inlineStr">
        <is>
          <t>H.M</t>
        </is>
      </c>
      <c r="K59" s="770" t="inlineStr">
        <is>
          <t>T/H</t>
        </is>
      </c>
      <c r="L59" s="793" t="n"/>
    </row>
    <row r="60" ht="32.25" customHeight="1" thickBot="1">
      <c r="B60" s="765" t="inlineStr">
        <is>
          <t>CRIBLAGE-UD</t>
        </is>
      </c>
      <c r="C60" s="792" t="n"/>
      <c r="D60" s="160" t="n"/>
      <c r="E60" s="614">
        <f>SUMIFS('CRIBLAGE '!$E$49:$E$56,'CRIBLAGE '!$D$49:$D$56,D60)</f>
        <v/>
      </c>
      <c r="F60" s="793" t="n"/>
      <c r="G60" s="615">
        <f>SUMIFS('CRIBLAGE '!$G$49:$G$56,'CRIBLAGE '!$D$49:$D$56,D60)</f>
        <v/>
      </c>
      <c r="H60" s="792" t="n"/>
      <c r="I60" s="793" t="n"/>
      <c r="J60" s="851">
        <f>SUMIFS('CRIBLAGE '!$J$49:$J$56,'CRIBLAGE '!$D$49:$D$56,D60)</f>
        <v/>
      </c>
      <c r="K60" s="615">
        <f>IF(E60=0,"-",E60/J60)</f>
        <v/>
      </c>
      <c r="L60" s="793" t="n"/>
      <c r="M60" s="10" t="n"/>
      <c r="N60" s="10" t="n"/>
      <c r="O60" s="62" t="n"/>
      <c r="P60" s="63" t="n"/>
      <c r="Q60" s="63" t="n"/>
      <c r="R60" s="63" t="n"/>
      <c r="S60" s="11" t="n"/>
    </row>
    <row r="62">
      <c r="Q62" s="48" t="n"/>
      <c r="R62" s="49" t="n"/>
    </row>
    <row r="63">
      <c r="Q63" s="48" t="n"/>
      <c r="R63" s="49" t="n"/>
    </row>
    <row r="64">
      <c r="Q64" s="50" t="n"/>
      <c r="R64" s="49" t="n"/>
    </row>
    <row r="65">
      <c r="Q65" s="48" t="n"/>
      <c r="R65" s="49" t="n"/>
    </row>
    <row r="66">
      <c r="Q66" s="48" t="n"/>
      <c r="R66" s="49" t="n"/>
    </row>
    <row r="67">
      <c r="Q67" s="48" t="n"/>
      <c r="R67" s="49" t="n"/>
    </row>
    <row r="68">
      <c r="Q68" s="48" t="n"/>
      <c r="R68" s="51" t="n"/>
    </row>
    <row r="70" ht="15.75" customHeight="1">
      <c r="D70" s="47" t="n"/>
      <c r="E70" s="47" t="n"/>
      <c r="F70" s="47" t="n"/>
      <c r="G70" s="47" t="n"/>
      <c r="H70" s="47" t="n"/>
      <c r="I70" s="47" t="n"/>
      <c r="J70" s="47" t="n"/>
      <c r="K70" s="47" t="n"/>
    </row>
    <row r="71" ht="15.75" customHeight="1">
      <c r="D71" s="47" t="n"/>
      <c r="E71" s="47" t="n"/>
      <c r="F71" s="47" t="n"/>
      <c r="G71" s="47" t="n"/>
      <c r="H71" s="47" t="n"/>
      <c r="I71" s="47" t="n"/>
      <c r="J71" s="47" t="n"/>
      <c r="K71" s="47" t="n"/>
    </row>
    <row r="72" ht="15.75" customHeight="1">
      <c r="D72" s="47" t="n"/>
      <c r="E72" s="47" t="n"/>
      <c r="F72" s="47" t="n"/>
      <c r="G72" s="47" t="n"/>
      <c r="H72" s="47" t="n"/>
      <c r="I72" s="47" t="n"/>
      <c r="J72" s="47" t="n"/>
      <c r="K72" s="47" t="n"/>
    </row>
    <row r="73" ht="15.75" customHeight="1">
      <c r="B73" s="54" t="inlineStr">
        <is>
          <t>destination</t>
        </is>
      </c>
      <c r="C73" s="54" t="inlineStr">
        <is>
          <t>Qualité</t>
        </is>
      </c>
      <c r="D73" s="54" t="inlineStr">
        <is>
          <t>Coef</t>
        </is>
      </c>
      <c r="E73" s="47" t="n"/>
      <c r="F73" s="47" t="n"/>
      <c r="G73" s="47" t="n"/>
      <c r="H73" s="47" t="n"/>
      <c r="I73" s="47" t="n"/>
      <c r="J73" s="47" t="n"/>
      <c r="K73" s="47" t="n"/>
    </row>
    <row r="74" hidden="1" ht="18" customHeight="1">
      <c r="B74" s="71" t="inlineStr">
        <is>
          <t>SC-PW</t>
        </is>
      </c>
      <c r="C74" s="52" t="inlineStr">
        <is>
          <t>BTR</t>
        </is>
      </c>
      <c r="D74" s="53" t="n">
        <v>0.62</v>
      </c>
      <c r="E74" s="47" t="n"/>
      <c r="F74" s="47" t="n"/>
      <c r="G74" s="47" t="n"/>
      <c r="H74" s="47" t="n"/>
      <c r="I74" s="47" t="n"/>
      <c r="J74" s="47" t="n"/>
      <c r="K74" s="47" t="n"/>
    </row>
    <row r="75" hidden="1" ht="18" customHeight="1">
      <c r="B75" s="71" t="inlineStr">
        <is>
          <t>SC-PW</t>
        </is>
      </c>
      <c r="C75" s="52" t="inlineStr">
        <is>
          <t>BT</t>
        </is>
      </c>
      <c r="D75" s="53" t="n">
        <v>0.58</v>
      </c>
    </row>
    <row r="76" hidden="1" ht="18" customHeight="1">
      <c r="B76" s="71" t="inlineStr">
        <is>
          <t>SC-PW</t>
        </is>
      </c>
      <c r="C76" s="52" t="inlineStr">
        <is>
          <t>HTN</t>
        </is>
      </c>
      <c r="D76" s="53" t="n">
        <v>0.8</v>
      </c>
    </row>
    <row r="77" hidden="1" ht="18" customHeight="1">
      <c r="B77" s="71" t="inlineStr">
        <is>
          <t>SC-PW</t>
        </is>
      </c>
      <c r="C77" s="52" t="inlineStr">
        <is>
          <t>HTM</t>
        </is>
      </c>
      <c r="D77" s="53" t="n">
        <v>0.79</v>
      </c>
    </row>
    <row r="78" hidden="1" ht="18" customHeight="1">
      <c r="B78" s="71" t="inlineStr">
        <is>
          <t>SC-PW</t>
        </is>
      </c>
      <c r="C78" s="52" t="inlineStr">
        <is>
          <t>MT</t>
        </is>
      </c>
      <c r="D78" s="53" t="n">
        <v>0.78</v>
      </c>
    </row>
    <row r="79" hidden="1" ht="18" customHeight="1">
      <c r="B79" s="71" t="inlineStr">
        <is>
          <t>SC-PW</t>
        </is>
      </c>
      <c r="C79" s="52" t="inlineStr">
        <is>
          <t>TBT</t>
        </is>
      </c>
      <c r="D79" s="53" t="n">
        <v>0.55</v>
      </c>
    </row>
    <row r="80" hidden="1" ht="18" customHeight="1">
      <c r="B80" s="71" t="inlineStr">
        <is>
          <t>SC-PW</t>
        </is>
      </c>
      <c r="C80" s="52" t="inlineStr">
        <is>
          <t>THT</t>
        </is>
      </c>
      <c r="D80" s="53" t="n">
        <v>0.82</v>
      </c>
    </row>
    <row r="81" ht="18" customHeight="1">
      <c r="B81" s="71" t="inlineStr">
        <is>
          <t>CRIBLAGE-UD</t>
        </is>
      </c>
      <c r="C81" s="52" t="inlineStr">
        <is>
          <t>TBTTS</t>
        </is>
      </c>
      <c r="D81" s="53" t="n">
        <v>0.57</v>
      </c>
    </row>
    <row r="82" hidden="1" ht="18" customHeight="1">
      <c r="B82" s="71" t="inlineStr">
        <is>
          <t>PW-UB</t>
        </is>
      </c>
      <c r="C82" s="52" t="inlineStr">
        <is>
          <t>BTLSC</t>
        </is>
      </c>
      <c r="D82" s="53" t="n">
        <v>0.82</v>
      </c>
    </row>
    <row r="83" hidden="1" ht="18" customHeight="1">
      <c r="B83" s="71" t="inlineStr">
        <is>
          <t>PW-UB</t>
        </is>
      </c>
      <c r="C83" s="52" t="inlineStr">
        <is>
          <t>BTRLSC</t>
        </is>
      </c>
      <c r="D83" s="53" t="n">
        <v>0.82</v>
      </c>
    </row>
    <row r="84" hidden="1" ht="18" customHeight="1">
      <c r="B84" s="71" t="inlineStr">
        <is>
          <t>PW-UB</t>
        </is>
      </c>
      <c r="C84" s="52" t="inlineStr">
        <is>
          <t>MTLSC</t>
        </is>
      </c>
      <c r="D84" s="53" t="n">
        <v>0.82</v>
      </c>
    </row>
    <row r="85" hidden="1" ht="18" customHeight="1">
      <c r="B85" s="71" t="inlineStr">
        <is>
          <t>PW-UB</t>
        </is>
      </c>
      <c r="C85" s="52" t="inlineStr">
        <is>
          <t>HTMTLSC</t>
        </is>
      </c>
      <c r="D85" s="53" t="n">
        <v>0.82</v>
      </c>
    </row>
    <row r="86" hidden="1" ht="18" customHeight="1">
      <c r="B86" s="71" t="inlineStr">
        <is>
          <t>PW-UB</t>
        </is>
      </c>
      <c r="C86" s="52" t="inlineStr">
        <is>
          <t>TBTLSC</t>
        </is>
      </c>
      <c r="D86" s="53" t="n">
        <v>0.84</v>
      </c>
    </row>
    <row r="87" hidden="1" ht="18" customHeight="1">
      <c r="B87" s="71" t="inlineStr">
        <is>
          <t>PW-UB</t>
        </is>
      </c>
      <c r="C87" s="52" t="inlineStr">
        <is>
          <t>TBTLTS</t>
        </is>
      </c>
      <c r="D87" s="53" t="n">
        <v>0.85</v>
      </c>
    </row>
    <row r="88" hidden="1" ht="18" customHeight="1">
      <c r="B88" s="71" t="inlineStr">
        <is>
          <t>PW-UB</t>
        </is>
      </c>
      <c r="C88" s="52" t="inlineStr">
        <is>
          <t>BTLTS</t>
        </is>
      </c>
      <c r="D88" s="53" t="n">
        <v>0.84</v>
      </c>
    </row>
    <row r="89" hidden="1" ht="18" customHeight="1">
      <c r="B89" s="71" t="inlineStr">
        <is>
          <t>PW-UB</t>
        </is>
      </c>
      <c r="C89" s="52" t="inlineStr">
        <is>
          <t>HTMLTS</t>
        </is>
      </c>
      <c r="D89" s="53" t="n">
        <v>0.84</v>
      </c>
    </row>
    <row r="90" hidden="1" ht="18" customHeight="1">
      <c r="B90" s="71" t="inlineStr">
        <is>
          <t>PW-UB</t>
        </is>
      </c>
      <c r="C90" s="52" t="inlineStr">
        <is>
          <t>BT</t>
        </is>
      </c>
      <c r="D90" s="53" t="n">
        <v>0.75</v>
      </c>
    </row>
    <row r="91" hidden="1" ht="18" customHeight="1">
      <c r="B91" s="71" t="inlineStr">
        <is>
          <t>PW-UB</t>
        </is>
      </c>
      <c r="C91" s="52" t="inlineStr">
        <is>
          <t>BTR</t>
        </is>
      </c>
      <c r="D91" s="53" t="n">
        <v>0.76</v>
      </c>
    </row>
    <row r="92" hidden="1" ht="18" customHeight="1">
      <c r="B92" s="71" t="inlineStr">
        <is>
          <t>PW-UB</t>
        </is>
      </c>
      <c r="C92" s="52" t="inlineStr">
        <is>
          <t>TBT</t>
        </is>
      </c>
      <c r="D92" s="53" t="n">
        <v>0.71</v>
      </c>
    </row>
    <row r="93" hidden="1" ht="18" customHeight="1">
      <c r="B93" s="72" t="inlineStr">
        <is>
          <t>PW-UB</t>
        </is>
      </c>
      <c r="C93" s="73" t="inlineStr">
        <is>
          <t>HTNLSC</t>
        </is>
      </c>
      <c r="D93" s="74" t="n">
        <v>0.8</v>
      </c>
    </row>
    <row r="94" hidden="1" ht="18" customHeight="1">
      <c r="B94" s="72" t="inlineStr">
        <is>
          <t>PW-UB</t>
        </is>
      </c>
      <c r="C94" s="73" t="inlineStr">
        <is>
          <t>HTN</t>
        </is>
      </c>
      <c r="D94" s="74" t="n">
        <v>0.8</v>
      </c>
    </row>
    <row r="95" hidden="1" ht="18" customHeight="1">
      <c r="B95" s="72" t="inlineStr">
        <is>
          <t>PW-UB</t>
        </is>
      </c>
      <c r="C95" s="73" t="inlineStr">
        <is>
          <t>HTM</t>
        </is>
      </c>
      <c r="D95" s="74" t="n">
        <v>0.79</v>
      </c>
    </row>
    <row r="96" hidden="1" ht="18" customHeight="1">
      <c r="B96" s="72" t="inlineStr">
        <is>
          <t>PW-UB</t>
        </is>
      </c>
      <c r="C96" s="73" t="inlineStr">
        <is>
          <t>MT</t>
        </is>
      </c>
      <c r="D96" s="74" t="n">
        <v>0.78</v>
      </c>
    </row>
    <row r="97" hidden="1" ht="18" customHeight="1">
      <c r="B97" s="72" t="inlineStr">
        <is>
          <t>SC-BA</t>
        </is>
      </c>
      <c r="C97" s="73" t="inlineStr">
        <is>
          <t>BTR</t>
        </is>
      </c>
      <c r="D97" s="74" t="n">
        <v>0.67</v>
      </c>
    </row>
    <row r="98" hidden="1" ht="18" customHeight="1">
      <c r="B98" s="72" t="inlineStr">
        <is>
          <t>SC-BA</t>
        </is>
      </c>
      <c r="C98" s="73" t="inlineStr">
        <is>
          <t>BT</t>
        </is>
      </c>
      <c r="D98" s="74" t="n">
        <v>0.5600000000000001</v>
      </c>
    </row>
    <row r="99" hidden="1" ht="18" customHeight="1">
      <c r="B99" s="72" t="inlineStr">
        <is>
          <t>SC-BA</t>
        </is>
      </c>
      <c r="C99" s="73" t="inlineStr">
        <is>
          <t>HTM</t>
        </is>
      </c>
      <c r="D99" s="74" t="n">
        <v>0.71</v>
      </c>
    </row>
    <row r="100" hidden="1" ht="18" customHeight="1">
      <c r="B100" s="72" t="inlineStr">
        <is>
          <t>SC-BA</t>
        </is>
      </c>
      <c r="C100" s="73" t="inlineStr">
        <is>
          <t>MT</t>
        </is>
      </c>
      <c r="D100" s="74" t="n">
        <v>0.6899999999999999</v>
      </c>
    </row>
    <row r="101" hidden="1" ht="18" customHeight="1">
      <c r="B101" s="72" t="inlineStr">
        <is>
          <t>SC-BA</t>
        </is>
      </c>
      <c r="C101" s="73" t="inlineStr">
        <is>
          <t>TBT</t>
        </is>
      </c>
      <c r="D101" s="74" t="n">
        <v>0.34</v>
      </c>
    </row>
    <row r="102" hidden="1" ht="18" customHeight="1">
      <c r="B102" s="72" t="inlineStr">
        <is>
          <t>PW-UD</t>
        </is>
      </c>
      <c r="C102" s="73" t="inlineStr">
        <is>
          <t>BTR</t>
        </is>
      </c>
      <c r="D102" s="74" t="n">
        <v>0.62</v>
      </c>
    </row>
    <row r="103" hidden="1" ht="18" customHeight="1">
      <c r="B103" s="72" t="inlineStr">
        <is>
          <t>PW-UD</t>
        </is>
      </c>
      <c r="C103" s="73" t="inlineStr">
        <is>
          <t>BT</t>
        </is>
      </c>
      <c r="D103" s="74" t="n">
        <v>0.58</v>
      </c>
    </row>
    <row r="104" hidden="1" ht="18" customHeight="1">
      <c r="B104" s="72" t="inlineStr">
        <is>
          <t>PW-UD</t>
        </is>
      </c>
      <c r="C104" s="73" t="inlineStr">
        <is>
          <t>HTN</t>
        </is>
      </c>
      <c r="D104" s="74" t="n">
        <v>0.6899999999999999</v>
      </c>
    </row>
    <row r="105" hidden="1" ht="18" customHeight="1">
      <c r="B105" s="72" t="inlineStr">
        <is>
          <t>PW-UD</t>
        </is>
      </c>
      <c r="C105" s="73" t="inlineStr">
        <is>
          <t>HTM</t>
        </is>
      </c>
      <c r="D105" s="74" t="n">
        <v>0.71</v>
      </c>
    </row>
    <row r="106" hidden="1" ht="18" customHeight="1">
      <c r="B106" s="72" t="inlineStr">
        <is>
          <t>PW-UD</t>
        </is>
      </c>
      <c r="C106" s="73" t="inlineStr">
        <is>
          <t>MT</t>
        </is>
      </c>
      <c r="D106" s="74" t="n">
        <v>0.6899999999999999</v>
      </c>
    </row>
    <row r="107" hidden="1" ht="18" customHeight="1">
      <c r="B107" s="72" t="inlineStr">
        <is>
          <t>PW-UD</t>
        </is>
      </c>
      <c r="C107" s="73" t="inlineStr">
        <is>
          <t>TBT</t>
        </is>
      </c>
      <c r="D107" s="74" t="n">
        <v>0.55</v>
      </c>
    </row>
  </sheetData>
  <mergeCells count="121">
    <mergeCell ref="K49:L49"/>
    <mergeCell ref="H35:I35"/>
    <mergeCell ref="P27:R27"/>
    <mergeCell ref="B13:R14"/>
    <mergeCell ref="O52:R52"/>
    <mergeCell ref="P36:R36"/>
    <mergeCell ref="P17:R17"/>
    <mergeCell ref="H39:I39"/>
    <mergeCell ref="E51:F51"/>
    <mergeCell ref="P19:R19"/>
    <mergeCell ref="P28:R28"/>
    <mergeCell ref="K50:L50"/>
    <mergeCell ref="P37:R37"/>
    <mergeCell ref="P30:R30"/>
    <mergeCell ref="K52:L52"/>
    <mergeCell ref="G50:I50"/>
    <mergeCell ref="H45:I45"/>
    <mergeCell ref="E49:F49"/>
    <mergeCell ref="H37:I37"/>
    <mergeCell ref="G52:I52"/>
    <mergeCell ref="B49:C49"/>
    <mergeCell ref="P38:R38"/>
    <mergeCell ref="B55:C55"/>
    <mergeCell ref="K53:L53"/>
    <mergeCell ref="B51:C51"/>
    <mergeCell ref="P40:R40"/>
    <mergeCell ref="E53:F53"/>
    <mergeCell ref="H23:I23"/>
    <mergeCell ref="I6:J6"/>
    <mergeCell ref="E55:F55"/>
    <mergeCell ref="H41:I41"/>
    <mergeCell ref="F6:G6"/>
    <mergeCell ref="E48:F48"/>
    <mergeCell ref="K55:L55"/>
    <mergeCell ref="M6:O6"/>
    <mergeCell ref="P16:R16"/>
    <mergeCell ref="H34:I34"/>
    <mergeCell ref="H25:I25"/>
    <mergeCell ref="K51:L51"/>
    <mergeCell ref="G55:I55"/>
    <mergeCell ref="P18:R18"/>
    <mergeCell ref="H36:I36"/>
    <mergeCell ref="G51:I51"/>
    <mergeCell ref="B53:C53"/>
    <mergeCell ref="K56:L56"/>
    <mergeCell ref="H17:I17"/>
    <mergeCell ref="G54:I54"/>
    <mergeCell ref="Q15:R15"/>
    <mergeCell ref="H19:I19"/>
    <mergeCell ref="P45:R45"/>
    <mergeCell ref="G56:I56"/>
    <mergeCell ref="H28:I28"/>
    <mergeCell ref="P20:R20"/>
    <mergeCell ref="P29:R29"/>
    <mergeCell ref="P44:R44"/>
    <mergeCell ref="P22:R22"/>
    <mergeCell ref="P31:R31"/>
    <mergeCell ref="K6:L6"/>
    <mergeCell ref="E50:F50"/>
    <mergeCell ref="P21:R21"/>
    <mergeCell ref="B54:C54"/>
    <mergeCell ref="H38:I38"/>
    <mergeCell ref="C2:D3"/>
    <mergeCell ref="G53:I53"/>
    <mergeCell ref="H43:I43"/>
    <mergeCell ref="E52:F52"/>
    <mergeCell ref="P23:R23"/>
    <mergeCell ref="H31:I31"/>
    <mergeCell ref="B56:C56"/>
    <mergeCell ref="K54:L54"/>
    <mergeCell ref="H40:I40"/>
    <mergeCell ref="E8:R8"/>
    <mergeCell ref="K60:L60"/>
    <mergeCell ref="B52:C52"/>
    <mergeCell ref="H21:I21"/>
    <mergeCell ref="B60:C60"/>
    <mergeCell ref="P43:R43"/>
    <mergeCell ref="E59:F59"/>
    <mergeCell ref="E9:R9"/>
    <mergeCell ref="P33:R33"/>
    <mergeCell ref="H16:I16"/>
    <mergeCell ref="Q6:R6"/>
    <mergeCell ref="H22:I22"/>
    <mergeCell ref="P35:R35"/>
    <mergeCell ref="E54:F54"/>
    <mergeCell ref="P25:R25"/>
    <mergeCell ref="H42:I42"/>
    <mergeCell ref="E56:F56"/>
    <mergeCell ref="H30:I30"/>
    <mergeCell ref="H20:I20"/>
    <mergeCell ref="P46:R46"/>
    <mergeCell ref="B59:C59"/>
    <mergeCell ref="H29:I29"/>
    <mergeCell ref="G49:I49"/>
    <mergeCell ref="P39:R39"/>
    <mergeCell ref="H44:I44"/>
    <mergeCell ref="B48:C48"/>
    <mergeCell ref="P32:R32"/>
    <mergeCell ref="H46:I46"/>
    <mergeCell ref="E60:F60"/>
    <mergeCell ref="K59:L59"/>
    <mergeCell ref="P24:R24"/>
    <mergeCell ref="G60:I60"/>
    <mergeCell ref="H32:I32"/>
    <mergeCell ref="B10:C10"/>
    <mergeCell ref="H47:I47"/>
    <mergeCell ref="G59:I59"/>
    <mergeCell ref="P26:R26"/>
    <mergeCell ref="K48:L48"/>
    <mergeCell ref="H27:I27"/>
    <mergeCell ref="C4:D5"/>
    <mergeCell ref="B8:C9"/>
    <mergeCell ref="F10:Q10"/>
    <mergeCell ref="P41:R41"/>
    <mergeCell ref="H24:I24"/>
    <mergeCell ref="H18:I18"/>
    <mergeCell ref="H33:I33"/>
    <mergeCell ref="G48:I48"/>
    <mergeCell ref="B50:C50"/>
    <mergeCell ref="P34:R34"/>
    <mergeCell ref="H26:I26"/>
  </mergeCells>
  <dataValidations count="3">
    <dataValidation sqref="B60:C60" showDropDown="0" showInputMessage="1" showErrorMessage="1" allowBlank="0" type="list">
      <formula1>$A$2:$A$15</formula1>
    </dataValidation>
    <dataValidation sqref="B17:B46" showDropDown="0" showInputMessage="1" showErrorMessage="1" allowBlank="0"/>
    <dataValidation sqref="D60" showDropDown="0" showInputMessage="1" showErrorMessage="1" allowBlank="0" type="list">
      <formula1>$A$2:$A$10</formula1>
    </dataValidation>
  </dataValidations>
  <printOptions horizontalCentered="1" verticalCentered="1"/>
  <pageMargins left="0" right="0.1968503937007874" top="0" bottom="0" header="0" footer="0"/>
  <pageSetup orientation="landscape" paperSize="9" scale="36" horizontalDpi="180" verticalDpi="180"/>
</worksheet>
</file>

<file path=xl/worksheets/sheet7.xml><?xml version="1.0" encoding="utf-8"?>
<worksheet xmlns="http://schemas.openxmlformats.org/spreadsheetml/2006/main">
  <sheetPr codeName="Feuil7">
    <outlinePr summaryBelow="1" summaryRight="1"/>
    <pageSetUpPr fitToPage="1"/>
  </sheetPr>
  <dimension ref="A1:J65"/>
  <sheetViews>
    <sheetView showGridLines="0" view="pageBreakPreview" topLeftCell="A10" zoomScale="85" zoomScaleNormal="70" zoomScaleSheetLayoutView="85" workbookViewId="0">
      <selection activeCell="G26" sqref="G26"/>
    </sheetView>
  </sheetViews>
  <sheetFormatPr baseColWidth="8" defaultColWidth="11.25" defaultRowHeight="12.75"/>
  <cols>
    <col width="5.75" customWidth="1" style="378" min="1" max="1"/>
    <col width="24.875" customWidth="1" style="378" min="2" max="2"/>
    <col width="28.25" customWidth="1" style="378" min="3" max="3"/>
    <col width="25.125" customWidth="1" style="378" min="4" max="4"/>
    <col width="25.25" customWidth="1" style="378" min="5" max="5"/>
    <col width="27.125" customWidth="1" style="378" min="6" max="6"/>
    <col width="25.125" customWidth="1" style="378" min="7" max="7"/>
    <col width="54.5" customWidth="1" style="378" min="8" max="8"/>
    <col width="26.5" customWidth="1" style="378" min="9" max="9"/>
    <col width="11.25" customWidth="1" style="378" min="10" max="16384"/>
  </cols>
  <sheetData>
    <row r="1" ht="21.6" customHeight="1" thickBot="1">
      <c r="A1" s="5" t="inlineStr">
        <is>
          <t xml:space="preserve">   </t>
        </is>
      </c>
    </row>
    <row r="2" ht="34.5" customHeight="1" thickBot="1">
      <c r="B2" s="19" t="n"/>
      <c r="C2" s="571">
        <f>TODAY()</f>
        <v/>
      </c>
      <c r="E2" s="26" t="n"/>
      <c r="F2" s="26" t="n"/>
      <c r="G2" s="19" t="n"/>
      <c r="H2" s="19" t="n"/>
      <c r="I2" s="19" t="n"/>
      <c r="J2" s="28" t="n"/>
    </row>
    <row r="3" ht="34.5" customHeight="1" thickBot="1">
      <c r="B3" s="19" t="n"/>
      <c r="E3" s="26" t="n"/>
      <c r="F3" s="26" t="n"/>
      <c r="G3" s="21" t="n"/>
      <c r="H3" s="19" t="n"/>
      <c r="I3" s="19" t="n"/>
      <c r="J3" s="28" t="n"/>
    </row>
    <row r="4" ht="34.5" customHeight="1" thickBot="1">
      <c r="B4" s="19" t="n"/>
      <c r="C4" s="789">
        <f>NOW()</f>
        <v/>
      </c>
      <c r="E4" s="26" t="n"/>
      <c r="F4" s="26" t="n"/>
      <c r="G4" s="21" t="n"/>
      <c r="H4" s="19" t="n"/>
      <c r="I4" s="19" t="n"/>
      <c r="J4" s="28" t="n"/>
    </row>
    <row r="5" ht="34.5" customHeight="1" thickBot="1">
      <c r="B5" s="19" t="n"/>
      <c r="E5" s="26" t="n"/>
      <c r="F5" s="26" t="n"/>
      <c r="G5" s="21" t="n"/>
      <c r="H5" s="23" t="n"/>
      <c r="I5" s="23" t="n"/>
      <c r="J5" s="28" t="n"/>
    </row>
    <row r="6" ht="34.5" customHeight="1">
      <c r="B6" s="19" t="n"/>
      <c r="C6" s="24" t="n"/>
      <c r="D6" s="25" t="n"/>
      <c r="E6" s="26" t="n"/>
      <c r="F6" s="573" t="n"/>
      <c r="H6" s="574" t="n"/>
      <c r="I6" s="42" t="n"/>
      <c r="J6" s="29" t="n"/>
    </row>
    <row r="7" ht="21.6" customHeight="1">
      <c r="A7" s="5" t="n"/>
    </row>
    <row r="8" ht="21.6" customHeight="1" thickBot="1">
      <c r="A8" s="5" t="n"/>
    </row>
    <row r="9" ht="36" customHeight="1" thickBot="1">
      <c r="A9" s="5" t="n"/>
      <c r="B9" s="790" t="n"/>
      <c r="C9" s="791" t="n"/>
      <c r="D9" s="38" t="inlineStr">
        <is>
          <t>Formulaire</t>
        </is>
      </c>
      <c r="E9" s="593" t="inlineStr">
        <is>
          <t>PRL-LA-IT-06-F-01</t>
        </is>
      </c>
      <c r="F9" s="792" t="n"/>
      <c r="G9" s="792" t="n"/>
      <c r="H9" s="792" t="n"/>
      <c r="I9" s="793" t="n"/>
    </row>
    <row r="10" ht="38.25" customHeight="1" thickBot="1">
      <c r="A10" s="5" t="n"/>
      <c r="B10" s="794" t="n"/>
      <c r="C10" s="795" t="n"/>
      <c r="D10" s="38" t="inlineStr">
        <is>
          <t>Entité</t>
        </is>
      </c>
      <c r="E10" s="594" t="inlineStr">
        <is>
          <t>Entités de Traitement de Site de Khouribga</t>
        </is>
      </c>
      <c r="F10" s="792" t="n"/>
      <c r="G10" s="792" t="n"/>
      <c r="H10" s="792" t="n"/>
      <c r="I10" s="793" t="n"/>
    </row>
    <row r="11" ht="45" customHeight="1" thickBot="1">
      <c r="A11" s="5" t="n"/>
      <c r="B11" s="893" t="inlineStr">
        <is>
          <t>DIRECTION EXECUTIVE
OPERATIONSINDUSTRIELLES
DIRECTION DE SITE  DE KHOURIBGA</t>
        </is>
      </c>
      <c r="C11" s="797" t="n"/>
      <c r="D11" s="38" t="inlineStr">
        <is>
          <t>Version</t>
        </is>
      </c>
      <c r="E11" s="593" t="n">
        <v>5</v>
      </c>
      <c r="F11" s="594" t="inlineStr">
        <is>
          <t xml:space="preserve">Applicable le </t>
        </is>
      </c>
      <c r="G11" s="792" t="n"/>
      <c r="H11" s="793" t="n"/>
      <c r="I11" s="37" t="n">
        <v>45000</v>
      </c>
    </row>
    <row r="12" ht="26.25" customHeight="1">
      <c r="A12" s="5" t="n"/>
      <c r="B12" s="32" t="inlineStr">
        <is>
          <t>OIK/BD/E- 428</t>
        </is>
      </c>
      <c r="C12" s="30" t="n"/>
      <c r="D12" s="31" t="n"/>
    </row>
    <row r="13" ht="5.25" customHeight="1"/>
    <row r="14" ht="24" customHeight="1">
      <c r="B14" s="772" t="inlineStr">
        <is>
          <t>Suivi des arrêts</t>
        </is>
      </c>
    </row>
    <row r="15" ht="21" customHeight="1">
      <c r="A15" s="6" t="n"/>
    </row>
    <row r="16" ht="33.75" customHeight="1" thickBot="1">
      <c r="A16" s="7" t="n"/>
      <c r="B16" s="167" t="inlineStr">
        <is>
          <t>Installation : RP T1</t>
        </is>
      </c>
      <c r="E16" s="36" t="n"/>
      <c r="H16" s="35" t="inlineStr">
        <is>
          <t>Journée du :</t>
        </is>
      </c>
      <c r="I16" s="584" t="n">
        <v>45038</v>
      </c>
    </row>
    <row r="17" ht="64.5" customHeight="1" thickBot="1">
      <c r="A17" s="8" t="n"/>
      <c r="B17" s="618" t="inlineStr">
        <is>
          <t>Axe</t>
        </is>
      </c>
      <c r="C17" s="618" t="inlineStr">
        <is>
          <t>Organe</t>
        </is>
      </c>
      <c r="D17" s="618" t="inlineStr">
        <is>
          <t>Sce</t>
        </is>
      </c>
      <c r="E17" s="618" t="inlineStr">
        <is>
          <t>Début</t>
        </is>
      </c>
      <c r="F17" s="618" t="inlineStr">
        <is>
          <t>Fin</t>
        </is>
      </c>
      <c r="G17" s="618" t="inlineStr">
        <is>
          <t>Durée</t>
        </is>
      </c>
      <c r="H17" s="618" t="inlineStr">
        <is>
          <t>Nature des arrêts</t>
        </is>
      </c>
      <c r="I17" s="793" t="n"/>
    </row>
    <row r="18" ht="36.75" customHeight="1">
      <c r="A18" s="378" t="n"/>
      <c r="B18" s="150" t="inlineStr">
        <is>
          <t>RPSC1_LIAISON</t>
        </is>
      </c>
      <c r="C18" s="145" t="inlineStr">
        <is>
          <t>NA</t>
        </is>
      </c>
      <c r="D18" s="145" t="inlineStr">
        <is>
          <t>E_MAN</t>
        </is>
      </c>
      <c r="E18" s="146" t="n">
        <v>0.03333333333333333</v>
      </c>
      <c r="F18" s="146" t="n">
        <v>0.05</v>
      </c>
      <c r="G18" s="147">
        <f>IF(AND(F18-E18&gt;0),F18-E18,"")</f>
        <v/>
      </c>
      <c r="H18" s="771" t="inlineStr">
        <is>
          <t>Changement navette</t>
        </is>
      </c>
      <c r="I18" s="805" t="n"/>
    </row>
    <row r="19" ht="36.75" customHeight="1">
      <c r="A19" s="378" t="n"/>
      <c r="B19" s="150" t="inlineStr">
        <is>
          <t>AXE_BENI_AMIR</t>
        </is>
      </c>
      <c r="C19" s="252" t="inlineStr">
        <is>
          <t>STBA</t>
        </is>
      </c>
      <c r="D19" s="145" t="inlineStr">
        <is>
          <t>X_LBA</t>
        </is>
      </c>
      <c r="E19" s="146" t="n">
        <v>0.06666666666666667</v>
      </c>
      <c r="F19" s="146" t="n">
        <v>0.07916666666666666</v>
      </c>
      <c r="G19" s="147">
        <f>IF(AND(F19-E19&gt;0),F19-E19,"")</f>
        <v/>
      </c>
      <c r="H19" s="771" t="inlineStr">
        <is>
          <t>Translation &amp; orientation STBA</t>
        </is>
      </c>
      <c r="I19" s="805" t="n"/>
    </row>
    <row r="20" ht="36.75" customHeight="1">
      <c r="A20" s="378" t="n"/>
      <c r="B20" s="150" t="inlineStr">
        <is>
          <t>RPSC1_LIAISON</t>
        </is>
      </c>
      <c r="C20" s="252" t="inlineStr">
        <is>
          <t>RPSC1</t>
        </is>
      </c>
      <c r="D20" s="145" t="inlineStr">
        <is>
          <t>M_REG</t>
        </is>
      </c>
      <c r="E20" s="146" t="n">
        <v>0.1875</v>
      </c>
      <c r="F20" s="146" t="n">
        <v>0.2125</v>
      </c>
      <c r="G20" s="147">
        <f>IF(AND(F20-E20&gt;0),F20-E20,"")</f>
        <v/>
      </c>
      <c r="H20" s="771" t="inlineStr">
        <is>
          <t>Défaut de translation</t>
        </is>
      </c>
      <c r="I20" s="805" t="n"/>
    </row>
    <row r="21" ht="36.75" customHeight="1">
      <c r="A21" s="378" t="n"/>
      <c r="B21" s="150" t="inlineStr">
        <is>
          <t>AXE_BENI_AMIR</t>
        </is>
      </c>
      <c r="C21" s="252" t="inlineStr">
        <is>
          <t>LH2</t>
        </is>
      </c>
      <c r="D21" s="145" t="inlineStr">
        <is>
          <t>X_LBA</t>
        </is>
      </c>
      <c r="E21" s="146" t="n">
        <v>0.3666666666666666</v>
      </c>
      <c r="F21" s="146" t="n">
        <v>0.5166666666666667</v>
      </c>
      <c r="G21" s="147">
        <f>IF(AND(F21-E21&gt;0),F21-E21,"")</f>
        <v/>
      </c>
      <c r="H21" s="771" t="inlineStr">
        <is>
          <t>Défaut électrique</t>
        </is>
      </c>
      <c r="I21" s="805" t="n"/>
    </row>
    <row r="22" ht="36.75" customHeight="1">
      <c r="A22" s="378" t="n"/>
      <c r="B22" s="150" t="inlineStr">
        <is>
          <t>RPSC1_LIAISON</t>
        </is>
      </c>
      <c r="C22" s="252" t="inlineStr">
        <is>
          <t>RPSC1</t>
        </is>
      </c>
      <c r="D22" s="145" t="inlineStr">
        <is>
          <t>E_MAN</t>
        </is>
      </c>
      <c r="E22" s="146" t="n">
        <v>0.7083333333333334</v>
      </c>
      <c r="F22" s="146" t="n">
        <v>0.725</v>
      </c>
      <c r="G22" s="147">
        <f>IF(AND(F22-E22&gt;0),F22-E22,"")</f>
        <v/>
      </c>
      <c r="H22" s="771" t="inlineStr">
        <is>
          <t>Translation</t>
        </is>
      </c>
      <c r="I22" s="805" t="n"/>
    </row>
    <row r="23" ht="36.75" customHeight="1">
      <c r="A23" s="378" t="n"/>
      <c r="B23" s="150" t="n"/>
      <c r="C23" s="252" t="n"/>
      <c r="D23" s="145" t="n"/>
      <c r="E23" s="146" t="n"/>
      <c r="F23" s="146" t="n"/>
      <c r="G23" s="147">
        <f>IF(AND(F23-E23&gt;0),F23-E23,"")</f>
        <v/>
      </c>
      <c r="H23" s="771" t="n"/>
      <c r="I23" s="805" t="n"/>
    </row>
    <row r="24" ht="36.75" customHeight="1">
      <c r="A24" s="378" t="n"/>
      <c r="B24" s="150" t="n"/>
      <c r="C24" s="252" t="n"/>
      <c r="D24" s="145" t="n"/>
      <c r="E24" s="146" t="n"/>
      <c r="F24" s="146" t="n"/>
      <c r="G24" s="147">
        <f>IF(AND(F24-E24&gt;0),F24-E24,"")</f>
        <v/>
      </c>
      <c r="H24" s="771" t="n"/>
      <c r="I24" s="805" t="n"/>
    </row>
    <row r="25" ht="36.75" customHeight="1">
      <c r="A25" s="378" t="n"/>
      <c r="B25" s="150" t="n"/>
      <c r="C25" s="252" t="n"/>
      <c r="D25" s="145" t="n"/>
      <c r="E25" s="146" t="n"/>
      <c r="F25" s="146" t="n"/>
      <c r="G25" s="147">
        <f>IF(AND(F25-E25&gt;0),F25-E25,"")</f>
        <v/>
      </c>
      <c r="H25" s="771" t="n"/>
      <c r="I25" s="805" t="n"/>
    </row>
    <row r="26" ht="36.75" customHeight="1">
      <c r="A26" s="378" t="n"/>
      <c r="B26" s="150" t="n"/>
      <c r="C26" s="252" t="n"/>
      <c r="D26" s="145" t="n"/>
      <c r="E26" s="146" t="n"/>
      <c r="F26" s="146" t="n"/>
      <c r="G26" s="147">
        <f>IF(AND(F26-E26&gt;0),F26-E26,"")</f>
        <v/>
      </c>
      <c r="H26" s="771" t="n"/>
      <c r="I26" s="805" t="n"/>
    </row>
    <row r="27" ht="36.75" customHeight="1">
      <c r="A27" s="378" t="n"/>
      <c r="B27" s="150" t="n"/>
      <c r="C27" s="252" t="n"/>
      <c r="D27" s="145" t="n"/>
      <c r="E27" s="146" t="n"/>
      <c r="F27" s="146" t="n"/>
      <c r="G27" s="147">
        <f>IF(AND(F27-E27&gt;0),F27-E27,"")</f>
        <v/>
      </c>
      <c r="H27" s="771" t="n"/>
      <c r="I27" s="805" t="n"/>
    </row>
    <row r="28" ht="36.75" customHeight="1">
      <c r="A28" s="378" t="n"/>
      <c r="B28" s="150" t="n"/>
      <c r="C28" s="252" t="n"/>
      <c r="D28" s="145" t="n"/>
      <c r="E28" s="146" t="n"/>
      <c r="F28" s="146" t="n"/>
      <c r="G28" s="147">
        <f>IF(AND(F28-E28&gt;0),F28-E28,"")</f>
        <v/>
      </c>
      <c r="H28" s="771" t="n"/>
      <c r="I28" s="805" t="n"/>
    </row>
    <row r="29" ht="36.75" customHeight="1">
      <c r="A29" s="378" t="n"/>
      <c r="B29" s="150" t="n"/>
      <c r="C29" s="242" t="n"/>
      <c r="D29" s="145" t="n"/>
      <c r="E29" s="146" t="n"/>
      <c r="F29" s="146" t="n"/>
      <c r="G29" s="147">
        <f>IF(AND(F29-E29&gt;0),F29-E29,"")</f>
        <v/>
      </c>
      <c r="H29" s="771" t="n"/>
      <c r="I29" s="805" t="n"/>
    </row>
    <row r="30" ht="36.75" customHeight="1">
      <c r="A30" s="378" t="n"/>
      <c r="B30" s="150" t="n"/>
      <c r="C30" s="252" t="n"/>
      <c r="D30" s="145" t="n"/>
      <c r="E30" s="146" t="n"/>
      <c r="F30" s="146" t="n"/>
      <c r="G30" s="147">
        <f>IF(AND(F30-E30&gt;0),F30-E30,"")</f>
        <v/>
      </c>
      <c r="H30" s="771" t="n"/>
      <c r="I30" s="805" t="n"/>
    </row>
    <row r="31" ht="36.75" customHeight="1">
      <c r="A31" s="378" t="n"/>
      <c r="B31" s="150" t="n"/>
      <c r="C31" s="242" t="n"/>
      <c r="D31" s="145" t="n"/>
      <c r="E31" s="146" t="n"/>
      <c r="F31" s="146" t="n"/>
      <c r="G31" s="147">
        <f>IF(AND(F31-E31&gt;0),F31-E31,"")</f>
        <v/>
      </c>
      <c r="H31" s="771" t="n"/>
      <c r="I31" s="805" t="n"/>
    </row>
    <row r="32" ht="36.75" customHeight="1">
      <c r="A32" s="378" t="n"/>
      <c r="B32" s="150" t="n"/>
      <c r="C32" s="242" t="n"/>
      <c r="D32" s="145" t="n"/>
      <c r="E32" s="146" t="n"/>
      <c r="F32" s="146" t="n"/>
      <c r="G32" s="147">
        <f>IF(AND(F32-E32&gt;0),F32-E32,"")</f>
        <v/>
      </c>
      <c r="H32" s="771" t="n"/>
      <c r="I32" s="805" t="n"/>
    </row>
    <row r="33" ht="36.75" customHeight="1">
      <c r="A33" s="378" t="n"/>
      <c r="B33" s="150" t="n"/>
      <c r="C33" s="242" t="n"/>
      <c r="D33" s="145" t="n"/>
      <c r="E33" s="146" t="n"/>
      <c r="F33" s="146" t="n"/>
      <c r="G33" s="147">
        <f>IF(AND(F33-E33&gt;0),F33-E33,"")</f>
        <v/>
      </c>
      <c r="H33" s="771" t="n"/>
      <c r="I33" s="805" t="n"/>
    </row>
    <row r="34" ht="36.75" customHeight="1">
      <c r="A34" s="378" t="n"/>
      <c r="B34" s="150" t="n"/>
      <c r="C34" s="242" t="n"/>
      <c r="D34" s="145" t="n"/>
      <c r="E34" s="146" t="n"/>
      <c r="F34" s="146" t="n"/>
      <c r="G34" s="147">
        <f>IF(AND(F34-E34&gt;0),F34-E34,"")</f>
        <v/>
      </c>
      <c r="H34" s="771" t="n"/>
      <c r="I34" s="805" t="n"/>
    </row>
    <row r="35" ht="36.75" customHeight="1">
      <c r="A35" s="378" t="n"/>
      <c r="B35" s="150" t="n"/>
      <c r="C35" s="242" t="n"/>
      <c r="D35" s="145" t="n"/>
      <c r="E35" s="146" t="n"/>
      <c r="F35" s="146" t="n"/>
      <c r="G35" s="147">
        <f>IF(AND(F35-E35&gt;0),F35-E35,"")</f>
        <v/>
      </c>
      <c r="H35" s="771" t="n"/>
      <c r="I35" s="805" t="n"/>
    </row>
    <row r="36" ht="36.75" customHeight="1">
      <c r="A36" s="378" t="n"/>
      <c r="B36" s="150" t="n"/>
      <c r="C36" s="252" t="n"/>
      <c r="D36" s="145" t="n"/>
      <c r="E36" s="146" t="n"/>
      <c r="F36" s="146" t="n"/>
      <c r="G36" s="147">
        <f>IF(AND(F36-E36&gt;0),F36-E36,"")</f>
        <v/>
      </c>
      <c r="H36" s="771" t="n"/>
      <c r="I36" s="805" t="n"/>
    </row>
    <row r="37" ht="36.75" customHeight="1">
      <c r="A37" s="378" t="n"/>
      <c r="B37" s="150" t="n"/>
      <c r="C37" s="242" t="n"/>
      <c r="D37" s="145" t="n"/>
      <c r="E37" s="146" t="n"/>
      <c r="F37" s="146" t="n"/>
      <c r="G37" s="147">
        <f>IF(AND(F37-E37&gt;0),F37-E37,"")</f>
        <v/>
      </c>
      <c r="H37" s="771" t="n"/>
      <c r="I37" s="805" t="n"/>
    </row>
    <row r="38" ht="36.75" customHeight="1">
      <c r="A38" s="378" t="n"/>
      <c r="B38" s="150" t="n"/>
      <c r="C38" s="242" t="n"/>
      <c r="D38" s="145" t="n"/>
      <c r="E38" s="146" t="n"/>
      <c r="F38" s="146" t="n"/>
      <c r="G38" s="147">
        <f>IF(AND(F38-E38&gt;0),F38-E38,"")</f>
        <v/>
      </c>
      <c r="H38" s="771" t="n"/>
      <c r="I38" s="805" t="n"/>
    </row>
    <row r="39" ht="36.75" customHeight="1">
      <c r="A39" s="378" t="n"/>
      <c r="B39" s="150" t="n"/>
      <c r="C39" s="242" t="n"/>
      <c r="D39" s="145" t="n"/>
      <c r="E39" s="146" t="n"/>
      <c r="F39" s="146" t="n"/>
      <c r="G39" s="147">
        <f>IF(AND(F39-E39&gt;0),F39-E39,"")</f>
        <v/>
      </c>
      <c r="H39" s="771" t="n"/>
      <c r="I39" s="805" t="n"/>
    </row>
    <row r="40" ht="36.75" customHeight="1">
      <c r="A40" s="378" t="n"/>
      <c r="B40" s="150" t="n"/>
      <c r="C40" s="242" t="n"/>
      <c r="D40" s="145" t="n"/>
      <c r="E40" s="146" t="n"/>
      <c r="F40" s="146" t="n"/>
      <c r="G40" s="147">
        <f>IF(AND(F40-E40&gt;0),F40-E40,"")</f>
        <v/>
      </c>
      <c r="H40" s="771" t="n"/>
      <c r="I40" s="805" t="n"/>
    </row>
    <row r="41" ht="36.75" customHeight="1">
      <c r="A41" s="378" t="n"/>
      <c r="B41" s="150" t="n"/>
      <c r="C41" s="242" t="n"/>
      <c r="D41" s="145" t="n"/>
      <c r="E41" s="146" t="n"/>
      <c r="F41" s="146" t="n"/>
      <c r="G41" s="147">
        <f>IF(AND(F41-E41&gt;0),F41-E41,"")</f>
        <v/>
      </c>
      <c r="H41" s="771" t="n"/>
      <c r="I41" s="805" t="n"/>
    </row>
    <row r="42" ht="36.75" customHeight="1">
      <c r="A42" s="378" t="n"/>
      <c r="B42" s="150" t="n"/>
      <c r="C42" s="242" t="n"/>
      <c r="D42" s="145" t="n"/>
      <c r="E42" s="146" t="n"/>
      <c r="F42" s="146" t="n"/>
      <c r="G42" s="147">
        <f>IF(AND(F42-E42&gt;0),F42-E42,"")</f>
        <v/>
      </c>
      <c r="H42" s="771" t="n"/>
      <c r="I42" s="805" t="n"/>
    </row>
    <row r="43" ht="36.75" customHeight="1">
      <c r="A43" s="378" t="n"/>
      <c r="B43" s="150" t="n"/>
      <c r="C43" s="242" t="n"/>
      <c r="D43" s="145" t="n"/>
      <c r="E43" s="146" t="n"/>
      <c r="F43" s="146" t="n"/>
      <c r="G43" s="147">
        <f>IF(AND(F43-E43&gt;0),F43-E43,"")</f>
        <v/>
      </c>
      <c r="H43" s="771" t="n"/>
      <c r="I43" s="805" t="n"/>
    </row>
    <row r="44" ht="36.75" customHeight="1">
      <c r="A44" s="378" t="n"/>
      <c r="B44" s="150" t="n"/>
      <c r="C44" s="242" t="n"/>
      <c r="D44" s="145" t="n"/>
      <c r="E44" s="146" t="n"/>
      <c r="F44" s="146" t="n"/>
      <c r="G44" s="147">
        <f>IF(AND(F44-E44&gt;0),F44-E44,"")</f>
        <v/>
      </c>
      <c r="H44" s="771" t="n"/>
      <c r="I44" s="805" t="n"/>
    </row>
    <row r="45" ht="36.75" customHeight="1">
      <c r="A45" s="378" t="n"/>
      <c r="B45" s="150" t="n"/>
      <c r="C45" s="242" t="n"/>
      <c r="D45" s="145" t="n"/>
      <c r="E45" s="146" t="n"/>
      <c r="F45" s="146" t="n"/>
      <c r="G45" s="147">
        <f>IF(AND(F45-E45&gt;0),F45-E45,"")</f>
        <v/>
      </c>
      <c r="H45" s="771" t="n"/>
      <c r="I45" s="805" t="n"/>
    </row>
    <row r="46" ht="36.75" customHeight="1">
      <c r="A46" s="378" t="n"/>
      <c r="B46" s="150" t="n"/>
      <c r="C46" s="242" t="n"/>
      <c r="D46" s="145" t="n"/>
      <c r="E46" s="146" t="n"/>
      <c r="F46" s="146" t="n"/>
      <c r="G46" s="147">
        <f>IF(AND(F46-E46&gt;0),F46-E46,"")</f>
        <v/>
      </c>
      <c r="H46" s="771" t="n"/>
      <c r="I46" s="805" t="n"/>
    </row>
    <row r="47" ht="36.75" customHeight="1" thickBot="1">
      <c r="A47" s="378" t="n"/>
      <c r="B47" s="151" t="n"/>
      <c r="C47" s="243" t="n"/>
      <c r="D47" s="148" t="n"/>
      <c r="E47" s="149" t="n"/>
      <c r="F47" s="149" t="n"/>
      <c r="G47" s="356">
        <f>IF(AND(F47-E47&gt;0),F47-E47,"")</f>
        <v/>
      </c>
      <c r="H47" s="771" t="n"/>
      <c r="I47" s="805" t="n"/>
    </row>
    <row r="48" ht="17.25" customHeight="1" thickBot="1">
      <c r="B48" s="87" t="n"/>
      <c r="C48" s="87" t="n"/>
      <c r="D48" s="87" t="n"/>
      <c r="E48" s="87" t="n"/>
      <c r="F48" s="87" t="n"/>
      <c r="G48" s="87" t="n"/>
      <c r="H48" s="87" t="n"/>
      <c r="I48" s="87" t="n"/>
    </row>
    <row r="49" ht="30" customHeight="1" thickBot="1">
      <c r="A49" s="605" t="n"/>
      <c r="B49" s="783" t="inlineStr">
        <is>
          <t>Arrêts internes</t>
        </is>
      </c>
      <c r="C49" s="784" t="inlineStr">
        <is>
          <t>E_MAN</t>
        </is>
      </c>
      <c r="D49" s="784" t="inlineStr">
        <is>
          <t>M_MEC</t>
        </is>
      </c>
      <c r="E49" s="784" t="inlineStr">
        <is>
          <t>M_ELEC</t>
        </is>
      </c>
      <c r="F49" s="784" t="inlineStr">
        <is>
          <t>M_INS</t>
        </is>
      </c>
      <c r="G49" s="784" t="inlineStr">
        <is>
          <t>M_REG</t>
        </is>
      </c>
      <c r="H49" s="784" t="inlineStr">
        <is>
          <t>M_BDM</t>
        </is>
      </c>
    </row>
    <row r="50" ht="91.5" customHeight="1" thickBot="1">
      <c r="A50" s="11" t="n"/>
      <c r="B50" s="894" t="n"/>
      <c r="C50" s="784" t="inlineStr">
        <is>
          <t>Exploitation Manutention</t>
        </is>
      </c>
      <c r="D50" s="784" t="inlineStr">
        <is>
          <t xml:space="preserve">Maintenance Mécanique </t>
        </is>
      </c>
      <c r="E50" s="784" t="inlineStr">
        <is>
          <t xml:space="preserve">Maintenance Electrique </t>
        </is>
      </c>
      <c r="F50" s="784" t="inlineStr">
        <is>
          <t xml:space="preserve">Maintenance Installation </t>
        </is>
      </c>
      <c r="G50" s="784" t="inlineStr">
        <is>
          <t xml:space="preserve">Maintenance Régulation </t>
        </is>
      </c>
      <c r="H50" s="784" t="inlineStr">
        <is>
          <t>Maintenance Planifié</t>
        </is>
      </c>
    </row>
    <row r="51" ht="30" customHeight="1" thickBot="1">
      <c r="A51" s="11" t="n"/>
      <c r="B51" s="895" t="n"/>
      <c r="C51" s="104">
        <f>SUMIFS('Arrêt RPT1'!$G$18:$G$47,'Arrêt RPT1'!$D$18:$D$47,C49)</f>
        <v/>
      </c>
      <c r="D51" s="104">
        <f>SUMIFS('Arrêt RPT1'!$G$18:$G$47,'Arrêt RPT1'!$D$18:$D$47,D49)</f>
        <v/>
      </c>
      <c r="E51" s="104">
        <f>SUMIFS('Arrêt RPT1'!$G$18:$G$47,'Arrêt RPT1'!$D$18:$D$47,E49)</f>
        <v/>
      </c>
      <c r="F51" s="104">
        <f>SUMIFS('Arrêt RPT1'!$G$18:$G$47,'Arrêt RPT1'!$D$18:$D$47,F49)</f>
        <v/>
      </c>
      <c r="G51" s="104">
        <f>SUMIFS('Arrêt RPT1'!$G$18:$G$47,'Arrêt RPT1'!$D$18:$D$47,G49)</f>
        <v/>
      </c>
      <c r="H51" s="104">
        <f>SUMIFS('Arrêt RPT1'!$G$18:$G$47,'Arrêt RPT1'!$D$18:$D$47,H49)</f>
        <v/>
      </c>
    </row>
    <row r="52" ht="26.1" customHeight="1" thickBot="1">
      <c r="A52" s="11" t="n"/>
      <c r="B52" s="154" t="inlineStr">
        <is>
          <t>Fréquence</t>
        </is>
      </c>
      <c r="C52" s="153">
        <f>COUNTIF('Arrêt RPT1'!$D$18:$D$47,C49)</f>
        <v/>
      </c>
      <c r="D52" s="153">
        <f>COUNTIF('Arrêt RPT1'!$D$18:$D$47,D49)</f>
        <v/>
      </c>
      <c r="E52" s="153">
        <f>COUNTIF('Arrêt RPT1'!$D$18:$D$47,E49)</f>
        <v/>
      </c>
      <c r="F52" s="153">
        <f>COUNTIF('Arrêt RPT1'!$D$18:$D$47,F49)</f>
        <v/>
      </c>
      <c r="G52" s="153">
        <f>COUNTIF('Arrêt RPT1'!$D$18:$D$47,G49)</f>
        <v/>
      </c>
      <c r="H52" s="153">
        <f>COUNTIF('Arrêt RPT1'!$D$18:$D$47,H49)</f>
        <v/>
      </c>
    </row>
    <row r="53" ht="9.75" customHeight="1" thickBot="1">
      <c r="A53" s="11" t="n"/>
    </row>
    <row r="54" ht="30" customHeight="1" thickBot="1">
      <c r="A54" s="11" t="n"/>
      <c r="B54" s="782" t="inlineStr">
        <is>
          <t>Arrêts externes</t>
        </is>
      </c>
      <c r="C54" s="784" t="inlineStr">
        <is>
          <t>E_LAV</t>
        </is>
      </c>
      <c r="D54" s="784" t="inlineStr">
        <is>
          <t>X_LBA</t>
        </is>
      </c>
      <c r="E54" s="784" t="inlineStr">
        <is>
          <t>X_LME</t>
        </is>
      </c>
      <c r="F54" s="784" t="inlineStr">
        <is>
          <t>X_EXT</t>
        </is>
      </c>
      <c r="G54" s="784" t="inlineStr">
        <is>
          <t>X_UBI</t>
        </is>
      </c>
      <c r="H54" s="13" t="n"/>
      <c r="I54" s="13" t="n"/>
    </row>
    <row r="55" ht="43.5" customHeight="1" thickBot="1">
      <c r="A55" s="11" t="n"/>
      <c r="B55" s="894" t="n"/>
      <c r="C55" s="784" t="inlineStr">
        <is>
          <t>Laverie Daoui</t>
        </is>
      </c>
      <c r="D55" s="784" t="inlineStr">
        <is>
          <t>Beni-Amir</t>
        </is>
      </c>
      <c r="E55" s="784" t="inlineStr">
        <is>
          <t>Service électrique Khouribga</t>
        </is>
      </c>
      <c r="F55" s="784" t="inlineStr">
        <is>
          <t>Extraction Mine</t>
        </is>
      </c>
      <c r="G55" s="784" t="inlineStr">
        <is>
          <t>BENI IDIR</t>
        </is>
      </c>
      <c r="H55" s="14" t="n"/>
      <c r="I55" s="14" t="n"/>
    </row>
    <row r="56" ht="43.5" customHeight="1" thickBot="1">
      <c r="A56" s="11" t="n"/>
      <c r="B56" s="894" t="n"/>
      <c r="C56" s="895" t="n"/>
      <c r="D56" s="895" t="n"/>
      <c r="E56" s="895" t="n"/>
      <c r="F56" s="895" t="n"/>
      <c r="G56" s="895" t="n"/>
      <c r="H56" s="15" t="n"/>
      <c r="I56" s="15" t="n"/>
    </row>
    <row r="57" ht="30" customHeight="1" thickBot="1">
      <c r="A57" s="378" t="n"/>
      <c r="B57" s="895" t="n"/>
      <c r="C57" s="104">
        <f>SUMIFS('Arrêt RPT1'!$G$18:$G$47,'Arrêt RPT1'!$D$18:$D$47,C54)</f>
        <v/>
      </c>
      <c r="D57" s="104">
        <f>SUMIFS('Arrêt RPT1'!$G$18:$G$47,'Arrêt RPT1'!$D$18:$D$47,D54)</f>
        <v/>
      </c>
      <c r="E57" s="104">
        <f>SUMIFS('Arrêt RPT1'!$G$18:$G$47,'Arrêt RPT1'!$D$18:$D$47,E54)</f>
        <v/>
      </c>
      <c r="F57" s="104">
        <f>SUMIFS('Arrêt RPT1'!$G$18:$G$47,'Arrêt RPT1'!$D$18:$D$47,F54)</f>
        <v/>
      </c>
      <c r="G57" s="104">
        <f>SUMIFS('Arrêt RPT1'!$G$18:$G$47,'Arrêt RPT1'!$D$18:$D$47,G54)</f>
        <v/>
      </c>
      <c r="H57" s="16" t="n"/>
      <c r="I57" s="16" t="n"/>
    </row>
    <row r="58" ht="26.1" customHeight="1" thickBot="1">
      <c r="A58" s="378" t="n"/>
      <c r="B58" s="154" t="inlineStr">
        <is>
          <t>Fréquence</t>
        </is>
      </c>
      <c r="C58" s="153">
        <f>COUNTIF('Arrêt RPT1'!$D$18:$D$47,C54)</f>
        <v/>
      </c>
      <c r="D58" s="153">
        <f>COUNTIF('Arrêt RPT1'!$D$18:$D$47,D54)</f>
        <v/>
      </c>
      <c r="E58" s="153">
        <f>COUNTIF('Arrêt RPT1'!$D$18:$D$47,E54)</f>
        <v/>
      </c>
      <c r="F58" s="153">
        <f>COUNTIF('Arrêt RPT1'!$D$18:$D$47,F54)</f>
        <v/>
      </c>
      <c r="G58" s="153">
        <f>COUNTIF('Arrêt RPT1'!$D$18:$D$47,G54)</f>
        <v/>
      </c>
      <c r="H58" s="16" t="n"/>
      <c r="I58" s="16" t="n"/>
    </row>
    <row r="59" ht="13.5" customHeight="1" thickBot="1">
      <c r="A59" s="378" t="n"/>
      <c r="C59" s="17" t="n"/>
      <c r="D59" s="17" t="n"/>
      <c r="E59" s="17" t="n"/>
      <c r="F59" s="17" t="n"/>
      <c r="G59" s="17" t="n"/>
      <c r="H59" s="17" t="n"/>
      <c r="I59" s="17" t="n"/>
    </row>
    <row r="60" ht="43.5" customHeight="1" thickBot="1">
      <c r="A60" s="378" t="n"/>
      <c r="B60" s="781" t="inlineStr">
        <is>
          <t>Synthèse des arrêts</t>
        </is>
      </c>
      <c r="C60" s="784" t="inlineStr">
        <is>
          <t>Total Arrêts</t>
        </is>
      </c>
      <c r="D60" s="784" t="inlineStr">
        <is>
          <t>Total Heures disponibles</t>
        </is>
      </c>
      <c r="E60" s="784" t="inlineStr">
        <is>
          <t>Total Heures de marche HM</t>
        </is>
      </c>
      <c r="F60" s="784" t="inlineStr">
        <is>
          <t>Taux de disponibilité</t>
        </is>
      </c>
      <c r="G60" s="784" t="inlineStr">
        <is>
          <t>Taux d’utilisation TU</t>
        </is>
      </c>
      <c r="H60" s="784" t="inlineStr">
        <is>
          <t>OEE</t>
        </is>
      </c>
    </row>
    <row r="61" ht="30" customHeight="1" thickBot="1">
      <c r="B61" s="895" t="n"/>
      <c r="C61" s="105">
        <f>+C51+D51+E51+F51+G51+H51+C57+D57+E57+F57+G57</f>
        <v/>
      </c>
      <c r="D61" s="105">
        <f>D63-D51-E51-F51-G51-H51+E63</f>
        <v/>
      </c>
      <c r="E61" s="105">
        <f>D63+E63-C61</f>
        <v/>
      </c>
      <c r="F61" s="106">
        <f>+D61/D63</f>
        <v/>
      </c>
      <c r="G61" s="106">
        <f>E61/D61</f>
        <v/>
      </c>
      <c r="H61" s="107">
        <f>E61/D63</f>
        <v/>
      </c>
    </row>
    <row r="63" hidden="1" ht="19.5" customHeight="1">
      <c r="D63" s="78" t="n">
        <v>0.9993055555555556</v>
      </c>
      <c r="E63" s="78" t="n">
        <v>0.0006944444444444445</v>
      </c>
    </row>
    <row r="65">
      <c r="D65" s="100" t="n"/>
    </row>
  </sheetData>
  <mergeCells count="48">
    <mergeCell ref="H35:I35"/>
    <mergeCell ref="H20:I20"/>
    <mergeCell ref="B49:B51"/>
    <mergeCell ref="H38:I38"/>
    <mergeCell ref="E55:E56"/>
    <mergeCell ref="H29:I29"/>
    <mergeCell ref="C2:D3"/>
    <mergeCell ref="H43:I43"/>
    <mergeCell ref="H41:I41"/>
    <mergeCell ref="F6:G6"/>
    <mergeCell ref="F55:F56"/>
    <mergeCell ref="H31:I31"/>
    <mergeCell ref="H44:I44"/>
    <mergeCell ref="H40:I40"/>
    <mergeCell ref="B9:C10"/>
    <mergeCell ref="H39:I39"/>
    <mergeCell ref="H34:I34"/>
    <mergeCell ref="H25:I25"/>
    <mergeCell ref="H21:I21"/>
    <mergeCell ref="B11:C11"/>
    <mergeCell ref="H46:I46"/>
    <mergeCell ref="E10:I10"/>
    <mergeCell ref="B60:B61"/>
    <mergeCell ref="C55:C56"/>
    <mergeCell ref="H36:I36"/>
    <mergeCell ref="G55:G56"/>
    <mergeCell ref="E9:I9"/>
    <mergeCell ref="H17:I17"/>
    <mergeCell ref="H32:I32"/>
    <mergeCell ref="H45:I45"/>
    <mergeCell ref="H19:I19"/>
    <mergeCell ref="H37:I37"/>
    <mergeCell ref="D55:D56"/>
    <mergeCell ref="H28:I28"/>
    <mergeCell ref="H47:I47"/>
    <mergeCell ref="H22:I22"/>
    <mergeCell ref="F11:H11"/>
    <mergeCell ref="H27:I27"/>
    <mergeCell ref="C4:D5"/>
    <mergeCell ref="H24:I24"/>
    <mergeCell ref="H42:I42"/>
    <mergeCell ref="H18:I18"/>
    <mergeCell ref="H33:I33"/>
    <mergeCell ref="H23:I23"/>
    <mergeCell ref="B14:I15"/>
    <mergeCell ref="B54:B57"/>
    <mergeCell ref="H30:I30"/>
    <mergeCell ref="H26:I26"/>
  </mergeCells>
  <dataValidations count="2">
    <dataValidation sqref="C18:C47" showDropDown="0" showInputMessage="1" showErrorMessage="1" allowBlank="0" type="list">
      <formula1>INDIRECT(B18)</formula1>
    </dataValidation>
    <dataValidation sqref="H18:I47" showDropDown="0" showInputMessage="1" showErrorMessage="1" allowBlank="0" type="list">
      <formula1>INDIRECT(D18)</formula1>
    </dataValidation>
  </dataValidations>
  <printOptions horizontalCentered="1" verticalCentered="1"/>
  <pageMargins left="0" right="0.1968503937007874" top="0" bottom="0" header="0" footer="0"/>
  <pageSetup orientation="portrait" paperSize="9" scale="37" horizontalDpi="180" verticalDpi="180"/>
  <rowBreaks count="1" manualBreakCount="1">
    <brk id="61" min="0" max="8" man="1"/>
  </rowBreaks>
</worksheet>
</file>

<file path=xl/worksheets/sheet8.xml><?xml version="1.0" encoding="utf-8"?>
<worksheet xmlns="http://schemas.openxmlformats.org/spreadsheetml/2006/main">
  <sheetPr codeName="Feuil8">
    <outlinePr summaryBelow="1" summaryRight="1"/>
    <pageSetUpPr fitToPage="1"/>
  </sheetPr>
  <dimension ref="A1:J63"/>
  <sheetViews>
    <sheetView showGridLines="0" view="pageBreakPreview" topLeftCell="A20" zoomScale="85" zoomScaleNormal="55" zoomScaleSheetLayoutView="85" workbookViewId="0">
      <selection activeCell="E35" sqref="E35"/>
    </sheetView>
  </sheetViews>
  <sheetFormatPr baseColWidth="8" defaultColWidth="11.25" defaultRowHeight="12.75"/>
  <cols>
    <col width="5.75" customWidth="1" style="378" min="1" max="1"/>
    <col width="22.5" customWidth="1" style="378" min="2" max="2"/>
    <col width="28.25" customWidth="1" style="378" min="3" max="3"/>
    <col width="25.125" customWidth="1" style="378" min="4" max="4"/>
    <col width="25.25" customWidth="1" style="378" min="5" max="5"/>
    <col width="27.125" customWidth="1" style="378" min="6" max="6"/>
    <col width="25.125" customWidth="1" style="378" min="7" max="7"/>
    <col width="54.5" customWidth="1" style="378" min="8" max="8"/>
    <col width="26.5" customWidth="1" style="378" min="9" max="9"/>
    <col width="11.25" customWidth="1" style="378" min="10" max="16384"/>
  </cols>
  <sheetData>
    <row r="1" ht="21.6" customHeight="1" thickBot="1">
      <c r="A1" s="5" t="n"/>
    </row>
    <row r="2" ht="34.5" customHeight="1" thickBot="1">
      <c r="B2" s="19" t="n"/>
      <c r="C2" s="571">
        <f>TODAY()</f>
        <v/>
      </c>
      <c r="E2" s="26" t="n"/>
      <c r="F2" s="26" t="n"/>
      <c r="G2" s="19" t="n"/>
      <c r="H2" s="19" t="n"/>
      <c r="I2" s="19" t="n"/>
      <c r="J2" s="28" t="n"/>
    </row>
    <row r="3" ht="34.5" customHeight="1" thickBot="1">
      <c r="B3" s="19" t="n"/>
      <c r="E3" s="26" t="n"/>
      <c r="F3" s="26" t="n"/>
      <c r="G3" s="21" t="n"/>
      <c r="H3" s="19" t="n"/>
      <c r="I3" s="19" t="n"/>
      <c r="J3" s="28" t="n"/>
    </row>
    <row r="4" ht="34.5" customHeight="1" thickBot="1">
      <c r="B4" s="19" t="n"/>
      <c r="C4" s="789">
        <f>NOW()</f>
        <v/>
      </c>
      <c r="E4" s="26" t="n"/>
      <c r="F4" s="26" t="n"/>
      <c r="G4" s="21" t="n"/>
      <c r="H4" s="19" t="n"/>
      <c r="I4" s="19" t="n"/>
      <c r="J4" s="28" t="n"/>
    </row>
    <row r="5" ht="34.5" customHeight="1" thickBot="1">
      <c r="B5" s="19" t="n"/>
      <c r="E5" s="26" t="n"/>
      <c r="F5" s="26" t="n"/>
      <c r="G5" s="21" t="n"/>
      <c r="H5" s="23" t="n"/>
      <c r="I5" s="23" t="n"/>
      <c r="J5" s="28" t="n"/>
    </row>
    <row r="6" ht="34.5" customHeight="1">
      <c r="B6" s="19" t="n"/>
      <c r="C6" s="24" t="n"/>
      <c r="D6" s="25" t="n"/>
      <c r="E6" s="26" t="n"/>
      <c r="F6" s="573" t="n"/>
      <c r="H6" s="574" t="n"/>
      <c r="I6" s="42" t="n"/>
      <c r="J6" s="29" t="n"/>
    </row>
    <row r="7" ht="21.6" customHeight="1">
      <c r="A7" s="5" t="n"/>
    </row>
    <row r="8" ht="21.6" customHeight="1" thickBot="1">
      <c r="A8" s="5" t="n"/>
    </row>
    <row r="9" ht="36" customHeight="1" thickBot="1">
      <c r="A9" s="5" t="n"/>
      <c r="B9" s="790" t="n"/>
      <c r="C9" s="791" t="n"/>
      <c r="D9" s="38" t="inlineStr">
        <is>
          <t>Formulaire</t>
        </is>
      </c>
      <c r="E9" s="593" t="inlineStr">
        <is>
          <t>PRL-LA-IT-06-F-01</t>
        </is>
      </c>
      <c r="F9" s="792" t="n"/>
      <c r="G9" s="792" t="n"/>
      <c r="H9" s="792" t="n"/>
      <c r="I9" s="793" t="n"/>
    </row>
    <row r="10" ht="38.25" customHeight="1" thickBot="1">
      <c r="A10" s="5" t="n"/>
      <c r="B10" s="794" t="n"/>
      <c r="C10" s="795" t="n"/>
      <c r="D10" s="38" t="inlineStr">
        <is>
          <t>Entité</t>
        </is>
      </c>
      <c r="E10" s="594" t="inlineStr">
        <is>
          <t>Entités de Traitement de Site de Khouribga</t>
        </is>
      </c>
      <c r="F10" s="792" t="n"/>
      <c r="G10" s="792" t="n"/>
      <c r="H10" s="792" t="n"/>
      <c r="I10" s="793" t="n"/>
    </row>
    <row r="11" ht="45" customHeight="1" thickBot="1">
      <c r="A11" s="5" t="n"/>
      <c r="B11" s="893" t="inlineStr">
        <is>
          <t>DIRECTION EXECUTIVE
OPERATIONS INDUSTRIELLES
DIRECTION DE SITE  DE KHOURIBGA</t>
        </is>
      </c>
      <c r="C11" s="797" t="n"/>
      <c r="D11" s="38" t="inlineStr">
        <is>
          <t>Version</t>
        </is>
      </c>
      <c r="E11" s="593" t="n">
        <v>5</v>
      </c>
      <c r="F11" s="594" t="inlineStr">
        <is>
          <t xml:space="preserve">Applicable le </t>
        </is>
      </c>
      <c r="G11" s="792" t="n"/>
      <c r="H11" s="793" t="n"/>
      <c r="I11" s="37" t="n">
        <v>45000</v>
      </c>
    </row>
    <row r="12" ht="26.25" customHeight="1">
      <c r="A12" s="5" t="n"/>
      <c r="B12" s="32" t="inlineStr">
        <is>
          <t>OIK/BD/E- 428</t>
        </is>
      </c>
      <c r="C12" s="30" t="n"/>
      <c r="D12" s="31" t="n"/>
    </row>
    <row r="13" ht="5.25" customHeight="1"/>
    <row r="14" ht="24" customHeight="1">
      <c r="B14" s="772" t="inlineStr">
        <is>
          <t>Suivi des arrêts</t>
        </is>
      </c>
    </row>
    <row r="15" ht="21" customHeight="1">
      <c r="A15" s="6" t="n"/>
    </row>
    <row r="16" ht="33.75" customHeight="1" thickBot="1">
      <c r="A16" s="7" t="n"/>
      <c r="B16" s="167" t="inlineStr">
        <is>
          <t>Installation : RP T2</t>
        </is>
      </c>
      <c r="E16" s="36" t="n"/>
      <c r="H16" s="35" t="inlineStr">
        <is>
          <t>Journée du :</t>
        </is>
      </c>
      <c r="I16" s="584">
        <f>'Arrêt RPT1'!I16</f>
        <v/>
      </c>
    </row>
    <row r="17" ht="64.5" customHeight="1" thickBot="1">
      <c r="A17" s="8" t="n"/>
      <c r="B17" s="618" t="inlineStr">
        <is>
          <t>Axe</t>
        </is>
      </c>
      <c r="C17" s="618" t="inlineStr">
        <is>
          <t>Organe</t>
        </is>
      </c>
      <c r="D17" s="618" t="inlineStr">
        <is>
          <t>Sce</t>
        </is>
      </c>
      <c r="E17" s="618" t="inlineStr">
        <is>
          <t>Début</t>
        </is>
      </c>
      <c r="F17" s="618" t="inlineStr">
        <is>
          <t>Fin</t>
        </is>
      </c>
      <c r="G17" s="618" t="inlineStr">
        <is>
          <t>Durée</t>
        </is>
      </c>
      <c r="H17" s="618" t="inlineStr">
        <is>
          <t>Nature des arrêts</t>
        </is>
      </c>
      <c r="I17" s="793" t="n"/>
    </row>
    <row r="18" ht="36.75" customHeight="1">
      <c r="A18" s="378" t="n"/>
      <c r="B18" s="150" t="n"/>
      <c r="C18" s="145" t="n"/>
      <c r="D18" s="145" t="inlineStr">
        <is>
          <t>X_LBA</t>
        </is>
      </c>
      <c r="E18" s="146" t="n">
        <v>0</v>
      </c>
      <c r="F18" s="146" t="n">
        <v>0.01666666666666667</v>
      </c>
      <c r="G18" s="147">
        <f>IF(AND(F18-E18&gt;0),F18-E18,"")</f>
        <v/>
      </c>
      <c r="H18" s="771" t="inlineStr">
        <is>
          <t>arrêt liaison BA</t>
        </is>
      </c>
      <c r="I18" s="805" t="n"/>
    </row>
    <row r="19" ht="36.75" customHeight="1">
      <c r="A19" s="378" t="n"/>
      <c r="B19" s="150" t="n"/>
      <c r="C19" s="145" t="n"/>
      <c r="D19" s="145" t="inlineStr">
        <is>
          <t>E_MAN</t>
        </is>
      </c>
      <c r="E19" s="146" t="n">
        <v>0.03333333333333333</v>
      </c>
      <c r="F19" s="146" t="n">
        <v>0.05</v>
      </c>
      <c r="G19" s="147">
        <f>IF(AND(F19-E19&gt;0),F19-E19,"")</f>
        <v/>
      </c>
      <c r="H19" s="771" t="inlineStr">
        <is>
          <t>Aiguillage volet</t>
        </is>
      </c>
      <c r="I19" s="805" t="n"/>
    </row>
    <row r="20" ht="36.75" customHeight="1">
      <c r="A20" s="378" t="n"/>
      <c r="B20" s="150" t="inlineStr">
        <is>
          <t>RPSC1_LIAISON</t>
        </is>
      </c>
      <c r="C20" s="145" t="n"/>
      <c r="D20" s="145" t="inlineStr">
        <is>
          <t>E_MAN</t>
        </is>
      </c>
      <c r="E20" s="146" t="n">
        <v>0.05</v>
      </c>
      <c r="F20" s="146" t="n">
        <v>0.07916666666666666</v>
      </c>
      <c r="G20" s="147">
        <f>IF(AND(F20-E20&gt;0),F20-E20,"")</f>
        <v/>
      </c>
      <c r="H20" s="771" t="inlineStr">
        <is>
          <t>Vidange axe</t>
        </is>
      </c>
      <c r="I20" s="805" t="n"/>
    </row>
    <row r="21" ht="36.75" customHeight="1">
      <c r="A21" s="378" t="n"/>
      <c r="B21" s="150" t="inlineStr">
        <is>
          <t>RPSC2_LIAISON</t>
        </is>
      </c>
      <c r="C21" s="145" t="inlineStr">
        <is>
          <t>LS4</t>
        </is>
      </c>
      <c r="D21" s="145" t="inlineStr">
        <is>
          <t>M_INS</t>
        </is>
      </c>
      <c r="E21" s="146" t="n">
        <v>0.07916666666666666</v>
      </c>
      <c r="F21" s="146" t="n">
        <v>0.09166666666666666</v>
      </c>
      <c r="G21" s="147">
        <f>IF(AND(F21-E21&gt;0),F21-E21,"")</f>
        <v/>
      </c>
      <c r="H21" s="771" t="inlineStr">
        <is>
          <t>Bande tendu</t>
        </is>
      </c>
      <c r="I21" s="805" t="n"/>
    </row>
    <row r="22" ht="36.75" customHeight="1">
      <c r="A22" s="378" t="n"/>
      <c r="B22" s="150" t="n"/>
      <c r="C22" s="145" t="n"/>
      <c r="D22" s="145" t="inlineStr">
        <is>
          <t>E_MAN</t>
        </is>
      </c>
      <c r="E22" s="146" t="n">
        <v>0.09166666666666666</v>
      </c>
      <c r="F22" s="146" t="n">
        <v>0.1083333333333333</v>
      </c>
      <c r="G22" s="147">
        <f>IF(AND(F22-E22&gt;0),F22-E22,"")</f>
        <v/>
      </c>
      <c r="H22" s="771" t="inlineStr">
        <is>
          <t>Vidange axe</t>
        </is>
      </c>
      <c r="I22" s="805" t="n"/>
    </row>
    <row r="23" ht="36.75" customHeight="1">
      <c r="A23" s="378" t="n"/>
      <c r="B23" s="150" t="inlineStr">
        <is>
          <t>RPSC2_LIAISON</t>
        </is>
      </c>
      <c r="C23" s="145" t="inlineStr">
        <is>
          <t>LS4</t>
        </is>
      </c>
      <c r="D23" s="145" t="inlineStr">
        <is>
          <t>M_INS</t>
        </is>
      </c>
      <c r="E23" s="146" t="n">
        <v>0.1083333333333333</v>
      </c>
      <c r="F23" s="146" t="n">
        <v>0.1166666666666667</v>
      </c>
      <c r="G23" s="147">
        <f>IF(AND(F23-E23&gt;0),F23-E23,"")</f>
        <v/>
      </c>
      <c r="H23" s="771" t="inlineStr">
        <is>
          <t>Bande détendu</t>
        </is>
      </c>
      <c r="I23" s="805" t="n"/>
    </row>
    <row r="24" ht="36.75" customHeight="1">
      <c r="A24" s="378" t="n"/>
      <c r="B24" s="150" t="inlineStr">
        <is>
          <t>RPSC2_LIAISON</t>
        </is>
      </c>
      <c r="C24" s="252" t="inlineStr">
        <is>
          <t>LT4</t>
        </is>
      </c>
      <c r="D24" s="145" t="inlineStr">
        <is>
          <t>M_ELEC</t>
        </is>
      </c>
      <c r="E24" s="146" t="n">
        <v>0.1166666666666667</v>
      </c>
      <c r="F24" s="146" t="n">
        <v>0.125</v>
      </c>
      <c r="G24" s="147">
        <f>IF(AND(F24-E24&gt;0),F24-E24,"")</f>
        <v/>
      </c>
      <c r="H24" s="771" t="inlineStr">
        <is>
          <t xml:space="preserve">Défaut disj puissance </t>
        </is>
      </c>
      <c r="I24" s="805" t="n"/>
    </row>
    <row r="25" ht="36.75" customHeight="1">
      <c r="A25" s="378" t="n"/>
      <c r="B25" s="150" t="inlineStr">
        <is>
          <t>RPSC2_LIAISON</t>
        </is>
      </c>
      <c r="C25" s="252" t="inlineStr">
        <is>
          <t>LS2</t>
        </is>
      </c>
      <c r="D25" s="145" t="inlineStr">
        <is>
          <t>M_ELEC</t>
        </is>
      </c>
      <c r="E25" s="146" t="n">
        <v>0.1416666666666667</v>
      </c>
      <c r="F25" s="146" t="n">
        <v>0.15</v>
      </c>
      <c r="G25" s="147">
        <f>IF(AND(F25-E25&gt;0),F25-E25,"")</f>
        <v/>
      </c>
      <c r="H25" s="771" t="inlineStr">
        <is>
          <t>Défaut électrique sur déport bande</t>
        </is>
      </c>
      <c r="I25" s="805" t="n"/>
    </row>
    <row r="26" ht="36.75" customHeight="1">
      <c r="A26" s="378" t="n"/>
      <c r="B26" s="150" t="inlineStr">
        <is>
          <t>RPSC2_LIAISON</t>
        </is>
      </c>
      <c r="C26" s="145" t="inlineStr">
        <is>
          <t>LS4</t>
        </is>
      </c>
      <c r="D26" s="145" t="inlineStr">
        <is>
          <t>M_REG</t>
        </is>
      </c>
      <c r="E26" s="146" t="n">
        <v>0.1583333333333333</v>
      </c>
      <c r="F26" s="146" t="n">
        <v>0.1916666666666667</v>
      </c>
      <c r="G26" s="512">
        <f>IF(AND(F26-E26&gt;0),F26-E26,"")</f>
        <v/>
      </c>
      <c r="H26" s="771" t="inlineStr">
        <is>
          <t xml:space="preserve">Défaut tension bande </t>
        </is>
      </c>
      <c r="I26" s="805" t="n"/>
    </row>
    <row r="27" ht="36.75" customHeight="1">
      <c r="A27" s="378" t="n"/>
      <c r="B27" s="150" t="inlineStr">
        <is>
          <t>RPSC2_LIAISON</t>
        </is>
      </c>
      <c r="C27" s="252" t="inlineStr">
        <is>
          <t>LT2</t>
        </is>
      </c>
      <c r="D27" s="145" t="inlineStr">
        <is>
          <t>M_INS</t>
        </is>
      </c>
      <c r="E27" s="146" t="n">
        <v>0.2</v>
      </c>
      <c r="F27" s="146" t="n">
        <v>0.2208333333333333</v>
      </c>
      <c r="G27" s="147">
        <f>IF(AND(F27-E27&gt;0),F27-E27,"")</f>
        <v/>
      </c>
      <c r="H27" s="771" t="inlineStr">
        <is>
          <t>Patinage</t>
        </is>
      </c>
      <c r="I27" s="805" t="n"/>
    </row>
    <row r="28" ht="36.75" customHeight="1">
      <c r="A28" s="378" t="n"/>
      <c r="B28" s="150" t="inlineStr">
        <is>
          <t>RPSC2_LIAISON</t>
        </is>
      </c>
      <c r="C28" s="145" t="inlineStr">
        <is>
          <t>LS4</t>
        </is>
      </c>
      <c r="D28" s="145" t="inlineStr">
        <is>
          <t>M_REG</t>
        </is>
      </c>
      <c r="E28" s="146" t="n">
        <v>0.2208333333333333</v>
      </c>
      <c r="F28" s="146" t="n">
        <v>0.2958333333333333</v>
      </c>
      <c r="G28" s="147">
        <f>IF(AND(F28-E28&gt;0),F28-E28,"")</f>
        <v/>
      </c>
      <c r="H28" s="771" t="inlineStr">
        <is>
          <t xml:space="preserve">Défaut tension bande </t>
        </is>
      </c>
      <c r="I28" s="805" t="n"/>
    </row>
    <row r="29" ht="36.75" customHeight="1">
      <c r="A29" s="378" t="n"/>
      <c r="B29" s="150" t="inlineStr">
        <is>
          <t>RPSC2_LIAISON</t>
        </is>
      </c>
      <c r="C29" s="145" t="inlineStr">
        <is>
          <t>RPSC2</t>
        </is>
      </c>
      <c r="D29" s="145" t="inlineStr">
        <is>
          <t>E_MAN</t>
        </is>
      </c>
      <c r="E29" s="146" t="n">
        <v>0.4375</v>
      </c>
      <c r="F29" s="146" t="n">
        <v>0.4583333333333333</v>
      </c>
      <c r="G29" s="147">
        <f>IF(AND(F29-E29&gt;0),F29-E29,"")</f>
        <v/>
      </c>
      <c r="H29" s="771" t="inlineStr">
        <is>
          <t>Orientation + translation</t>
        </is>
      </c>
      <c r="I29" s="805" t="n"/>
    </row>
    <row r="30" ht="36.75" customHeight="1">
      <c r="A30" s="378" t="n"/>
      <c r="B30" s="150" t="inlineStr">
        <is>
          <t>RPSC2_LIAISON</t>
        </is>
      </c>
      <c r="C30" s="145" t="inlineStr">
        <is>
          <t>LS2</t>
        </is>
      </c>
      <c r="D30" s="145" t="inlineStr">
        <is>
          <t>M_INS</t>
        </is>
      </c>
      <c r="E30" s="146" t="n">
        <v>0.5375</v>
      </c>
      <c r="F30" s="146" t="n">
        <v>0.5416666666666666</v>
      </c>
      <c r="G30" s="147">
        <f>IF(AND(F30-E30&gt;0),F30-E30,"")</f>
        <v/>
      </c>
      <c r="H30" s="771" t="inlineStr">
        <is>
          <t>Déport bande</t>
        </is>
      </c>
      <c r="I30" s="805" t="n"/>
    </row>
    <row r="31" ht="36.75" customHeight="1">
      <c r="A31" s="378" t="n"/>
      <c r="B31" s="150" t="inlineStr">
        <is>
          <t>RPSC2_LIAISON</t>
        </is>
      </c>
      <c r="C31" s="145" t="inlineStr">
        <is>
          <t>LT3</t>
        </is>
      </c>
      <c r="D31" s="145" t="inlineStr">
        <is>
          <t>E_MAN</t>
        </is>
      </c>
      <c r="E31" s="146" t="n">
        <v>0.6166666666666667</v>
      </c>
      <c r="F31" s="146" t="n">
        <v>0.625</v>
      </c>
      <c r="G31" s="147">
        <f>IF(AND(F31-E31&gt;0),F31-E31,"")</f>
        <v/>
      </c>
      <c r="H31" s="771" t="inlineStr">
        <is>
          <t>Bourrage</t>
        </is>
      </c>
      <c r="I31" s="805" t="n"/>
    </row>
    <row r="32" ht="36.75" customHeight="1">
      <c r="A32" s="378" t="n"/>
      <c r="B32" s="150" t="inlineStr">
        <is>
          <t>RPSC2_LIAISON</t>
        </is>
      </c>
      <c r="C32" s="252" t="inlineStr">
        <is>
          <t>LT4</t>
        </is>
      </c>
      <c r="D32" s="145" t="inlineStr">
        <is>
          <t>E_MAN</t>
        </is>
      </c>
      <c r="E32" s="146" t="n">
        <v>0.7708333333333334</v>
      </c>
      <c r="F32" s="146" t="n">
        <v>0.7833333333333333</v>
      </c>
      <c r="G32" s="147">
        <f>IF(AND(F32-E32&gt;0),F32-E32,"")</f>
        <v/>
      </c>
      <c r="H32" s="771" t="inlineStr">
        <is>
          <t>Décolmatage goulotte</t>
        </is>
      </c>
      <c r="I32" s="805" t="n"/>
    </row>
    <row r="33" ht="36.75" customHeight="1">
      <c r="A33" s="378" t="n"/>
      <c r="B33" s="150" t="inlineStr">
        <is>
          <t>RPSC2_LIAISON</t>
        </is>
      </c>
      <c r="C33" s="145" t="inlineStr">
        <is>
          <t>RPSC2</t>
        </is>
      </c>
      <c r="D33" s="145" t="inlineStr">
        <is>
          <t>E_MAN</t>
        </is>
      </c>
      <c r="E33" s="146" t="n">
        <v>0.9291666666666667</v>
      </c>
      <c r="F33" s="146" t="n">
        <v>0.9375</v>
      </c>
      <c r="G33" s="147">
        <f>IF(AND(F33-E33&gt;0),F33-E33,"")</f>
        <v/>
      </c>
      <c r="H33" s="771" t="inlineStr">
        <is>
          <t>Translation</t>
        </is>
      </c>
      <c r="I33" s="805" t="n"/>
    </row>
    <row r="34" ht="36.75" customHeight="1">
      <c r="A34" s="378" t="n"/>
      <c r="B34" s="150" t="inlineStr">
        <is>
          <t>RPSC2_LIAISON</t>
        </is>
      </c>
      <c r="C34" s="533" t="inlineStr">
        <is>
          <t>TREMIE CARREAU SC2</t>
        </is>
      </c>
      <c r="D34" s="145" t="inlineStr">
        <is>
          <t>E_MAN</t>
        </is>
      </c>
      <c r="E34" s="146" t="n">
        <v>0.9375</v>
      </c>
      <c r="F34" s="146" t="n">
        <v>0.975</v>
      </c>
      <c r="G34" s="147">
        <f>IF(AND(F34-E34&gt;0),F34-E34,"")</f>
        <v/>
      </c>
      <c r="H34" s="771" t="inlineStr">
        <is>
          <t>Décolmatage Gtte</t>
        </is>
      </c>
      <c r="I34" s="805" t="n"/>
    </row>
    <row r="35" ht="36.75" customHeight="1">
      <c r="A35" s="378" t="n"/>
      <c r="B35" s="150" t="n"/>
      <c r="C35" s="145" t="n"/>
      <c r="D35" s="145" t="n"/>
      <c r="E35" s="146" t="n"/>
      <c r="F35" s="146" t="n"/>
      <c r="G35" s="147">
        <f>IF(AND(F35-E35&gt;0),F35-E35,"")</f>
        <v/>
      </c>
      <c r="H35" s="771" t="n"/>
      <c r="I35" s="805" t="n"/>
    </row>
    <row r="36" ht="36.75" customHeight="1">
      <c r="A36" s="378" t="n"/>
      <c r="B36" s="150" t="n"/>
      <c r="C36" s="145" t="n"/>
      <c r="D36" s="145" t="n"/>
      <c r="E36" s="146" t="n"/>
      <c r="F36" s="146" t="n"/>
      <c r="G36" s="147">
        <f>IF(AND(F36-E36&gt;0),F36-E36,"")</f>
        <v/>
      </c>
      <c r="H36" s="771" t="n"/>
      <c r="I36" s="805" t="n"/>
    </row>
    <row r="37" ht="36.75" customHeight="1">
      <c r="A37" s="378" t="n"/>
      <c r="B37" s="150" t="n"/>
      <c r="C37" s="145" t="n"/>
      <c r="D37" s="145" t="n"/>
      <c r="E37" s="146" t="n"/>
      <c r="F37" s="146" t="n"/>
      <c r="G37" s="147">
        <f>IF(AND(F37-E37&gt;0),F37-E37,"")</f>
        <v/>
      </c>
      <c r="H37" s="771" t="n"/>
      <c r="I37" s="805" t="n"/>
    </row>
    <row r="38" ht="36.75" customHeight="1">
      <c r="A38" s="378" t="n"/>
      <c r="B38" s="150" t="n"/>
      <c r="C38" s="145" t="n"/>
      <c r="D38" s="145" t="n"/>
      <c r="E38" s="146" t="n"/>
      <c r="F38" s="146" t="n"/>
      <c r="G38" s="147">
        <f>IF(AND(F38-E38&gt;0),F38-E38,"")</f>
        <v/>
      </c>
      <c r="H38" s="771" t="n"/>
      <c r="I38" s="805" t="n"/>
    </row>
    <row r="39" ht="36.75" customHeight="1">
      <c r="A39" s="378" t="n"/>
      <c r="B39" s="150" t="n"/>
      <c r="C39" s="145" t="n"/>
      <c r="D39" s="145" t="n"/>
      <c r="E39" s="146" t="n"/>
      <c r="F39" s="146" t="n"/>
      <c r="G39" s="147">
        <f>IF(AND(F39-E39&gt;0),F39-E39,"")</f>
        <v/>
      </c>
      <c r="H39" s="771" t="n"/>
      <c r="I39" s="805" t="n"/>
    </row>
    <row r="40" ht="36.75" customHeight="1">
      <c r="A40" s="378" t="n"/>
      <c r="B40" s="150" t="n"/>
      <c r="C40" s="145" t="n"/>
      <c r="D40" s="145" t="n"/>
      <c r="E40" s="146" t="n"/>
      <c r="F40" s="146" t="n"/>
      <c r="G40" s="147">
        <f>IF(AND(F40-E40&gt;0),F40-E40,"")</f>
        <v/>
      </c>
      <c r="H40" s="771" t="n"/>
      <c r="I40" s="805" t="n"/>
    </row>
    <row r="41" ht="36.75" customHeight="1">
      <c r="A41" s="378" t="n"/>
      <c r="B41" s="150" t="n"/>
      <c r="C41" s="145" t="n"/>
      <c r="D41" s="145" t="n"/>
      <c r="E41" s="146" t="n"/>
      <c r="F41" s="146" t="n"/>
      <c r="G41" s="147">
        <f>IF(AND(F41-E41&gt;0),F41-E41,"")</f>
        <v/>
      </c>
      <c r="H41" s="771" t="n"/>
      <c r="I41" s="805" t="n"/>
    </row>
    <row r="42" ht="36.75" customHeight="1">
      <c r="A42" s="378" t="n"/>
      <c r="B42" s="150" t="n"/>
      <c r="C42" s="145" t="n"/>
      <c r="D42" s="145" t="n"/>
      <c r="E42" s="146" t="n"/>
      <c r="F42" s="146" t="n"/>
      <c r="G42" s="147">
        <f>IF(AND(F42-E42&gt;0),F42-E42,"")</f>
        <v/>
      </c>
      <c r="H42" s="771" t="n"/>
      <c r="I42" s="805" t="n"/>
    </row>
    <row r="43" ht="36.75" customHeight="1">
      <c r="A43" s="378" t="n"/>
      <c r="B43" s="150" t="n"/>
      <c r="C43" s="145" t="n"/>
      <c r="D43" s="145" t="n"/>
      <c r="E43" s="146" t="n"/>
      <c r="F43" s="146" t="n"/>
      <c r="G43" s="147">
        <f>IF(AND(F43-E43&gt;0),F43-E43,"")</f>
        <v/>
      </c>
      <c r="H43" s="771" t="n"/>
      <c r="I43" s="805" t="n"/>
    </row>
    <row r="44" ht="36.75" customHeight="1">
      <c r="A44" s="378" t="n"/>
      <c r="B44" s="150" t="n"/>
      <c r="C44" s="145" t="n"/>
      <c r="D44" s="145" t="n"/>
      <c r="E44" s="146" t="n"/>
      <c r="F44" s="146" t="n"/>
      <c r="G44" s="147">
        <f>IF(AND(F44-E44&gt;0),F44-E44,"")</f>
        <v/>
      </c>
      <c r="H44" s="771" t="n"/>
      <c r="I44" s="805" t="n"/>
    </row>
    <row r="45" ht="36.75" customHeight="1">
      <c r="A45" s="378" t="n"/>
      <c r="B45" s="150" t="n"/>
      <c r="C45" s="145" t="n"/>
      <c r="D45" s="145" t="n"/>
      <c r="E45" s="146" t="n"/>
      <c r="F45" s="146" t="n"/>
      <c r="G45" s="147">
        <f>IF(AND(F45-E45&gt;0),F45-E45,"")</f>
        <v/>
      </c>
      <c r="H45" s="771" t="n"/>
      <c r="I45" s="805" t="n"/>
    </row>
    <row r="46" ht="36.75" customHeight="1">
      <c r="A46" s="378" t="n"/>
      <c r="B46" s="150" t="n"/>
      <c r="C46" s="145" t="n"/>
      <c r="D46" s="145" t="n"/>
      <c r="E46" s="146" t="n"/>
      <c r="F46" s="146" t="n"/>
      <c r="G46" s="147">
        <f>IF(AND(F46-E46&gt;0),F46-E46,"")</f>
        <v/>
      </c>
      <c r="H46" s="771" t="n"/>
      <c r="I46" s="805" t="n"/>
    </row>
    <row r="47" ht="36.75" customHeight="1" thickBot="1">
      <c r="A47" s="378" t="n"/>
      <c r="B47" s="151" t="n"/>
      <c r="C47" s="119" t="n"/>
      <c r="D47" s="119" t="n"/>
      <c r="E47" s="120" t="n"/>
      <c r="F47" s="120" t="n"/>
      <c r="G47" s="356">
        <f>IF(AND(F47-E47&gt;0),F47-E47,"")</f>
        <v/>
      </c>
      <c r="H47" s="787" t="n"/>
      <c r="I47" s="896" t="n"/>
    </row>
    <row r="48" ht="17.25" customHeight="1" thickBot="1"/>
    <row r="49" ht="30" customHeight="1" thickBot="1">
      <c r="A49" s="605" t="n"/>
      <c r="B49" s="783" t="inlineStr">
        <is>
          <t>Arrêts internes</t>
        </is>
      </c>
      <c r="C49" s="784" t="inlineStr">
        <is>
          <t>E_MAN</t>
        </is>
      </c>
      <c r="D49" s="784" t="inlineStr">
        <is>
          <t>M_MEC</t>
        </is>
      </c>
      <c r="E49" s="784" t="inlineStr">
        <is>
          <t>M_ELEC</t>
        </is>
      </c>
      <c r="F49" s="784" t="inlineStr">
        <is>
          <t>M_INS</t>
        </is>
      </c>
      <c r="G49" s="784" t="inlineStr">
        <is>
          <t>M_REG</t>
        </is>
      </c>
      <c r="H49" s="784" t="inlineStr">
        <is>
          <t>M_BDM</t>
        </is>
      </c>
    </row>
    <row r="50" ht="94.5" customHeight="1" thickBot="1">
      <c r="A50" s="11" t="n"/>
      <c r="B50" s="894" t="n"/>
      <c r="C50" s="784" t="inlineStr">
        <is>
          <t>Exploitation Manutention</t>
        </is>
      </c>
      <c r="D50" s="784" t="inlineStr">
        <is>
          <t xml:space="preserve">Maintenance Mécanique </t>
        </is>
      </c>
      <c r="E50" s="784" t="inlineStr">
        <is>
          <t xml:space="preserve">Maintenance Electrique </t>
        </is>
      </c>
      <c r="F50" s="784" t="inlineStr">
        <is>
          <t xml:space="preserve">Maintenance Installation </t>
        </is>
      </c>
      <c r="G50" s="784" t="inlineStr">
        <is>
          <t xml:space="preserve">Maintenance Régulation </t>
        </is>
      </c>
      <c r="H50" s="784" t="inlineStr">
        <is>
          <t>Maintenance Planifié</t>
        </is>
      </c>
    </row>
    <row r="51" ht="26.1" customHeight="1" thickBot="1">
      <c r="A51" s="11" t="n"/>
      <c r="B51" s="895" t="n"/>
      <c r="C51" s="104">
        <f>SUMIFS('Arrêt RPT2'!$G$18:$G$47,'Arrêt RPT2'!$D$18:$D$47,C49)</f>
        <v/>
      </c>
      <c r="D51" s="104">
        <f>SUMIFS('Arrêt RPT2'!$G$18:$G$47,'Arrêt RPT2'!$D$18:$D$47,D49)</f>
        <v/>
      </c>
      <c r="E51" s="104">
        <f>SUMIFS('Arrêt RPT2'!$G$18:$G$47,'Arrêt RPT2'!$D$18:$D$47,E49)</f>
        <v/>
      </c>
      <c r="F51" s="104">
        <f>SUMIFS('Arrêt RPT2'!$G$18:$G$47,'Arrêt RPT2'!$D$18:$D$47,F49)</f>
        <v/>
      </c>
      <c r="G51" s="104">
        <f>SUMIFS('Arrêt RPT2'!$G$18:$G$47,'Arrêt RPT2'!$D$18:$D$47,G49)</f>
        <v/>
      </c>
      <c r="H51" s="104">
        <f>SUMIFS('Arrêt RPT2'!$G$18:$G$47,'Arrêt RPT2'!$D$18:$D$47,H49)</f>
        <v/>
      </c>
    </row>
    <row r="52" ht="26.1" customHeight="1" thickBot="1">
      <c r="A52" s="11" t="n"/>
      <c r="B52" s="154" t="inlineStr">
        <is>
          <t>Fréquence</t>
        </is>
      </c>
      <c r="C52" s="153">
        <f>COUNTIF('Arrêt RPT2'!$D$18:$D$47,C49)</f>
        <v/>
      </c>
      <c r="D52" s="153">
        <f>COUNTIF('Arrêt RPT2'!$D$18:$D$47,D49)</f>
        <v/>
      </c>
      <c r="E52" s="153">
        <f>COUNTIF('Arrêt RPT2'!$D$18:$D$47,E49)</f>
        <v/>
      </c>
      <c r="F52" s="153">
        <f>COUNTIF('Arrêt RPT2'!$D$18:$D$47,F49)</f>
        <v/>
      </c>
      <c r="G52" s="153">
        <f>COUNTIF('Arrêt RPT2'!$D$18:$D$47,G49)</f>
        <v/>
      </c>
      <c r="H52" s="153">
        <f>COUNTIF('Arrêt RPT2'!$D$18:$D$47,H49)</f>
        <v/>
      </c>
    </row>
    <row r="53" ht="23.25" customHeight="1" thickBot="1">
      <c r="A53" s="11" t="n"/>
      <c r="B53" s="12" t="n"/>
    </row>
    <row r="54" ht="30" customHeight="1" thickBot="1">
      <c r="A54" s="11" t="n"/>
      <c r="B54" s="782" t="inlineStr">
        <is>
          <t>Arrêts externes</t>
        </is>
      </c>
      <c r="C54" s="784" t="inlineStr">
        <is>
          <t>E_LAV</t>
        </is>
      </c>
      <c r="D54" s="784" t="inlineStr">
        <is>
          <t>X_LBA</t>
        </is>
      </c>
      <c r="E54" s="784" t="inlineStr">
        <is>
          <t>X_LME</t>
        </is>
      </c>
      <c r="F54" s="784" t="inlineStr">
        <is>
          <t>X_EXT</t>
        </is>
      </c>
      <c r="G54" s="784" t="inlineStr">
        <is>
          <t>X_UBI</t>
        </is>
      </c>
      <c r="H54" s="13" t="n"/>
      <c r="I54" s="13" t="n"/>
    </row>
    <row r="55" ht="43.5" customHeight="1" thickBot="1">
      <c r="A55" s="11" t="n"/>
      <c r="B55" s="894" t="n"/>
      <c r="C55" s="784" t="inlineStr">
        <is>
          <t>Laverie Daoui</t>
        </is>
      </c>
      <c r="D55" s="784" t="inlineStr">
        <is>
          <t>Beni-Amir</t>
        </is>
      </c>
      <c r="E55" s="784" t="inlineStr">
        <is>
          <t>Service électrique Khouribga</t>
        </is>
      </c>
      <c r="F55" s="784" t="inlineStr">
        <is>
          <t>Extraction Mine</t>
        </is>
      </c>
      <c r="G55" s="784" t="inlineStr">
        <is>
          <t>BENI IDIR</t>
        </is>
      </c>
      <c r="H55" s="14" t="n"/>
      <c r="I55" s="14" t="n"/>
    </row>
    <row r="56" ht="43.5" customHeight="1" thickBot="1">
      <c r="A56" s="11" t="n"/>
      <c r="B56" s="894" t="n"/>
      <c r="C56" s="895" t="n"/>
      <c r="D56" s="895" t="n"/>
      <c r="E56" s="895" t="n"/>
      <c r="F56" s="895" t="n"/>
      <c r="G56" s="895" t="n"/>
      <c r="H56" s="15" t="n"/>
      <c r="I56" s="15" t="n"/>
    </row>
    <row r="57" ht="26.1" customHeight="1" thickBot="1">
      <c r="A57" s="378" t="n"/>
      <c r="B57" s="895" t="n"/>
      <c r="C57" s="104">
        <f>SUMIFS('Arrêt RPT2'!$G$18:$G$47,'Arrêt RPT2'!$D$18:$D$47,C54)</f>
        <v/>
      </c>
      <c r="D57" s="104">
        <f>SUMIFS('Arrêt RPT2'!$G$18:$G$47,'Arrêt RPT2'!$D$18:$D$47,D54)</f>
        <v/>
      </c>
      <c r="E57" s="104">
        <f>SUMIFS('Arrêt RPT2'!$G$18:$G$47,'Arrêt RPT2'!$D$18:$D$47,E54)</f>
        <v/>
      </c>
      <c r="F57" s="104">
        <f>SUMIFS('Arrêt RPT2'!$G$18:$G$47,'Arrêt RPT2'!$D$18:$D$47,F54)</f>
        <v/>
      </c>
      <c r="G57" s="104">
        <f>SUMIFS('Arrêt RPT2'!$G$18:$G$47,'Arrêt RPT2'!$D$18:$D$47,G54)</f>
        <v/>
      </c>
      <c r="H57" s="16" t="n"/>
      <c r="I57" s="16" t="n"/>
    </row>
    <row r="58" ht="26.1" customHeight="1" thickBot="1">
      <c r="A58" s="378" t="n"/>
      <c r="B58" s="154" t="inlineStr">
        <is>
          <t>Fréquence</t>
        </is>
      </c>
      <c r="C58" s="153">
        <f>COUNTIF('Arrêt RPT2'!$D$18:$D$47,C54)</f>
        <v/>
      </c>
      <c r="D58" s="153">
        <f>COUNTIF('Arrêt RPT2'!$D$18:$D$47,D54)</f>
        <v/>
      </c>
      <c r="E58" s="153">
        <f>COUNTIF('Arrêt RPT2'!$D$18:$D$47,E54)</f>
        <v/>
      </c>
      <c r="F58" s="153">
        <f>COUNTIF('Arrêt RPT2'!$D$18:$D$47,F54)</f>
        <v/>
      </c>
      <c r="G58" s="153">
        <f>COUNTIF('Arrêt RPT2'!$D$18:$D$47,G54)</f>
        <v/>
      </c>
      <c r="H58" s="16" t="n"/>
      <c r="I58" s="16" t="n"/>
    </row>
    <row r="59" ht="18.75" customHeight="1" thickBot="1">
      <c r="A59" s="378" t="n"/>
      <c r="C59" s="17" t="n"/>
      <c r="D59" s="17" t="n"/>
      <c r="E59" s="17" t="n"/>
      <c r="F59" s="17" t="n"/>
      <c r="G59" s="17" t="n"/>
      <c r="H59" s="17" t="n"/>
      <c r="I59" s="17" t="n"/>
    </row>
    <row r="60" ht="43.5" customHeight="1" thickBot="1">
      <c r="A60" s="378" t="n"/>
      <c r="B60" s="781" t="inlineStr">
        <is>
          <t>Synthèse des arrêts</t>
        </is>
      </c>
      <c r="C60" s="784" t="inlineStr">
        <is>
          <t>Total Arrêts</t>
        </is>
      </c>
      <c r="D60" s="784" t="inlineStr">
        <is>
          <t>Total Heures disponibles</t>
        </is>
      </c>
      <c r="E60" s="784" t="inlineStr">
        <is>
          <t>Total Heures de marche HM</t>
        </is>
      </c>
      <c r="F60" s="784" t="inlineStr">
        <is>
          <t>Taux de disponibilité</t>
        </is>
      </c>
      <c r="G60" s="784" t="inlineStr">
        <is>
          <t>Taux d’utilisation TU</t>
        </is>
      </c>
      <c r="H60" s="784" t="inlineStr">
        <is>
          <t>OEE</t>
        </is>
      </c>
    </row>
    <row r="61" ht="43.5" customHeight="1" thickBot="1">
      <c r="B61" s="895" t="n"/>
      <c r="C61" s="105">
        <f>+C51+D51+E51+F51+G51+H51+C57+D57+E57+F57+G57</f>
        <v/>
      </c>
      <c r="D61" s="105">
        <f>D63-D51-E51-F51-G51-H51+E63</f>
        <v/>
      </c>
      <c r="E61" s="105">
        <f>D63+E63-C61</f>
        <v/>
      </c>
      <c r="F61" s="106">
        <f>+D61/D63</f>
        <v/>
      </c>
      <c r="G61" s="106">
        <f>E61/D61</f>
        <v/>
      </c>
      <c r="H61" s="107">
        <f>E61/D63</f>
        <v/>
      </c>
    </row>
    <row r="63" hidden="1" ht="29.25" customFormat="1" customHeight="1" s="108">
      <c r="D63" s="85" t="n">
        <v>0.9993055555555556</v>
      </c>
      <c r="E63" s="85" t="n">
        <v>0.0006944444444444445</v>
      </c>
    </row>
  </sheetData>
  <mergeCells count="48">
    <mergeCell ref="H35:I35"/>
    <mergeCell ref="H20:I20"/>
    <mergeCell ref="H38:I38"/>
    <mergeCell ref="B49:B51"/>
    <mergeCell ref="E55:E56"/>
    <mergeCell ref="H29:I29"/>
    <mergeCell ref="C2:D3"/>
    <mergeCell ref="H43:I43"/>
    <mergeCell ref="H41:I41"/>
    <mergeCell ref="F6:G6"/>
    <mergeCell ref="F55:F56"/>
    <mergeCell ref="H31:I31"/>
    <mergeCell ref="H44:I44"/>
    <mergeCell ref="H40:I40"/>
    <mergeCell ref="B9:C10"/>
    <mergeCell ref="H39:I39"/>
    <mergeCell ref="H34:I34"/>
    <mergeCell ref="H25:I25"/>
    <mergeCell ref="H21:I21"/>
    <mergeCell ref="B11:C11"/>
    <mergeCell ref="H46:I46"/>
    <mergeCell ref="E10:I10"/>
    <mergeCell ref="B60:B61"/>
    <mergeCell ref="C55:C56"/>
    <mergeCell ref="H36:I36"/>
    <mergeCell ref="G55:G56"/>
    <mergeCell ref="E9:I9"/>
    <mergeCell ref="H17:I17"/>
    <mergeCell ref="H32:I32"/>
    <mergeCell ref="H45:I45"/>
    <mergeCell ref="H19:I19"/>
    <mergeCell ref="H37:I37"/>
    <mergeCell ref="D55:D56"/>
    <mergeCell ref="H28:I28"/>
    <mergeCell ref="H47:I47"/>
    <mergeCell ref="H22:I22"/>
    <mergeCell ref="F11:H11"/>
    <mergeCell ref="H27:I27"/>
    <mergeCell ref="C4:D5"/>
    <mergeCell ref="H24:I24"/>
    <mergeCell ref="H42:I42"/>
    <mergeCell ref="H18:I18"/>
    <mergeCell ref="H33:I33"/>
    <mergeCell ref="H23:I23"/>
    <mergeCell ref="B14:I15"/>
    <mergeCell ref="B54:B57"/>
    <mergeCell ref="H30:I30"/>
    <mergeCell ref="H26:I26"/>
  </mergeCells>
  <conditionalFormatting sqref="G18:G47">
    <cfRule type="cellIs" priority="7" operator="equal" dxfId="0">
      <formula>0.0333333333333333</formula>
    </cfRule>
  </conditionalFormatting>
  <dataValidations count="2">
    <dataValidation sqref="H18:I47" showDropDown="0" showInputMessage="1" showErrorMessage="1" allowBlank="0" type="list">
      <formula1>INDIRECT(D18)</formula1>
    </dataValidation>
    <dataValidation sqref="C18:C47" showDropDown="0" showInputMessage="1" showErrorMessage="1" allowBlank="0" type="list">
      <formula1>INDIRECT(B18)</formula1>
    </dataValidation>
  </dataValidations>
  <printOptions horizontalCentered="1" verticalCentered="1"/>
  <pageMargins left="0" right="0.1968503937007874" top="0" bottom="0" header="0" footer="0"/>
  <pageSetup orientation="portrait" paperSize="9" scale="37" horizontalDpi="180" verticalDpi="180"/>
</worksheet>
</file>

<file path=xl/worksheets/sheet9.xml><?xml version="1.0" encoding="utf-8"?>
<worksheet xmlns="http://schemas.openxmlformats.org/spreadsheetml/2006/main">
  <sheetPr codeName="Feuil9">
    <outlinePr summaryBelow="1" summaryRight="1"/>
    <pageSetUpPr fitToPage="1"/>
  </sheetPr>
  <dimension ref="A1:J62"/>
  <sheetViews>
    <sheetView showGridLines="0" view="pageBreakPreview" topLeftCell="A46" zoomScale="85" zoomScaleNormal="40" zoomScaleSheetLayoutView="85" workbookViewId="0">
      <selection activeCell="H21" sqref="H21:I21"/>
    </sheetView>
  </sheetViews>
  <sheetFormatPr baseColWidth="8" defaultColWidth="11.25" defaultRowHeight="12.75"/>
  <cols>
    <col width="5.75" customWidth="1" style="378" min="1" max="1"/>
    <col width="22.5" customWidth="1" style="378" min="2" max="2"/>
    <col width="28.25" customWidth="1" style="378" min="3" max="3"/>
    <col width="25.125" customWidth="1" style="378" min="4" max="4"/>
    <col width="25.25" customWidth="1" style="378" min="5" max="5"/>
    <col width="27.125" customWidth="1" style="378" min="6" max="6"/>
    <col width="25.125" customWidth="1" style="378" min="7" max="7"/>
    <col width="54.5" customWidth="1" style="378" min="8" max="8"/>
    <col width="26.5" customWidth="1" style="378" min="9" max="9"/>
    <col width="11.25" customWidth="1" style="378" min="10" max="16384"/>
  </cols>
  <sheetData>
    <row r="1" ht="21.6" customHeight="1" thickBot="1">
      <c r="A1" s="452" t="n">
        <v>17807</v>
      </c>
    </row>
    <row r="2" ht="34.5" customHeight="1" thickBot="1">
      <c r="B2" s="19" t="n"/>
      <c r="C2" s="571">
        <f>TODAY()</f>
        <v/>
      </c>
      <c r="E2" s="26" t="n"/>
      <c r="F2" s="26" t="n"/>
      <c r="G2" s="19" t="n"/>
      <c r="H2" s="19" t="n"/>
      <c r="I2" s="19" t="n"/>
      <c r="J2" s="28" t="n"/>
    </row>
    <row r="3" ht="34.5" customHeight="1" thickBot="1">
      <c r="B3" s="19" t="n"/>
      <c r="E3" s="26" t="n"/>
      <c r="F3" s="26" t="n"/>
      <c r="G3" s="21" t="n"/>
      <c r="H3" s="19" t="n"/>
      <c r="I3" s="19" t="n"/>
      <c r="J3" s="28" t="n"/>
    </row>
    <row r="4" ht="34.5" customHeight="1" thickBot="1">
      <c r="B4" s="19" t="n"/>
      <c r="C4" s="789">
        <f>NOW()</f>
        <v/>
      </c>
      <c r="E4" s="26" t="n"/>
      <c r="F4" s="26" t="n"/>
      <c r="G4" s="21" t="n"/>
      <c r="H4" s="19" t="n"/>
      <c r="I4" s="19" t="n"/>
      <c r="J4" s="28" t="n"/>
    </row>
    <row r="5" ht="34.5" customHeight="1" thickBot="1">
      <c r="B5" s="19" t="n"/>
      <c r="E5" s="26" t="n"/>
      <c r="F5" s="26" t="n"/>
      <c r="G5" s="21" t="n"/>
      <c r="H5" s="23" t="n"/>
      <c r="I5" s="23" t="n"/>
      <c r="J5" s="28" t="n"/>
    </row>
    <row r="6" ht="34.5" customHeight="1">
      <c r="B6" s="19" t="n"/>
      <c r="C6" s="24" t="n"/>
      <c r="D6" s="25" t="n"/>
      <c r="E6" s="26" t="n"/>
      <c r="F6" s="573" t="n"/>
      <c r="H6" s="574" t="n"/>
      <c r="I6" s="42" t="n"/>
      <c r="J6" s="29" t="n"/>
    </row>
    <row r="7" ht="21.6" customHeight="1">
      <c r="A7" s="5" t="n"/>
    </row>
    <row r="8" ht="21.6" customHeight="1" thickBot="1">
      <c r="A8" s="5" t="n"/>
    </row>
    <row r="9" ht="36" customHeight="1" thickBot="1">
      <c r="A9" s="5" t="n"/>
      <c r="B9" s="790" t="n"/>
      <c r="C9" s="791" t="n"/>
      <c r="D9" s="38" t="inlineStr">
        <is>
          <t>Formulaire</t>
        </is>
      </c>
      <c r="E9" s="593" t="inlineStr">
        <is>
          <t>PRL-LA-IT-06-F-01</t>
        </is>
      </c>
      <c r="F9" s="792" t="n"/>
      <c r="G9" s="792" t="n"/>
      <c r="H9" s="792" t="n"/>
      <c r="I9" s="793" t="n"/>
    </row>
    <row r="10" ht="38.25" customHeight="1" thickBot="1">
      <c r="A10" s="5" t="n"/>
      <c r="B10" s="794" t="n"/>
      <c r="C10" s="795" t="n"/>
      <c r="D10" s="38" t="inlineStr">
        <is>
          <t>Entité</t>
        </is>
      </c>
      <c r="E10" s="594" t="inlineStr">
        <is>
          <t>Entités de Traitement de Site de Khouribga</t>
        </is>
      </c>
      <c r="F10" s="792" t="n"/>
      <c r="G10" s="792" t="n"/>
      <c r="H10" s="792" t="n"/>
      <c r="I10" s="793" t="n"/>
    </row>
    <row r="11" ht="45" customHeight="1" thickBot="1">
      <c r="A11" s="5" t="n"/>
      <c r="B11" s="893" t="inlineStr">
        <is>
          <t>DIRECTION EXECUTIVE
OPERATIONSINDUSTRIELLES
DIRECTION DE SITE  DE KHOURIBGA</t>
        </is>
      </c>
      <c r="C11" s="797" t="n"/>
      <c r="D11" s="38" t="inlineStr">
        <is>
          <t>Version</t>
        </is>
      </c>
      <c r="E11" s="593" t="n">
        <v>5</v>
      </c>
      <c r="F11" s="594" t="inlineStr">
        <is>
          <t xml:space="preserve">Applicable le </t>
        </is>
      </c>
      <c r="G11" s="792" t="n"/>
      <c r="H11" s="793" t="n"/>
      <c r="I11" s="37" t="n">
        <v>45000</v>
      </c>
    </row>
    <row r="12" ht="26.25" customHeight="1">
      <c r="A12" s="5" t="n"/>
      <c r="B12" s="32" t="inlineStr">
        <is>
          <t>OIK/BD/E- 428</t>
        </is>
      </c>
      <c r="C12" s="30" t="n"/>
      <c r="D12" s="31" t="n"/>
    </row>
    <row r="13" ht="5.25" customHeight="1"/>
    <row r="14" ht="24" customHeight="1">
      <c r="B14" s="772" t="inlineStr">
        <is>
          <t>Suivi des arrêts</t>
        </is>
      </c>
    </row>
    <row r="15" ht="21" customHeight="1">
      <c r="A15" s="6" t="n"/>
    </row>
    <row r="16" ht="33.75" customHeight="1" thickBot="1">
      <c r="A16" s="7" t="n"/>
      <c r="B16" s="167" t="inlineStr">
        <is>
          <t>Installation : RP3</t>
        </is>
      </c>
      <c r="E16" s="36" t="n"/>
      <c r="H16" s="35" t="inlineStr">
        <is>
          <t>Journée du :</t>
        </is>
      </c>
      <c r="I16" s="584">
        <f>'Arrêt RPT1'!I16</f>
        <v/>
      </c>
    </row>
    <row r="17" ht="64.5" customHeight="1" thickBot="1">
      <c r="A17" s="8" t="n"/>
      <c r="B17" s="618" t="inlineStr">
        <is>
          <t>Axe</t>
        </is>
      </c>
      <c r="C17" s="618" t="inlineStr">
        <is>
          <t>Organe</t>
        </is>
      </c>
      <c r="D17" s="618" t="inlineStr">
        <is>
          <t>Sce</t>
        </is>
      </c>
      <c r="E17" s="618" t="inlineStr">
        <is>
          <t>Début</t>
        </is>
      </c>
      <c r="F17" s="618" t="inlineStr">
        <is>
          <t>Fin</t>
        </is>
      </c>
      <c r="G17" s="618" t="inlineStr">
        <is>
          <t>Durée</t>
        </is>
      </c>
      <c r="H17" s="618" t="inlineStr">
        <is>
          <t>Nature des arrêts</t>
        </is>
      </c>
      <c r="I17" s="793" t="n"/>
    </row>
    <row r="18" ht="36.75" customHeight="1">
      <c r="A18" s="378" t="n"/>
      <c r="B18" s="150" t="n"/>
      <c r="C18" s="145" t="n"/>
      <c r="D18" s="145" t="inlineStr">
        <is>
          <t>X_UBI</t>
        </is>
      </c>
      <c r="E18" s="146" t="n">
        <v>0.03333333333333333</v>
      </c>
      <c r="F18" s="146" t="n">
        <v>0.8125</v>
      </c>
      <c r="G18" s="147">
        <f>IF(AND(F18-E18&gt;0),F18-E18,"")</f>
        <v/>
      </c>
      <c r="H18" s="771" t="inlineStr">
        <is>
          <t>Refus de qualité</t>
        </is>
      </c>
      <c r="I18" s="805" t="n"/>
    </row>
    <row r="19" ht="36.75" customHeight="1">
      <c r="A19" s="378" t="n"/>
      <c r="B19" s="150" t="n"/>
      <c r="C19" s="145" t="n"/>
      <c r="D19" s="145" t="inlineStr">
        <is>
          <t>E_MAN</t>
        </is>
      </c>
      <c r="E19" s="146" t="n">
        <v>0.8125</v>
      </c>
      <c r="F19" s="146" t="n">
        <v>0.8208333333333333</v>
      </c>
      <c r="G19" s="147">
        <f>IF(AND(F19-E19&gt;0),F19-E19,"")</f>
        <v/>
      </c>
      <c r="H19" s="771" t="inlineStr">
        <is>
          <t>Changement axe d'alimentation</t>
        </is>
      </c>
      <c r="I19" s="805" t="n"/>
    </row>
    <row r="20" ht="36.75" customHeight="1">
      <c r="A20" s="87" t="n"/>
      <c r="B20" s="150" t="inlineStr">
        <is>
          <t>AXE_Laverie_UD</t>
        </is>
      </c>
      <c r="C20" s="145" t="inlineStr">
        <is>
          <t>Trémie T18</t>
        </is>
      </c>
      <c r="D20" s="145" t="inlineStr">
        <is>
          <t>E_LAV</t>
        </is>
      </c>
      <c r="E20" s="146" t="n">
        <v>0.8958333333333334</v>
      </c>
      <c r="F20" s="146" t="n">
        <v>0.9041666666666667</v>
      </c>
      <c r="G20" s="147">
        <f>IF(AND(F20-E20&gt;0),F20-E20,"")</f>
        <v/>
      </c>
      <c r="H20" s="771" t="inlineStr">
        <is>
          <t>Trémie pleine</t>
        </is>
      </c>
      <c r="I20" s="805" t="n"/>
    </row>
    <row r="21" ht="36.75" customHeight="1">
      <c r="A21" s="87" t="n"/>
      <c r="B21" s="150" t="n"/>
      <c r="C21" s="145" t="n"/>
      <c r="D21" s="145" t="n"/>
      <c r="E21" s="146" t="n"/>
      <c r="F21" s="146" t="n"/>
      <c r="G21" s="147">
        <f>IF(AND(F21-E21&gt;0),F21-E21,"")</f>
        <v/>
      </c>
      <c r="H21" s="771" t="n"/>
      <c r="I21" s="805" t="n"/>
    </row>
    <row r="22" ht="36.75" customHeight="1">
      <c r="A22" s="87" t="n"/>
      <c r="B22" s="150" t="n"/>
      <c r="C22" s="145" t="n"/>
      <c r="D22" s="145" t="n"/>
      <c r="E22" s="146" t="n"/>
      <c r="F22" s="146" t="n"/>
      <c r="G22" s="147">
        <f>IF(AND(F22-E22&gt;0),F22-E22,"")</f>
        <v/>
      </c>
      <c r="H22" s="771" t="n"/>
      <c r="I22" s="805" t="n"/>
    </row>
    <row r="23" ht="36.75" customHeight="1">
      <c r="A23" s="87" t="n"/>
      <c r="B23" s="150" t="n"/>
      <c r="C23" s="145" t="n"/>
      <c r="D23" s="145" t="n"/>
      <c r="E23" s="146" t="n"/>
      <c r="F23" s="146" t="n"/>
      <c r="G23" s="147">
        <f>IF(AND(F23-E23&gt;0),F23-E23,"")</f>
        <v/>
      </c>
      <c r="H23" s="771" t="n"/>
      <c r="I23" s="805" t="n"/>
    </row>
    <row r="24" ht="36.75" customHeight="1">
      <c r="A24" s="87" t="n"/>
      <c r="B24" s="150" t="n"/>
      <c r="C24" s="145" t="n"/>
      <c r="D24" s="145" t="n"/>
      <c r="E24" s="146" t="n"/>
      <c r="F24" s="146" t="n"/>
      <c r="G24" s="147">
        <f>IF(AND(F24-E24&gt;0),F24-E24,"")</f>
        <v/>
      </c>
      <c r="H24" s="771" t="n"/>
      <c r="I24" s="805" t="n"/>
    </row>
    <row r="25" ht="36.75" customHeight="1">
      <c r="A25" s="87" t="n"/>
      <c r="B25" s="150" t="n"/>
      <c r="C25" s="145" t="n"/>
      <c r="D25" s="145" t="n"/>
      <c r="E25" s="146" t="n"/>
      <c r="F25" s="146" t="n"/>
      <c r="G25" s="147">
        <f>IF(AND(F25-E25&gt;0),F25-E25,"")</f>
        <v/>
      </c>
      <c r="H25" s="771" t="n"/>
      <c r="I25" s="805" t="n"/>
    </row>
    <row r="26" ht="36.75" customHeight="1">
      <c r="A26" s="87" t="n"/>
      <c r="B26" s="150" t="n"/>
      <c r="C26" s="145" t="n"/>
      <c r="D26" s="145" t="n"/>
      <c r="E26" s="146" t="n"/>
      <c r="F26" s="146" t="n"/>
      <c r="G26" s="147">
        <f>IF(AND(F26-E26&gt;0),F26-E26,"")</f>
        <v/>
      </c>
      <c r="H26" s="771" t="n"/>
      <c r="I26" s="805" t="n"/>
    </row>
    <row r="27" ht="36.75" customHeight="1">
      <c r="A27" s="87" t="n"/>
      <c r="B27" s="150" t="n"/>
      <c r="C27" s="145" t="n"/>
      <c r="D27" s="145" t="n"/>
      <c r="E27" s="146" t="n"/>
      <c r="F27" s="146" t="n"/>
      <c r="G27" s="147">
        <f>IF(AND(F27-E27&gt;0),F27-E27,"")</f>
        <v/>
      </c>
      <c r="H27" s="771" t="n"/>
      <c r="I27" s="805" t="n"/>
    </row>
    <row r="28" ht="36.75" customHeight="1">
      <c r="A28" s="87" t="n"/>
      <c r="B28" s="150" t="n"/>
      <c r="C28" s="145" t="n"/>
      <c r="D28" s="145" t="n"/>
      <c r="E28" s="146" t="n"/>
      <c r="F28" s="146" t="n"/>
      <c r="G28" s="147">
        <f>IF(AND(F28-E28&gt;0),F28-E28,"")</f>
        <v/>
      </c>
      <c r="H28" s="771" t="n"/>
      <c r="I28" s="805" t="n"/>
    </row>
    <row r="29" ht="36.75" customHeight="1">
      <c r="A29" s="87" t="n"/>
      <c r="B29" s="150" t="n"/>
      <c r="C29" s="145" t="n"/>
      <c r="D29" s="145" t="n"/>
      <c r="E29" s="146" t="n"/>
      <c r="F29" s="146" t="n"/>
      <c r="G29" s="147">
        <f>IF(AND(F29-E29&gt;0),F29-E29,"")</f>
        <v/>
      </c>
      <c r="H29" s="771" t="n"/>
      <c r="I29" s="805" t="n"/>
    </row>
    <row r="30" ht="36.75" customHeight="1">
      <c r="A30" s="87" t="n"/>
      <c r="B30" s="150" t="n"/>
      <c r="C30" s="145" t="n"/>
      <c r="D30" s="145" t="n"/>
      <c r="E30" s="146" t="n"/>
      <c r="F30" s="146" t="n"/>
      <c r="G30" s="147">
        <f>IF(AND(F30-E30&gt;0),F30-E30,"")</f>
        <v/>
      </c>
      <c r="H30" s="771" t="n"/>
      <c r="I30" s="805" t="n"/>
    </row>
    <row r="31" ht="36.75" customHeight="1">
      <c r="A31" s="87" t="n"/>
      <c r="B31" s="150" t="n"/>
      <c r="C31" s="145" t="n"/>
      <c r="D31" s="145" t="n"/>
      <c r="E31" s="146" t="n"/>
      <c r="F31" s="146" t="n"/>
      <c r="G31" s="147">
        <f>IF(AND(F31-E31&gt;0),F31-E31,"")</f>
        <v/>
      </c>
      <c r="H31" s="771" t="n"/>
      <c r="I31" s="805" t="n"/>
    </row>
    <row r="32" ht="36.75" customHeight="1">
      <c r="A32" s="87" t="n"/>
      <c r="B32" s="150" t="n"/>
      <c r="C32" s="145" t="n"/>
      <c r="D32" s="145" t="n"/>
      <c r="E32" s="146" t="n"/>
      <c r="F32" s="146" t="n"/>
      <c r="G32" s="147">
        <f>IF(AND(F32-E32&gt;0),F32-E32,"")</f>
        <v/>
      </c>
      <c r="H32" s="771" t="n"/>
      <c r="I32" s="805" t="n"/>
    </row>
    <row r="33" ht="36.75" customHeight="1">
      <c r="A33" s="87" t="n"/>
      <c r="B33" s="150" t="n"/>
      <c r="C33" s="145" t="n"/>
      <c r="D33" s="145" t="n"/>
      <c r="E33" s="146" t="n"/>
      <c r="F33" s="146" t="n"/>
      <c r="G33" s="147">
        <f>IF(AND(F33-E33&gt;0),F33-E33,"")</f>
        <v/>
      </c>
      <c r="H33" s="771" t="n"/>
      <c r="I33" s="805" t="n"/>
    </row>
    <row r="34" ht="36.75" customHeight="1">
      <c r="A34" s="87" t="n"/>
      <c r="B34" s="150" t="n"/>
      <c r="C34" s="145" t="n"/>
      <c r="D34" s="145" t="n"/>
      <c r="E34" s="146" t="n"/>
      <c r="F34" s="146" t="n"/>
      <c r="G34" s="147">
        <f>IF(AND(F34-E34&gt;0),F34-E34,"")</f>
        <v/>
      </c>
      <c r="H34" s="771" t="n"/>
      <c r="I34" s="805" t="n"/>
    </row>
    <row r="35" ht="36.75" customHeight="1">
      <c r="A35" s="87" t="n"/>
      <c r="B35" s="150" t="n"/>
      <c r="C35" s="145" t="n"/>
      <c r="D35" s="145" t="n"/>
      <c r="E35" s="146" t="n"/>
      <c r="F35" s="146" t="n"/>
      <c r="G35" s="147">
        <f>IF(AND(F35-E35&gt;0),F35-E35,"")</f>
        <v/>
      </c>
      <c r="H35" s="771" t="n"/>
      <c r="I35" s="805" t="n"/>
    </row>
    <row r="36" ht="36.75" customHeight="1">
      <c r="A36" s="87" t="n"/>
      <c r="B36" s="150" t="n"/>
      <c r="C36" s="145" t="n"/>
      <c r="D36" s="145" t="n"/>
      <c r="E36" s="146" t="n"/>
      <c r="F36" s="146" t="n"/>
      <c r="G36" s="147">
        <f>IF(AND(F36-E36&gt;0),F36-E36,"")</f>
        <v/>
      </c>
      <c r="H36" s="771" t="n"/>
      <c r="I36" s="805" t="n"/>
    </row>
    <row r="37" ht="36.75" customHeight="1">
      <c r="A37" s="87" t="n"/>
      <c r="B37" s="150" t="n"/>
      <c r="C37" s="145" t="n"/>
      <c r="D37" s="145" t="n"/>
      <c r="E37" s="146" t="n"/>
      <c r="F37" s="146" t="n"/>
      <c r="G37" s="147">
        <f>IF(AND(F37-E37&gt;0),F37-E37,"")</f>
        <v/>
      </c>
      <c r="H37" s="771" t="n"/>
      <c r="I37" s="805" t="n"/>
    </row>
    <row r="38" ht="36.75" customHeight="1">
      <c r="A38" s="87" t="n"/>
      <c r="B38" s="150" t="n"/>
      <c r="C38" s="145" t="n"/>
      <c r="D38" s="145" t="n"/>
      <c r="E38" s="146" t="n"/>
      <c r="F38" s="146" t="n"/>
      <c r="G38" s="147">
        <f>IF(AND(F38-E38&gt;0),F38-E38,"")</f>
        <v/>
      </c>
      <c r="H38" s="771" t="n"/>
      <c r="I38" s="805" t="n"/>
    </row>
    <row r="39" ht="36.75" customHeight="1">
      <c r="A39" s="87" t="n"/>
      <c r="B39" s="150" t="n"/>
      <c r="C39" s="145" t="n"/>
      <c r="D39" s="145" t="n"/>
      <c r="E39" s="146" t="n"/>
      <c r="F39" s="146" t="n"/>
      <c r="G39" s="147">
        <f>IF(AND(F39-E39&gt;0),F39-E39,"")</f>
        <v/>
      </c>
      <c r="H39" s="771" t="n"/>
      <c r="I39" s="805" t="n"/>
    </row>
    <row r="40" ht="36.75" customHeight="1">
      <c r="A40" s="87" t="n"/>
      <c r="B40" s="150" t="n"/>
      <c r="C40" s="145" t="n"/>
      <c r="D40" s="145" t="n"/>
      <c r="E40" s="146" t="n"/>
      <c r="F40" s="146" t="n"/>
      <c r="G40" s="147">
        <f>IF(AND(F40-E40&gt;0),F40-E40,"")</f>
        <v/>
      </c>
      <c r="H40" s="771" t="n"/>
      <c r="I40" s="805" t="n"/>
    </row>
    <row r="41" ht="36.75" customHeight="1">
      <c r="A41" s="87" t="n"/>
      <c r="B41" s="150" t="n"/>
      <c r="C41" s="145" t="n"/>
      <c r="D41" s="145" t="n"/>
      <c r="E41" s="146" t="n"/>
      <c r="F41" s="146" t="n"/>
      <c r="G41" s="147">
        <f>IF(AND(F41-E41&gt;0),F41-E41,"")</f>
        <v/>
      </c>
      <c r="H41" s="771" t="n"/>
      <c r="I41" s="805" t="n"/>
    </row>
    <row r="42" ht="36.75" customHeight="1">
      <c r="A42" s="87" t="n"/>
      <c r="B42" s="150" t="n"/>
      <c r="C42" s="145" t="n"/>
      <c r="D42" s="145" t="n"/>
      <c r="E42" s="146" t="n"/>
      <c r="F42" s="146" t="n"/>
      <c r="G42" s="147">
        <f>IF(AND(F42-E42&gt;0),F42-E42,"")</f>
        <v/>
      </c>
      <c r="H42" s="771" t="n"/>
      <c r="I42" s="805" t="n"/>
    </row>
    <row r="43" ht="36.75" customHeight="1">
      <c r="A43" s="87" t="n"/>
      <c r="B43" s="150" t="n"/>
      <c r="C43" s="145" t="n"/>
      <c r="D43" s="145" t="n"/>
      <c r="E43" s="146" t="n"/>
      <c r="F43" s="146" t="n"/>
      <c r="G43" s="147">
        <f>IF(AND(F43-E43&gt;0),F43-E43,"")</f>
        <v/>
      </c>
      <c r="H43" s="771" t="n"/>
      <c r="I43" s="805" t="n"/>
    </row>
    <row r="44" ht="36.75" customHeight="1">
      <c r="A44" s="87" t="n"/>
      <c r="B44" s="150" t="n"/>
      <c r="C44" s="145" t="n"/>
      <c r="D44" s="145" t="n"/>
      <c r="E44" s="146" t="n"/>
      <c r="F44" s="146" t="n"/>
      <c r="G44" s="147">
        <f>IF(AND(F44-E44&gt;0),F44-E44,"")</f>
        <v/>
      </c>
      <c r="H44" s="771" t="n"/>
      <c r="I44" s="805" t="n"/>
    </row>
    <row r="45" ht="36.75" customHeight="1">
      <c r="A45" s="378" t="n"/>
      <c r="B45" s="150" t="n"/>
      <c r="C45" s="145" t="n"/>
      <c r="D45" s="145" t="n"/>
      <c r="E45" s="146" t="n"/>
      <c r="F45" s="146" t="n"/>
      <c r="G45" s="147">
        <f>IF(AND(F45-E45&gt;0),F45-E45,"")</f>
        <v/>
      </c>
      <c r="H45" s="771" t="n"/>
      <c r="I45" s="805" t="n"/>
    </row>
    <row r="46" ht="36.75" customHeight="1" thickBot="1">
      <c r="A46" s="378" t="n"/>
      <c r="B46" s="151" t="n"/>
      <c r="C46" s="148" t="n"/>
      <c r="D46" s="148" t="n"/>
      <c r="E46" s="149" t="n"/>
      <c r="F46" s="149" t="n"/>
      <c r="G46" s="356">
        <f>IF(AND(F46-E46&gt;0),F46-E46,"")</f>
        <v/>
      </c>
      <c r="H46" s="788" t="n"/>
      <c r="I46" s="896" t="n"/>
    </row>
    <row r="47" ht="17.25" customHeight="1" thickBot="1"/>
    <row r="48" ht="30" customHeight="1" thickBot="1">
      <c r="A48" s="605" t="n"/>
      <c r="B48" s="783" t="inlineStr">
        <is>
          <t>Arrêts internes</t>
        </is>
      </c>
      <c r="C48" s="784" t="inlineStr">
        <is>
          <t>E_MAN</t>
        </is>
      </c>
      <c r="D48" s="784" t="inlineStr">
        <is>
          <t>M_MEC</t>
        </is>
      </c>
      <c r="E48" s="784" t="inlineStr">
        <is>
          <t>M_ELEC</t>
        </is>
      </c>
      <c r="F48" s="784" t="inlineStr">
        <is>
          <t>M_INS</t>
        </is>
      </c>
      <c r="G48" s="784" t="inlineStr">
        <is>
          <t>M_REG</t>
        </is>
      </c>
      <c r="H48" s="784" t="inlineStr">
        <is>
          <t>M_BDM</t>
        </is>
      </c>
    </row>
    <row r="49" ht="83.25" customHeight="1" thickBot="1">
      <c r="A49" s="11" t="n"/>
      <c r="B49" s="894" t="n"/>
      <c r="C49" s="784" t="inlineStr">
        <is>
          <t>Exploitation Manutention</t>
        </is>
      </c>
      <c r="D49" s="784" t="inlineStr">
        <is>
          <t xml:space="preserve">Maintenance Mécanique </t>
        </is>
      </c>
      <c r="E49" s="784" t="inlineStr">
        <is>
          <t xml:space="preserve">Maintenance Electrique </t>
        </is>
      </c>
      <c r="F49" s="784" t="inlineStr">
        <is>
          <t xml:space="preserve">Maintenance Installation </t>
        </is>
      </c>
      <c r="G49" s="784" t="inlineStr">
        <is>
          <t xml:space="preserve">Maintenance Régulation </t>
        </is>
      </c>
      <c r="H49" s="784" t="inlineStr">
        <is>
          <t>Maintenance Planifié</t>
        </is>
      </c>
    </row>
    <row r="50" ht="26.1" customHeight="1" thickBot="1">
      <c r="A50" s="11" t="n"/>
      <c r="B50" s="895" t="n"/>
      <c r="C50" s="104">
        <f>SUMIFS('Arrêt RP3'!$G$18:$G$46,'Arrêt RP3'!$D$18:$D$46,C48)</f>
        <v/>
      </c>
      <c r="D50" s="104">
        <f>SUMIFS('Arrêt RP3'!$G$18:$G$46,'Arrêt RP3'!$D$18:$D$46,D48)</f>
        <v/>
      </c>
      <c r="E50" s="104">
        <f>SUMIFS('Arrêt RP3'!$G$18:$G$46,'Arrêt RP3'!$D$18:$D$46,E48)</f>
        <v/>
      </c>
      <c r="F50" s="104">
        <f>SUMIFS('Arrêt RP3'!$G$18:$G$46,'Arrêt RP3'!$D$18:$D$46,F48)</f>
        <v/>
      </c>
      <c r="G50" s="104">
        <f>SUMIFS('Arrêt RP3'!$G$18:$G$46,'Arrêt RP3'!$D$18:$D$46,G48)</f>
        <v/>
      </c>
      <c r="H50" s="104">
        <f>SUMIFS('Arrêt RP3'!$G$18:$G$46,'Arrêt RP3'!$D$18:$D$46,H48)</f>
        <v/>
      </c>
    </row>
    <row r="51" ht="26.1" customHeight="1" thickBot="1">
      <c r="A51" s="11" t="n"/>
      <c r="B51" s="154" t="inlineStr">
        <is>
          <t>Fréquence</t>
        </is>
      </c>
      <c r="C51" s="153">
        <f>COUNTIF('Arrêt RP3'!$D$18:$D$46,C48)</f>
        <v/>
      </c>
      <c r="D51" s="153">
        <f>COUNTIF('Arrêt RP3'!$D$18:$D$46,D48)</f>
        <v/>
      </c>
      <c r="E51" s="153">
        <f>COUNTIF('Arrêt RP3'!$D$18:$D$46,E48)</f>
        <v/>
      </c>
      <c r="F51" s="153">
        <f>COUNTIF('Arrêt RP3'!$D$18:$D$46,F48)</f>
        <v/>
      </c>
      <c r="G51" s="153">
        <f>COUNTIF('Arrêt RP3'!$D$18:$D$46,G48)</f>
        <v/>
      </c>
      <c r="H51" s="153">
        <f>COUNTIF('Arrêt RP3'!$D$18:$D$46,H48)</f>
        <v/>
      </c>
    </row>
    <row r="52" ht="23.25" customHeight="1" thickBot="1">
      <c r="A52" s="11" t="n"/>
      <c r="B52" s="12" t="n"/>
    </row>
    <row r="53" ht="30" customHeight="1" thickBot="1">
      <c r="A53" s="11" t="n"/>
      <c r="B53" s="782" t="inlineStr">
        <is>
          <t>Arrêts externes</t>
        </is>
      </c>
      <c r="C53" s="784" t="inlineStr">
        <is>
          <t>E_LAV</t>
        </is>
      </c>
      <c r="D53" s="784" t="inlineStr">
        <is>
          <t>X_LBA</t>
        </is>
      </c>
      <c r="E53" s="784" t="inlineStr">
        <is>
          <t>X_LME</t>
        </is>
      </c>
      <c r="F53" s="784" t="inlineStr">
        <is>
          <t>X_EXT</t>
        </is>
      </c>
      <c r="G53" s="784" t="inlineStr">
        <is>
          <t>X_UBI</t>
        </is>
      </c>
      <c r="H53" s="13" t="n"/>
      <c r="I53" s="13" t="n"/>
    </row>
    <row r="54" ht="43.5" customHeight="1" thickBot="1">
      <c r="A54" s="11" t="n"/>
      <c r="B54" s="894" t="n"/>
      <c r="C54" s="784" t="inlineStr">
        <is>
          <t>Laverie Daoui</t>
        </is>
      </c>
      <c r="D54" s="784" t="inlineStr">
        <is>
          <t>Beni-Amir</t>
        </is>
      </c>
      <c r="E54" s="784" t="inlineStr">
        <is>
          <t>Service électrique Khouribga</t>
        </is>
      </c>
      <c r="F54" s="784" t="inlineStr">
        <is>
          <t>Extraction Mine</t>
        </is>
      </c>
      <c r="G54" s="784" t="inlineStr">
        <is>
          <t>BENI IDIR</t>
        </is>
      </c>
      <c r="H54" s="14" t="n"/>
      <c r="I54" s="14" t="n"/>
    </row>
    <row r="55" ht="43.5" customHeight="1" thickBot="1">
      <c r="A55" s="11" t="n"/>
      <c r="B55" s="894" t="n"/>
      <c r="C55" s="895" t="n"/>
      <c r="D55" s="895" t="n"/>
      <c r="E55" s="895" t="n"/>
      <c r="F55" s="895" t="n"/>
      <c r="G55" s="895" t="n"/>
      <c r="H55" s="15" t="n"/>
      <c r="I55" s="15" t="n"/>
    </row>
    <row r="56" ht="26.1" customHeight="1" thickBot="1">
      <c r="A56" s="378" t="n"/>
      <c r="B56" s="895" t="n"/>
      <c r="C56" s="104">
        <f>SUMIFS('Arrêt RP3'!$G$18:$G$46,'Arrêt RP3'!$D$18:$D$46,C53)</f>
        <v/>
      </c>
      <c r="D56" s="104">
        <f>SUMIFS('Arrêt RP3'!$G$18:$G$46,'Arrêt RP3'!$D$18:$D$46,D53)</f>
        <v/>
      </c>
      <c r="E56" s="104">
        <f>SUMIFS('Arrêt RP3'!$G$18:$G$46,'Arrêt RP3'!$D$18:$D$46,E53)</f>
        <v/>
      </c>
      <c r="F56" s="104">
        <f>SUMIFS('Arrêt RP3'!$G$18:$G$46,'Arrêt RP3'!$D$18:$D$46,F53)</f>
        <v/>
      </c>
      <c r="G56" s="104">
        <f>SUMIFS('Arrêt RP3'!$G$18:$G$46,'Arrêt RP3'!$D$18:$D$46,G53)</f>
        <v/>
      </c>
      <c r="H56" s="16" t="n"/>
      <c r="I56" s="16" t="n"/>
    </row>
    <row r="57" ht="26.1" customHeight="1" thickBot="1">
      <c r="A57" s="378" t="n"/>
      <c r="B57" s="154" t="inlineStr">
        <is>
          <t>Fréquence</t>
        </is>
      </c>
      <c r="C57" s="153">
        <f>COUNTIF('Arrêt RP3'!$D$18:$D$46,C53)</f>
        <v/>
      </c>
      <c r="D57" s="153">
        <f>COUNTIF('Arrêt RP3'!$D$18:$D$46,D53)</f>
        <v/>
      </c>
      <c r="E57" s="153">
        <f>COUNTIF('Arrêt RP3'!$D$18:$D$46,E53)</f>
        <v/>
      </c>
      <c r="F57" s="153">
        <f>COUNTIF('Arrêt RP3'!$D$18:$D$46,F53)</f>
        <v/>
      </c>
      <c r="G57" s="153">
        <f>COUNTIF('Arrêt RP3'!$D$18:$D$46,G53)</f>
        <v/>
      </c>
      <c r="H57" s="16" t="n"/>
      <c r="I57" s="16" t="n"/>
    </row>
    <row r="58" ht="18.75" customHeight="1" thickBot="1">
      <c r="A58" s="378" t="n"/>
      <c r="C58" s="17" t="n"/>
      <c r="D58" s="17" t="n"/>
      <c r="E58" s="17" t="n"/>
      <c r="F58" s="17" t="n"/>
      <c r="G58" s="17" t="n"/>
      <c r="H58" s="17" t="n"/>
      <c r="I58" s="17" t="n"/>
    </row>
    <row r="59" ht="43.5" customHeight="1" thickBot="1">
      <c r="A59" s="378" t="n"/>
      <c r="B59" s="781" t="inlineStr">
        <is>
          <t>Synthèse des arrêts</t>
        </is>
      </c>
      <c r="C59" s="784" t="inlineStr">
        <is>
          <t>Total Arrêts</t>
        </is>
      </c>
      <c r="D59" s="784" t="inlineStr">
        <is>
          <t>Total Heures disponibles</t>
        </is>
      </c>
      <c r="E59" s="784" t="inlineStr">
        <is>
          <t>Total Heures de marche HM</t>
        </is>
      </c>
      <c r="F59" s="784" t="inlineStr">
        <is>
          <t>Taux de disponibilité</t>
        </is>
      </c>
      <c r="G59" s="784" t="inlineStr">
        <is>
          <t>Taux d’utilisation TU</t>
        </is>
      </c>
      <c r="H59" s="784" t="inlineStr">
        <is>
          <t>OEE</t>
        </is>
      </c>
    </row>
    <row r="60" ht="43.5" customHeight="1" thickBot="1">
      <c r="B60" s="895" t="n"/>
      <c r="C60" s="105">
        <f>+C50+D50+E50+F50+G50+H50+C56+D56+E56+F56+G56</f>
        <v/>
      </c>
      <c r="D60" s="105">
        <f>D62-D50-E50-F50-G50-H50+E62</f>
        <v/>
      </c>
      <c r="E60" s="105">
        <f>D62+E62-C60</f>
        <v/>
      </c>
      <c r="F60" s="106">
        <f>+D60/D62</f>
        <v/>
      </c>
      <c r="G60" s="106">
        <f>E60/D60</f>
        <v/>
      </c>
      <c r="H60" s="107">
        <f>E60/D62</f>
        <v/>
      </c>
    </row>
    <row r="62" hidden="1" ht="19.5" customHeight="1">
      <c r="D62" s="78" t="n">
        <v>0.9993055555555556</v>
      </c>
      <c r="E62" s="78" t="n">
        <v>0.0006944444444444445</v>
      </c>
    </row>
  </sheetData>
  <mergeCells count="47">
    <mergeCell ref="H35:I35"/>
    <mergeCell ref="H20:I20"/>
    <mergeCell ref="H38:I38"/>
    <mergeCell ref="H29:I29"/>
    <mergeCell ref="C2:D3"/>
    <mergeCell ref="H43:I43"/>
    <mergeCell ref="H41:I41"/>
    <mergeCell ref="F6:G6"/>
    <mergeCell ref="H31:I31"/>
    <mergeCell ref="H44:I44"/>
    <mergeCell ref="C54:C55"/>
    <mergeCell ref="H40:I40"/>
    <mergeCell ref="B9:C10"/>
    <mergeCell ref="H39:I39"/>
    <mergeCell ref="H34:I34"/>
    <mergeCell ref="H25:I25"/>
    <mergeCell ref="H21:I21"/>
    <mergeCell ref="B11:C11"/>
    <mergeCell ref="H46:I46"/>
    <mergeCell ref="E10:I10"/>
    <mergeCell ref="H36:I36"/>
    <mergeCell ref="E54:E55"/>
    <mergeCell ref="E9:I9"/>
    <mergeCell ref="H17:I17"/>
    <mergeCell ref="B53:B56"/>
    <mergeCell ref="H32:I32"/>
    <mergeCell ref="H45:I45"/>
    <mergeCell ref="H19:I19"/>
    <mergeCell ref="H37:I37"/>
    <mergeCell ref="H22:I22"/>
    <mergeCell ref="H28:I28"/>
    <mergeCell ref="G54:G55"/>
    <mergeCell ref="F11:H11"/>
    <mergeCell ref="H27:I27"/>
    <mergeCell ref="D54:D55"/>
    <mergeCell ref="C4:D5"/>
    <mergeCell ref="B48:B50"/>
    <mergeCell ref="H24:I24"/>
    <mergeCell ref="H42:I42"/>
    <mergeCell ref="H18:I18"/>
    <mergeCell ref="H33:I33"/>
    <mergeCell ref="H23:I23"/>
    <mergeCell ref="B14:I15"/>
    <mergeCell ref="F54:F55"/>
    <mergeCell ref="B59:B60"/>
    <mergeCell ref="H30:I30"/>
    <mergeCell ref="H26:I26"/>
  </mergeCells>
  <dataValidations count="2">
    <dataValidation sqref="H18:I46" showDropDown="0" showInputMessage="1" showErrorMessage="1" allowBlank="0" type="list">
      <formula1>INDIRECT(D18)</formula1>
    </dataValidation>
    <dataValidation sqref="C18:C46" showDropDown="0" showInputMessage="1" showErrorMessage="1" allowBlank="0" type="list">
      <formula1>INDIRECT(B18)</formula1>
    </dataValidation>
  </dataValidations>
  <printOptions horizontalCentered="1" verticalCentered="1"/>
  <pageMargins left="0" right="0.1968503937007874" top="0" bottom="0" header="0" footer="0"/>
  <pageSetup orientation="portrait" paperSize="9" scale="38" horizontalDpi="180" verticalDpi="180"/>
</worksheet>
</file>

<file path=xl/worksheets/sheet10.xml><?xml version="1.0" encoding="utf-8"?>
<worksheet xmlns="http://schemas.openxmlformats.org/spreadsheetml/2006/main">
  <sheetPr codeName="Feuil10">
    <outlinePr summaryBelow="1" summaryRight="1"/>
    <pageSetUpPr fitToPage="1"/>
  </sheetPr>
  <dimension ref="A1:K64"/>
  <sheetViews>
    <sheetView showGridLines="0" view="pageBreakPreview" topLeftCell="A58" zoomScale="85" zoomScaleNormal="40" zoomScaleSheetLayoutView="85" workbookViewId="0">
      <selection activeCell="F25" sqref="F25"/>
    </sheetView>
  </sheetViews>
  <sheetFormatPr baseColWidth="8" defaultColWidth="11.25" defaultRowHeight="12.75"/>
  <cols>
    <col width="5.75" customWidth="1" style="378" min="1" max="1"/>
    <col width="22.5" customWidth="1" style="378" min="2" max="2"/>
    <col width="28.25" customWidth="1" style="378" min="3" max="3"/>
    <col width="25.125" customWidth="1" style="378" min="4" max="4"/>
    <col width="25.25" customWidth="1" style="378" min="5" max="5"/>
    <col width="27.125" customWidth="1" style="378" min="6" max="6"/>
    <col width="25.125" customWidth="1" style="378" min="7" max="7"/>
    <col width="54.5" customWidth="1" style="378" min="8" max="8"/>
    <col width="26.5" customWidth="1" style="378" min="9" max="9"/>
    <col width="11.25" customWidth="1" style="378" min="10" max="16384"/>
  </cols>
  <sheetData>
    <row r="1" ht="21.6" customHeight="1" thickBot="1">
      <c r="A1" s="391" t="n">
        <v>0.3708333333333333</v>
      </c>
    </row>
    <row r="2" ht="34.5" customHeight="1" thickBot="1">
      <c r="B2" s="19" t="n"/>
      <c r="C2" s="571">
        <f>TODAY()</f>
        <v/>
      </c>
      <c r="E2" s="26" t="n"/>
      <c r="F2" s="26" t="n"/>
      <c r="G2" s="19" t="n"/>
      <c r="H2" s="19" t="n"/>
      <c r="I2" s="19" t="n"/>
      <c r="J2" s="28" t="n"/>
    </row>
    <row r="3" ht="34.5" customHeight="1" thickBot="1">
      <c r="B3" s="19" t="n"/>
      <c r="E3" s="26" t="n"/>
      <c r="F3" s="26" t="n"/>
      <c r="G3" s="21" t="n"/>
      <c r="H3" s="19" t="n"/>
      <c r="I3" s="19" t="n"/>
      <c r="J3" s="28" t="n"/>
    </row>
    <row r="4" ht="34.5" customHeight="1" thickBot="1">
      <c r="B4" s="19" t="n"/>
      <c r="C4" s="789">
        <f>NOW()</f>
        <v/>
      </c>
      <c r="E4" s="26" t="n"/>
      <c r="F4" s="26" t="n"/>
      <c r="G4" s="21" t="n"/>
      <c r="H4" s="19" t="n"/>
      <c r="I4" s="19" t="n"/>
      <c r="J4" s="28" t="n"/>
    </row>
    <row r="5" ht="34.5" customHeight="1" thickBot="1">
      <c r="B5" s="19" t="n"/>
      <c r="E5" s="26" t="n"/>
      <c r="F5" s="26" t="n"/>
      <c r="G5" s="21" t="n"/>
      <c r="H5" s="23" t="n"/>
      <c r="I5" s="23" t="n"/>
      <c r="J5" s="28" t="n"/>
    </row>
    <row r="6" ht="34.5" customHeight="1">
      <c r="B6" s="19" t="n"/>
      <c r="C6" s="24" t="n"/>
      <c r="D6" s="25" t="n"/>
      <c r="E6" s="26" t="n"/>
      <c r="F6" s="573" t="n"/>
      <c r="H6" s="574" t="n"/>
      <c r="I6" s="42" t="n"/>
      <c r="J6" s="29" t="n"/>
    </row>
    <row r="7" ht="21.6" customHeight="1">
      <c r="A7" s="5" t="n"/>
    </row>
    <row r="8" ht="21.6" customHeight="1" thickBot="1">
      <c r="A8" s="5" t="n"/>
    </row>
    <row r="9" ht="36" customHeight="1" thickBot="1">
      <c r="A9" s="5" t="n"/>
      <c r="B9" s="790" t="n"/>
      <c r="C9" s="791" t="n"/>
      <c r="D9" s="38" t="inlineStr">
        <is>
          <t>Formulaire</t>
        </is>
      </c>
      <c r="E9" s="593" t="inlineStr">
        <is>
          <t>PRL-LA-IT-06-F-01</t>
        </is>
      </c>
      <c r="F9" s="792" t="n"/>
      <c r="G9" s="792" t="n"/>
      <c r="H9" s="792" t="n"/>
      <c r="I9" s="793" t="n"/>
    </row>
    <row r="10" ht="38.25" customHeight="1" thickBot="1">
      <c r="A10" s="5" t="n"/>
      <c r="B10" s="794" t="n"/>
      <c r="C10" s="795" t="n"/>
      <c r="D10" s="38" t="inlineStr">
        <is>
          <t>Entité</t>
        </is>
      </c>
      <c r="E10" s="594" t="inlineStr">
        <is>
          <t>Entités de Traitement de Site de Khouribga</t>
        </is>
      </c>
      <c r="F10" s="792" t="n"/>
      <c r="G10" s="792" t="n"/>
      <c r="H10" s="792" t="n"/>
      <c r="I10" s="793" t="n"/>
    </row>
    <row r="11" ht="45" customHeight="1" thickBot="1">
      <c r="A11" s="5" t="n"/>
      <c r="B11" s="893" t="inlineStr">
        <is>
          <t>DIRECTION EXECUTIVE
OPERATIONSINDUSTRIELLES
DIRECTION DE SITE  DE KHOURIBGA</t>
        </is>
      </c>
      <c r="C11" s="797" t="n"/>
      <c r="D11" s="38" t="inlineStr">
        <is>
          <t>Version</t>
        </is>
      </c>
      <c r="E11" s="593" t="n">
        <v>5</v>
      </c>
      <c r="F11" s="594" t="inlineStr">
        <is>
          <t xml:space="preserve">Applicable le </t>
        </is>
      </c>
      <c r="G11" s="792" t="n"/>
      <c r="H11" s="793" t="n"/>
      <c r="I11" s="37" t="n">
        <v>45000</v>
      </c>
    </row>
    <row r="12" ht="26.25" customHeight="1">
      <c r="A12" s="5" t="n"/>
      <c r="B12" s="32" t="inlineStr">
        <is>
          <t>OIK/BD/E- 428</t>
        </is>
      </c>
      <c r="C12" s="30" t="n"/>
      <c r="D12" s="31" t="n"/>
    </row>
    <row r="13" ht="5.25" customHeight="1"/>
    <row r="14" ht="24" customHeight="1">
      <c r="B14" s="772" t="inlineStr">
        <is>
          <t>Suivi des arrêts</t>
        </is>
      </c>
    </row>
    <row r="15" ht="21" customHeight="1">
      <c r="A15" s="6" t="n"/>
    </row>
    <row r="16" ht="33.75" customHeight="1" thickBot="1">
      <c r="A16" s="7" t="n"/>
      <c r="B16" s="167" t="inlineStr">
        <is>
          <t>Installation : RP5</t>
        </is>
      </c>
      <c r="E16" s="36" t="n"/>
      <c r="H16" s="35" t="inlineStr">
        <is>
          <t>Journée du :</t>
        </is>
      </c>
      <c r="I16" s="584">
        <f>'Arrêt RP3'!I16</f>
        <v/>
      </c>
    </row>
    <row r="17" ht="64.5" customHeight="1" thickBot="1">
      <c r="A17" s="8" t="n"/>
      <c r="B17" s="618" t="inlineStr">
        <is>
          <t>Axe</t>
        </is>
      </c>
      <c r="C17" s="618" t="inlineStr">
        <is>
          <t>Organe</t>
        </is>
      </c>
      <c r="D17" s="618" t="inlineStr">
        <is>
          <t>Sce</t>
        </is>
      </c>
      <c r="E17" s="618" t="inlineStr">
        <is>
          <t>Début</t>
        </is>
      </c>
      <c r="F17" s="618" t="inlineStr">
        <is>
          <t>Fin</t>
        </is>
      </c>
      <c r="G17" s="618" t="inlineStr">
        <is>
          <t>Durée</t>
        </is>
      </c>
      <c r="H17" s="618" t="inlineStr">
        <is>
          <t>Nature des arrêts</t>
        </is>
      </c>
      <c r="I17" s="793" t="n"/>
    </row>
    <row r="18" ht="36.75" customHeight="1">
      <c r="A18" s="378" t="n"/>
      <c r="B18" s="150" t="n"/>
      <c r="C18" s="145" t="n"/>
      <c r="D18" s="145" t="inlineStr">
        <is>
          <t>X_UBI</t>
        </is>
      </c>
      <c r="E18" s="146" t="n">
        <v>0</v>
      </c>
      <c r="F18" s="146" t="n">
        <v>0.03333333333333333</v>
      </c>
      <c r="G18" s="147">
        <f>IF(AND(F18-E18&gt;0),F18-E18,"")</f>
        <v/>
      </c>
      <c r="H18" s="771" t="inlineStr">
        <is>
          <t>Refus de qualité</t>
        </is>
      </c>
      <c r="I18" s="805" t="n"/>
    </row>
    <row r="19" ht="36.75" customHeight="1">
      <c r="A19" s="378" t="n"/>
      <c r="B19" s="150" t="n"/>
      <c r="C19" s="145" t="n"/>
      <c r="D19" s="145" t="inlineStr">
        <is>
          <t>E_MAN</t>
        </is>
      </c>
      <c r="E19" s="146" t="n">
        <v>0.03333333333333333</v>
      </c>
      <c r="F19" s="146" t="n">
        <v>0.04583333333333333</v>
      </c>
      <c r="G19" s="147">
        <f>IF(AND(F19-E19&gt;0),F19-E19,"")</f>
        <v/>
      </c>
      <c r="H19" s="771" t="inlineStr">
        <is>
          <t>Translation + orientation</t>
        </is>
      </c>
      <c r="I19" s="805" t="n"/>
    </row>
    <row r="20" ht="36.75" customHeight="1">
      <c r="A20" s="378" t="n"/>
      <c r="B20" s="150" t="inlineStr">
        <is>
          <t>AXE_Laverie_UD</t>
        </is>
      </c>
      <c r="C20" s="145" t="n"/>
      <c r="D20" s="145" t="inlineStr">
        <is>
          <t>E_LAV</t>
        </is>
      </c>
      <c r="E20" s="146" t="n">
        <v>0.05416666666666667</v>
      </c>
      <c r="F20" s="146" t="n">
        <v>0.3</v>
      </c>
      <c r="G20" s="147">
        <f>IF(AND(F20-E20&gt;0),F20-E20,"")</f>
        <v/>
      </c>
      <c r="H20" s="771" t="inlineStr">
        <is>
          <t>adaptation à l'arrêt</t>
        </is>
      </c>
      <c r="I20" s="805" t="n"/>
    </row>
    <row r="21" ht="36.75" customHeight="1">
      <c r="A21" s="378" t="n"/>
      <c r="B21" s="150" t="inlineStr">
        <is>
          <t>AXE_Laverie_UD</t>
        </is>
      </c>
      <c r="C21" s="145" t="inlineStr">
        <is>
          <t>Trémie T18</t>
        </is>
      </c>
      <c r="D21" s="145" t="inlineStr">
        <is>
          <t>E_LAV</t>
        </is>
      </c>
      <c r="E21" s="146" t="n">
        <v>0.3958333333333333</v>
      </c>
      <c r="F21" s="146" t="n">
        <v>0.4041666666666667</v>
      </c>
      <c r="G21" s="147">
        <f>IF(AND(F21-E21&gt;0),F21-E21,"")</f>
        <v/>
      </c>
      <c r="H21" s="771" t="inlineStr">
        <is>
          <t>Trémie pleine</t>
        </is>
      </c>
      <c r="I21" s="805" t="n"/>
      <c r="J21" s="145" t="n"/>
      <c r="K21" s="378" t="inlineStr">
        <is>
          <t xml:space="preserve"> </t>
        </is>
      </c>
    </row>
    <row r="22" ht="36.75" customHeight="1">
      <c r="A22" s="378" t="n"/>
      <c r="B22" s="150" t="n"/>
      <c r="C22" s="145" t="n"/>
      <c r="D22" s="145" t="inlineStr">
        <is>
          <t>E_LAV</t>
        </is>
      </c>
      <c r="E22" s="146" t="n">
        <v>0.6625</v>
      </c>
      <c r="F22" s="146" t="n">
        <v>0.6666666666666666</v>
      </c>
      <c r="G22" s="147">
        <f>IF(AND(F22-E22&gt;0),F22-E22,"")</f>
        <v/>
      </c>
      <c r="H22" s="771" t="inlineStr">
        <is>
          <t>Trémie pleine</t>
        </is>
      </c>
      <c r="I22" s="805" t="n"/>
    </row>
    <row r="23" ht="36.75" customHeight="1">
      <c r="A23" s="378" t="n"/>
      <c r="B23" s="150" t="n"/>
      <c r="C23" s="145" t="n"/>
      <c r="D23" s="145" t="inlineStr">
        <is>
          <t>E_LAV</t>
        </is>
      </c>
      <c r="E23" s="146" t="n">
        <v>0.7875</v>
      </c>
      <c r="F23" s="146" t="n">
        <v>0.7916666666666666</v>
      </c>
      <c r="G23" s="147">
        <f>IF(AND(F23-E23&gt;0),F23-E23,"")</f>
        <v/>
      </c>
      <c r="H23" s="771" t="inlineStr">
        <is>
          <t>Trémie pleine</t>
        </is>
      </c>
      <c r="I23" s="805" t="n"/>
    </row>
    <row r="24" ht="36.75" customHeight="1">
      <c r="A24" s="378" t="n"/>
      <c r="B24" s="150" t="n"/>
      <c r="C24" s="145" t="n"/>
      <c r="D24" s="145" t="inlineStr">
        <is>
          <t>X_UBI</t>
        </is>
      </c>
      <c r="E24" s="146" t="n">
        <v>0.8125</v>
      </c>
      <c r="F24" s="146" t="n">
        <v>1</v>
      </c>
      <c r="G24" s="147">
        <f>IF(AND(F24-E24&gt;0),F24-E24,"")</f>
        <v/>
      </c>
      <c r="H24" s="771" t="inlineStr">
        <is>
          <t>Refus de qualité</t>
        </is>
      </c>
      <c r="I24" s="805" t="n"/>
    </row>
    <row r="25" ht="36.75" customHeight="1">
      <c r="A25" s="378" t="n"/>
      <c r="B25" s="150" t="n"/>
      <c r="C25" s="145" t="n"/>
      <c r="D25" s="145" t="n"/>
      <c r="E25" s="146" t="n"/>
      <c r="F25" s="146" t="n"/>
      <c r="G25" s="147">
        <f>IF(AND(F25-E25&gt;0),F25-E25,"")</f>
        <v/>
      </c>
      <c r="H25" s="771" t="n"/>
      <c r="I25" s="805" t="n"/>
    </row>
    <row r="26" ht="36.75" customHeight="1">
      <c r="A26" s="378" t="n"/>
      <c r="B26" s="150" t="n"/>
      <c r="C26" s="145" t="n"/>
      <c r="D26" s="145" t="n"/>
      <c r="E26" s="146" t="n"/>
      <c r="F26" s="146" t="n"/>
      <c r="G26" s="147">
        <f>IF(AND(F26-E26&gt;0),F26-E26,"")</f>
        <v/>
      </c>
      <c r="H26" s="771" t="n"/>
      <c r="I26" s="805" t="n"/>
    </row>
    <row r="27" ht="36.75" customHeight="1">
      <c r="A27" s="378" t="n"/>
      <c r="B27" s="150" t="n"/>
      <c r="C27" s="145" t="n"/>
      <c r="D27" s="145" t="n"/>
      <c r="E27" s="146" t="n"/>
      <c r="F27" s="146" t="n"/>
      <c r="G27" s="147">
        <f>IF(AND(F27-E27&gt;0),F27-E27,"")</f>
        <v/>
      </c>
      <c r="H27" s="771" t="n"/>
      <c r="I27" s="805" t="n"/>
    </row>
    <row r="28" ht="36.75" customHeight="1">
      <c r="A28" s="378" t="n"/>
      <c r="B28" s="150" t="n"/>
      <c r="C28" s="145" t="n"/>
      <c r="D28" s="145" t="n"/>
      <c r="E28" s="146" t="n"/>
      <c r="F28" s="146" t="n"/>
      <c r="G28" s="147">
        <f>IF(AND(F28-E28&gt;0),F28-E28,"")</f>
        <v/>
      </c>
      <c r="H28" s="771" t="n"/>
      <c r="I28" s="805" t="n"/>
    </row>
    <row r="29" ht="36.75" customHeight="1">
      <c r="A29" s="378" t="n"/>
      <c r="B29" s="150" t="n"/>
      <c r="C29" s="145" t="n"/>
      <c r="D29" s="145" t="n"/>
      <c r="E29" s="146" t="n"/>
      <c r="F29" s="146" t="n"/>
      <c r="G29" s="147">
        <f>IF(AND(F29-E29&gt;0),F29-E29,"")</f>
        <v/>
      </c>
      <c r="H29" s="771" t="n"/>
      <c r="I29" s="805" t="n"/>
    </row>
    <row r="30" ht="36.75" customHeight="1">
      <c r="A30" s="378" t="n"/>
      <c r="B30" s="150" t="n"/>
      <c r="C30" s="145" t="n"/>
      <c r="D30" s="145" t="n"/>
      <c r="E30" s="146" t="n"/>
      <c r="F30" s="146" t="n"/>
      <c r="G30" s="147">
        <f>IF(AND(F30-E30&gt;0),F30-E30,"")</f>
        <v/>
      </c>
      <c r="H30" s="771" t="n"/>
      <c r="I30" s="805" t="n"/>
    </row>
    <row r="31" ht="36.75" customHeight="1">
      <c r="A31" s="378" t="n"/>
      <c r="B31" s="150" t="n"/>
      <c r="C31" s="145" t="n"/>
      <c r="D31" s="145" t="n"/>
      <c r="E31" s="146" t="n"/>
      <c r="F31" s="146" t="n"/>
      <c r="G31" s="147">
        <f>IF(AND(F31-E31&gt;0),F31-E31,"")</f>
        <v/>
      </c>
      <c r="H31" s="771" t="n"/>
      <c r="I31" s="805" t="n"/>
    </row>
    <row r="32" ht="36.75" customHeight="1">
      <c r="A32" s="378" t="n"/>
      <c r="B32" s="150" t="n"/>
      <c r="C32" s="145" t="n"/>
      <c r="D32" s="145" t="n"/>
      <c r="E32" s="146" t="n"/>
      <c r="F32" s="146" t="n"/>
      <c r="G32" s="147">
        <f>IF(AND(F32-E32&gt;0),F32-E32,"")</f>
        <v/>
      </c>
      <c r="H32" s="771" t="n"/>
      <c r="I32" s="805" t="n"/>
    </row>
    <row r="33" ht="36.75" customHeight="1">
      <c r="A33" s="378" t="n"/>
      <c r="B33" s="150" t="n"/>
      <c r="C33" s="145" t="n"/>
      <c r="D33" s="145" t="n"/>
      <c r="E33" s="146" t="n"/>
      <c r="F33" s="146" t="n"/>
      <c r="G33" s="147">
        <f>IF(AND(F33-E33&gt;0),F33-E33,"")</f>
        <v/>
      </c>
      <c r="H33" s="771" t="n"/>
      <c r="I33" s="805" t="n"/>
    </row>
    <row r="34" ht="36.75" customHeight="1">
      <c r="A34" s="378" t="n"/>
      <c r="B34" s="150" t="n"/>
      <c r="C34" s="145" t="n"/>
      <c r="D34" s="145" t="n"/>
      <c r="E34" s="146" t="n"/>
      <c r="F34" s="146" t="n"/>
      <c r="G34" s="147">
        <f>IF(AND(F34-E34&gt;0),F34-E34,"")</f>
        <v/>
      </c>
      <c r="H34" s="771" t="n"/>
      <c r="I34" s="805" t="n"/>
    </row>
    <row r="35" ht="36.75" customHeight="1">
      <c r="A35" s="378" t="n"/>
      <c r="B35" s="150" t="n"/>
      <c r="C35" s="145" t="n"/>
      <c r="D35" s="145" t="n"/>
      <c r="E35" s="146" t="n"/>
      <c r="F35" s="146" t="n"/>
      <c r="G35" s="147">
        <f>IF(AND(F35-E35&gt;0),F35-E35,"")</f>
        <v/>
      </c>
      <c r="H35" s="771" t="n"/>
      <c r="I35" s="805" t="n"/>
    </row>
    <row r="36" ht="36.75" customHeight="1">
      <c r="A36" s="378" t="n"/>
      <c r="B36" s="150" t="n"/>
      <c r="C36" s="145" t="n"/>
      <c r="D36" s="145" t="n"/>
      <c r="E36" s="146" t="n"/>
      <c r="F36" s="146" t="n"/>
      <c r="G36" s="147">
        <f>IF(AND(F36-E36&gt;0),F36-E36,"")</f>
        <v/>
      </c>
      <c r="H36" s="771" t="n"/>
      <c r="I36" s="805" t="n"/>
    </row>
    <row r="37" ht="36.75" customHeight="1">
      <c r="A37" s="378" t="n"/>
      <c r="B37" s="150" t="n"/>
      <c r="C37" s="145" t="n"/>
      <c r="D37" s="145" t="n"/>
      <c r="E37" s="146" t="n"/>
      <c r="F37" s="146" t="n"/>
      <c r="G37" s="147">
        <f>IF(AND(F37-E37&gt;0),F37-E37,"")</f>
        <v/>
      </c>
      <c r="H37" s="771" t="n"/>
      <c r="I37" s="805" t="n"/>
    </row>
    <row r="38" ht="36.75" customHeight="1">
      <c r="A38" s="378" t="n"/>
      <c r="B38" s="150" t="n"/>
      <c r="C38" s="145" t="n"/>
      <c r="D38" s="145" t="n"/>
      <c r="E38" s="146" t="n"/>
      <c r="F38" s="146" t="n"/>
      <c r="G38" s="147">
        <f>IF(AND(F38-E38&gt;0),F38-E38,"")</f>
        <v/>
      </c>
      <c r="H38" s="771" t="n"/>
      <c r="I38" s="805" t="n"/>
    </row>
    <row r="39" ht="36.75" customHeight="1">
      <c r="A39" s="378" t="n"/>
      <c r="B39" s="150" t="n"/>
      <c r="C39" s="145" t="n"/>
      <c r="D39" s="145" t="n"/>
      <c r="E39" s="146" t="n"/>
      <c r="F39" s="146" t="n"/>
      <c r="G39" s="147">
        <f>IF(AND(F39-E39&gt;0),F39-E39,"")</f>
        <v/>
      </c>
      <c r="H39" s="771" t="n"/>
      <c r="I39" s="805" t="n"/>
    </row>
    <row r="40" ht="36.75" customHeight="1">
      <c r="A40" s="378" t="n"/>
      <c r="B40" s="150" t="n"/>
      <c r="C40" s="145" t="n"/>
      <c r="D40" s="145" t="n"/>
      <c r="E40" s="146" t="n"/>
      <c r="F40" s="146" t="n"/>
      <c r="G40" s="147">
        <f>IF(AND(F40-E40&gt;0),F40-E40,"")</f>
        <v/>
      </c>
      <c r="H40" s="771" t="n"/>
      <c r="I40" s="805" t="n"/>
    </row>
    <row r="41" ht="36.75" customHeight="1">
      <c r="A41" s="378" t="n"/>
      <c r="B41" s="150" t="n"/>
      <c r="C41" s="145" t="n"/>
      <c r="D41" s="145" t="n"/>
      <c r="E41" s="146" t="n"/>
      <c r="F41" s="146" t="n"/>
      <c r="G41" s="147">
        <f>IF(AND(F41-E41&gt;0),F41-E41,"")</f>
        <v/>
      </c>
      <c r="H41" s="771" t="n"/>
      <c r="I41" s="805" t="n"/>
    </row>
    <row r="42" ht="36.75" customHeight="1">
      <c r="A42" s="378" t="n"/>
      <c r="B42" s="150" t="n"/>
      <c r="C42" s="145" t="n"/>
      <c r="D42" s="145" t="n"/>
      <c r="E42" s="146" t="n"/>
      <c r="F42" s="146" t="n"/>
      <c r="G42" s="147">
        <f>IF(AND(F42-E42&gt;0),F42-E42,"")</f>
        <v/>
      </c>
      <c r="H42" s="771" t="n"/>
      <c r="I42" s="805" t="n"/>
    </row>
    <row r="43" ht="36.75" customHeight="1">
      <c r="A43" s="378" t="n"/>
      <c r="B43" s="150" t="n"/>
      <c r="C43" s="145" t="n"/>
      <c r="D43" s="145" t="n"/>
      <c r="E43" s="146" t="n"/>
      <c r="F43" s="146" t="n"/>
      <c r="G43" s="147">
        <f>IF(AND(F43-E43&gt;0),F43-E43,"")</f>
        <v/>
      </c>
      <c r="H43" s="771" t="n"/>
      <c r="I43" s="805" t="n"/>
    </row>
    <row r="44" ht="36.75" customHeight="1">
      <c r="A44" s="378" t="n"/>
      <c r="B44" s="150" t="n"/>
      <c r="C44" s="145" t="n"/>
      <c r="D44" s="145" t="n"/>
      <c r="E44" s="146" t="n"/>
      <c r="F44" s="146" t="n"/>
      <c r="G44" s="147">
        <f>IF(AND(F44-E44&gt;0),F44-E44,"")</f>
        <v/>
      </c>
      <c r="H44" s="771" t="n"/>
      <c r="I44" s="805" t="n"/>
    </row>
    <row r="45" ht="36.75" customHeight="1">
      <c r="A45" s="378" t="n"/>
      <c r="B45" s="150" t="n"/>
      <c r="C45" s="145" t="n"/>
      <c r="D45" s="145" t="n"/>
      <c r="E45" s="146" t="n"/>
      <c r="F45" s="146" t="n"/>
      <c r="G45" s="147">
        <f>IF(AND(F45-E45&gt;0),F45-E45,"")</f>
        <v/>
      </c>
      <c r="H45" s="771" t="n"/>
      <c r="I45" s="805" t="n"/>
    </row>
    <row r="46" ht="36.75" customHeight="1">
      <c r="A46" s="378" t="n"/>
      <c r="B46" s="150" t="n"/>
      <c r="C46" s="145" t="n"/>
      <c r="D46" s="145" t="n"/>
      <c r="E46" s="146" t="n"/>
      <c r="F46" s="146" t="n"/>
      <c r="G46" s="147">
        <f>IF(AND(F46-E46&gt;0),F46-E46,"")</f>
        <v/>
      </c>
      <c r="H46" s="771" t="n"/>
      <c r="I46" s="805" t="n"/>
    </row>
    <row r="47" ht="36.75" customHeight="1" thickBot="1">
      <c r="A47" s="378" t="n"/>
      <c r="B47" s="151" t="n"/>
      <c r="C47" s="148" t="n"/>
      <c r="D47" s="148" t="n"/>
      <c r="E47" s="149" t="n"/>
      <c r="F47" s="149" t="n"/>
      <c r="G47" s="356">
        <f>IF(AND(F47-E47&gt;0),F47-E47,"")</f>
        <v/>
      </c>
      <c r="H47" s="788" t="n"/>
      <c r="I47" s="896" t="n"/>
    </row>
    <row r="48" ht="17.25" customHeight="1" thickBot="1"/>
    <row r="49" ht="30.4" customHeight="1" thickBot="1">
      <c r="A49" s="605" t="n"/>
      <c r="B49" s="783" t="inlineStr">
        <is>
          <t>Arrêts internes</t>
        </is>
      </c>
      <c r="C49" s="784" t="inlineStr">
        <is>
          <t>E_MAN</t>
        </is>
      </c>
      <c r="D49" s="784" t="inlineStr">
        <is>
          <t>M_MEC</t>
        </is>
      </c>
      <c r="E49" s="784" t="inlineStr">
        <is>
          <t>M_ELEC</t>
        </is>
      </c>
      <c r="F49" s="784" t="inlineStr">
        <is>
          <t>M_INS</t>
        </is>
      </c>
      <c r="G49" s="784" t="inlineStr">
        <is>
          <t>M_REG</t>
        </is>
      </c>
      <c r="H49" s="784" t="inlineStr">
        <is>
          <t>M_BDM</t>
        </is>
      </c>
    </row>
    <row r="50" ht="78" customHeight="1" thickBot="1">
      <c r="A50" s="11" t="n"/>
      <c r="B50" s="894" t="n"/>
      <c r="C50" s="784" t="inlineStr">
        <is>
          <t>Exploitation Manutention</t>
        </is>
      </c>
      <c r="D50" s="784" t="inlineStr">
        <is>
          <t xml:space="preserve">Maintenance Mécanique </t>
        </is>
      </c>
      <c r="E50" s="784" t="inlineStr">
        <is>
          <t xml:space="preserve">Maintenance Electrique </t>
        </is>
      </c>
      <c r="F50" s="784" t="inlineStr">
        <is>
          <t xml:space="preserve">Maintenance Installation </t>
        </is>
      </c>
      <c r="G50" s="784" t="inlineStr">
        <is>
          <t xml:space="preserve">Maintenance Régulation </t>
        </is>
      </c>
      <c r="H50" s="784" t="inlineStr">
        <is>
          <t>Maintenance Planifié</t>
        </is>
      </c>
    </row>
    <row r="51" ht="26.1" customHeight="1" thickBot="1">
      <c r="A51" s="11" t="n"/>
      <c r="B51" s="895" t="n"/>
      <c r="C51" s="104">
        <f>SUMIFS('Arrêt RP5'!$G$18:$G$47,'Arrêt RP5'!$D$18:$D$47,C49)</f>
        <v/>
      </c>
      <c r="D51" s="104">
        <f>SUMIFS('Arrêt RP5'!$G$18:$G$47,'Arrêt RP5'!$D$18:$D$47,D49)</f>
        <v/>
      </c>
      <c r="E51" s="104">
        <f>SUMIFS('Arrêt RP5'!$G$18:$G$47,'Arrêt RP5'!$D$18:$D$47,E49)</f>
        <v/>
      </c>
      <c r="F51" s="104">
        <f>SUMIFS('Arrêt RP5'!$G$18:$G$47,'Arrêt RP5'!$D$18:$D$47,F49)</f>
        <v/>
      </c>
      <c r="G51" s="104">
        <f>SUMIFS('Arrêt RP5'!$G$18:$G$47,'Arrêt RP5'!$D$18:$D$47,G49)</f>
        <v/>
      </c>
      <c r="H51" s="104">
        <f>SUMIFS('Arrêt RP5'!$G$18:$G$47,'Arrêt RP5'!$D$18:$D$47,H49)</f>
        <v/>
      </c>
    </row>
    <row r="52" ht="26.1" customHeight="1" thickBot="1">
      <c r="A52" s="11" t="n"/>
      <c r="B52" s="154" t="inlineStr">
        <is>
          <t>Fréquence</t>
        </is>
      </c>
      <c r="C52" s="153">
        <f>COUNTIF('Arrêt RP5'!$D$18:$D$47,C49)</f>
        <v/>
      </c>
      <c r="D52" s="153">
        <f>COUNTIF('Arrêt RP5'!$D$18:$D$47,D49)</f>
        <v/>
      </c>
      <c r="E52" s="153">
        <f>COUNTIF('Arrêt RP5'!$D$18:$D$47,E49)</f>
        <v/>
      </c>
      <c r="F52" s="153">
        <f>COUNTIF('Arrêt RP5'!$D$18:$D$47,F49)</f>
        <v/>
      </c>
      <c r="G52" s="153">
        <f>COUNTIF('Arrêt RP5'!$D$18:$D$47,G49)</f>
        <v/>
      </c>
      <c r="H52" s="153">
        <f>COUNTIF('Arrêt RP5'!$D$18:$D$47,H49)</f>
        <v/>
      </c>
    </row>
    <row r="53" ht="23.25" customHeight="1" thickBot="1">
      <c r="A53" s="11" t="n"/>
      <c r="B53" s="12" t="n"/>
    </row>
    <row r="54" ht="30" customHeight="1" thickBot="1">
      <c r="A54" s="11" t="n"/>
      <c r="B54" s="782" t="inlineStr">
        <is>
          <t>Arrêts externes</t>
        </is>
      </c>
      <c r="C54" s="784" t="inlineStr">
        <is>
          <t>E_LAV</t>
        </is>
      </c>
      <c r="D54" s="784" t="inlineStr">
        <is>
          <t>X_LBA</t>
        </is>
      </c>
      <c r="E54" s="784" t="inlineStr">
        <is>
          <t>X_LME</t>
        </is>
      </c>
      <c r="F54" s="784" t="inlineStr">
        <is>
          <t>X_EXT</t>
        </is>
      </c>
      <c r="G54" s="784" t="inlineStr">
        <is>
          <t>X_UBI</t>
        </is>
      </c>
      <c r="H54" s="13" t="n"/>
      <c r="I54" s="13" t="n"/>
    </row>
    <row r="55" ht="43.5" customHeight="1" thickBot="1">
      <c r="A55" s="11" t="n"/>
      <c r="B55" s="894" t="n"/>
      <c r="C55" s="784" t="inlineStr">
        <is>
          <t>Laverie Daoui</t>
        </is>
      </c>
      <c r="D55" s="784" t="inlineStr">
        <is>
          <t>Beni-Amir</t>
        </is>
      </c>
      <c r="E55" s="784" t="inlineStr">
        <is>
          <t>Service électrique Khouribga</t>
        </is>
      </c>
      <c r="F55" s="784" t="inlineStr">
        <is>
          <t>Extraction Mine</t>
        </is>
      </c>
      <c r="G55" s="784" t="inlineStr">
        <is>
          <t>BENI IDIR</t>
        </is>
      </c>
      <c r="H55" s="14" t="n"/>
      <c r="I55" s="14" t="n"/>
    </row>
    <row r="56" ht="43.5" customHeight="1" thickBot="1">
      <c r="A56" s="11" t="n"/>
      <c r="B56" s="894" t="n"/>
      <c r="C56" s="895" t="n"/>
      <c r="D56" s="895" t="n"/>
      <c r="E56" s="895" t="n"/>
      <c r="F56" s="895" t="n"/>
      <c r="G56" s="895" t="n"/>
      <c r="H56" s="15" t="n"/>
      <c r="I56" s="15" t="n"/>
    </row>
    <row r="57" ht="26.1" customHeight="1" thickBot="1">
      <c r="A57" s="378" t="n"/>
      <c r="B57" s="895" t="n"/>
      <c r="C57" s="104">
        <f>SUMIFS('Arrêt RP5'!$G$18:$G$47,'Arrêt RP5'!$D$18:$D$47,C54)</f>
        <v/>
      </c>
      <c r="D57" s="104">
        <f>SUMIFS('Arrêt RP5'!$G$18:$G$47,'Arrêt RP5'!$D$18:$D$47,D54)</f>
        <v/>
      </c>
      <c r="E57" s="104">
        <f>SUMIFS('Arrêt RP5'!$G$18:$G$47,'Arrêt RP5'!$D$18:$D$47,E54)</f>
        <v/>
      </c>
      <c r="F57" s="104">
        <f>SUMIFS('Arrêt RP5'!$G$18:$G$47,'Arrêt RP5'!$D$18:$D$47,F54)</f>
        <v/>
      </c>
      <c r="G57" s="104">
        <f>SUMIFS('Arrêt RP5'!$G$18:$G$47,'Arrêt RP5'!$D$18:$D$47,G54)</f>
        <v/>
      </c>
      <c r="H57" s="16" t="n"/>
      <c r="I57" s="16" t="n"/>
    </row>
    <row r="58" ht="26.1" customHeight="1" thickBot="1">
      <c r="A58" s="378" t="n"/>
      <c r="B58" s="154" t="inlineStr">
        <is>
          <t>Fréquence</t>
        </is>
      </c>
      <c r="C58" s="153">
        <f>COUNTIF('Arrêt RP5'!$D$18:$D$47,C54)</f>
        <v/>
      </c>
      <c r="D58" s="153">
        <f>COUNTIF('Arrêt RP5'!$D$18:$D$47,D54)</f>
        <v/>
      </c>
      <c r="E58" s="153">
        <f>COUNTIF('Arrêt RP5'!$D$18:$D$47,E54)</f>
        <v/>
      </c>
      <c r="F58" s="153">
        <f>COUNTIF('Arrêt RP5'!$D$18:$D$47,F54)</f>
        <v/>
      </c>
      <c r="G58" s="153">
        <f>COUNTIF('Arrêt RP5'!$D$18:$D$47,G54)</f>
        <v/>
      </c>
      <c r="H58" s="16" t="n"/>
      <c r="I58" s="16" t="n"/>
    </row>
    <row r="59" ht="18.75" customHeight="1" thickBot="1">
      <c r="A59" s="378" t="n"/>
      <c r="C59" s="17" t="n"/>
      <c r="D59" s="17" t="n"/>
      <c r="E59" s="17" t="n"/>
      <c r="F59" s="17" t="n"/>
      <c r="G59" s="17" t="n"/>
      <c r="H59" s="17" t="n"/>
      <c r="I59" s="17" t="n"/>
    </row>
    <row r="60" ht="43.5" customHeight="1" thickBot="1">
      <c r="A60" s="378" t="n"/>
      <c r="B60" s="781" t="inlineStr">
        <is>
          <t>Synthèse des arrêts</t>
        </is>
      </c>
      <c r="C60" s="784" t="inlineStr">
        <is>
          <t>Total Arrêts</t>
        </is>
      </c>
      <c r="D60" s="784" t="inlineStr">
        <is>
          <t>Total Heures disponibles</t>
        </is>
      </c>
      <c r="E60" s="784" t="inlineStr">
        <is>
          <t>Total Heures de marche HM</t>
        </is>
      </c>
      <c r="F60" s="784" t="inlineStr">
        <is>
          <t>Taux de disponibilité</t>
        </is>
      </c>
      <c r="G60" s="784" t="inlineStr">
        <is>
          <t>Taux d’utilisation TU</t>
        </is>
      </c>
      <c r="H60" s="784" t="inlineStr">
        <is>
          <t>OEE</t>
        </is>
      </c>
    </row>
    <row r="61" ht="43.5" customHeight="1" thickBot="1">
      <c r="B61" s="895" t="n"/>
      <c r="C61" s="105">
        <f>+C51+D51+E51+F51+G51+H51+C57+D57+E57+F57+G57</f>
        <v/>
      </c>
      <c r="D61" s="105">
        <f>D63-D51-E51-F51-G51-H51+E63</f>
        <v/>
      </c>
      <c r="E61" s="105">
        <f>D63+E63-C61</f>
        <v/>
      </c>
      <c r="F61" s="106">
        <f>+D61/D63</f>
        <v/>
      </c>
      <c r="G61" s="106">
        <f>E61/D61</f>
        <v/>
      </c>
      <c r="H61" s="107">
        <f>E61/D63</f>
        <v/>
      </c>
    </row>
    <row r="62">
      <c r="C62" s="378" t="inlineStr">
        <is>
          <t xml:space="preserve">                                             </t>
        </is>
      </c>
    </row>
    <row r="63" hidden="1" ht="19.5" customHeight="1">
      <c r="D63" s="78" t="n">
        <v>0.9993055555555556</v>
      </c>
      <c r="E63" s="78" t="n">
        <v>0.0006944444444444445</v>
      </c>
    </row>
    <row r="64" hidden="1" ht="19.5" customHeight="1">
      <c r="D64" s="78" t="n"/>
      <c r="E64" s="78" t="n"/>
    </row>
  </sheetData>
  <mergeCells count="48">
    <mergeCell ref="H35:I35"/>
    <mergeCell ref="H20:I20"/>
    <mergeCell ref="H38:I38"/>
    <mergeCell ref="B49:B51"/>
    <mergeCell ref="E55:E56"/>
    <mergeCell ref="H29:I29"/>
    <mergeCell ref="C2:D3"/>
    <mergeCell ref="H43:I43"/>
    <mergeCell ref="H41:I41"/>
    <mergeCell ref="F6:G6"/>
    <mergeCell ref="F55:F56"/>
    <mergeCell ref="H31:I31"/>
    <mergeCell ref="H44:I44"/>
    <mergeCell ref="H40:I40"/>
    <mergeCell ref="B9:C10"/>
    <mergeCell ref="H39:I39"/>
    <mergeCell ref="H34:I34"/>
    <mergeCell ref="H25:I25"/>
    <mergeCell ref="H21:I21"/>
    <mergeCell ref="B11:C11"/>
    <mergeCell ref="H46:I46"/>
    <mergeCell ref="E10:I10"/>
    <mergeCell ref="B60:B61"/>
    <mergeCell ref="C55:C56"/>
    <mergeCell ref="H36:I36"/>
    <mergeCell ref="G55:G56"/>
    <mergeCell ref="E9:I9"/>
    <mergeCell ref="H17:I17"/>
    <mergeCell ref="H32:I32"/>
    <mergeCell ref="H45:I45"/>
    <mergeCell ref="H19:I19"/>
    <mergeCell ref="H37:I37"/>
    <mergeCell ref="D55:D56"/>
    <mergeCell ref="H22:I22"/>
    <mergeCell ref="H47:I47"/>
    <mergeCell ref="H28:I28"/>
    <mergeCell ref="F11:H11"/>
    <mergeCell ref="H27:I27"/>
    <mergeCell ref="C4:D5"/>
    <mergeCell ref="H24:I24"/>
    <mergeCell ref="H42:I42"/>
    <mergeCell ref="H18:I18"/>
    <mergeCell ref="H33:I33"/>
    <mergeCell ref="H23:I23"/>
    <mergeCell ref="B14:I15"/>
    <mergeCell ref="B54:B57"/>
    <mergeCell ref="H30:I30"/>
    <mergeCell ref="H26:I26"/>
  </mergeCells>
  <dataValidations count="3">
    <dataValidation sqref="C18:C47" showDropDown="0" showInputMessage="1" showErrorMessage="1" allowBlank="0" type="list">
      <formula1>INDIRECT(B18)</formula1>
    </dataValidation>
    <dataValidation sqref="H18:I30 H32:I47" showDropDown="0" showInputMessage="1" showErrorMessage="1" allowBlank="0" type="list">
      <formula1>INDIRECT(D18)</formula1>
    </dataValidation>
    <dataValidation sqref="H31:I31" showDropDown="0" showInputMessage="1" showErrorMessage="1" allowBlank="0" type="list">
      <formula1>INDIRECT(D30)</formula1>
    </dataValidation>
  </dataValidations>
  <printOptions horizontalCentered="1" verticalCentered="1"/>
  <pageMargins left="0" right="0.1968503937007874" top="0" bottom="0" header="0" footer="0"/>
  <pageSetup orientation="portrait" paperSize="9" scale="37" horizontalDpi="180" verticalDpi="180"/>
</worksheet>
</file>

<file path=xl/worksheets/sheet11.xml><?xml version="1.0" encoding="utf-8"?>
<worksheet xmlns="http://schemas.openxmlformats.org/spreadsheetml/2006/main">
  <sheetPr codeName="Feuil11">
    <outlinePr summaryBelow="1" summaryRight="1"/>
    <pageSetUpPr fitToPage="1"/>
  </sheetPr>
  <dimension ref="A1:J62"/>
  <sheetViews>
    <sheetView showGridLines="0" view="pageBreakPreview" topLeftCell="A4" zoomScale="85" zoomScaleNormal="55" zoomScaleSheetLayoutView="85" workbookViewId="0">
      <selection activeCell="D18" sqref="D18:I20"/>
    </sheetView>
  </sheetViews>
  <sheetFormatPr baseColWidth="8" defaultColWidth="11.25" defaultRowHeight="12.75"/>
  <cols>
    <col width="5.75" customWidth="1" style="378" min="1" max="1"/>
    <col width="22.5" customWidth="1" style="378" min="2" max="2"/>
    <col width="28.25" customWidth="1" style="378" min="3" max="3"/>
    <col width="25.125" customWidth="1" style="378" min="4" max="4"/>
    <col width="25.25" customWidth="1" style="378" min="5" max="5"/>
    <col width="27.125" customWidth="1" style="378" min="6" max="6"/>
    <col width="25.125" customWidth="1" style="378" min="7" max="7"/>
    <col width="54.5" customWidth="1" style="378" min="8" max="8"/>
    <col width="26.5" customWidth="1" style="378" min="9" max="9"/>
    <col width="11.25" customWidth="1" style="378" min="10" max="16384"/>
  </cols>
  <sheetData>
    <row r="1" ht="21.6" customHeight="1" thickBot="1">
      <c r="A1" s="5" t="n"/>
    </row>
    <row r="2" ht="34.5" customHeight="1" thickBot="1">
      <c r="B2" s="19" t="n"/>
      <c r="C2" s="571">
        <f>TODAY()</f>
        <v/>
      </c>
      <c r="E2" s="26" t="n"/>
      <c r="F2" s="26" t="n"/>
      <c r="G2" s="19" t="n"/>
      <c r="H2" s="19" t="n"/>
      <c r="I2" s="19" t="n"/>
      <c r="J2" s="28" t="n"/>
    </row>
    <row r="3" ht="34.5" customHeight="1" thickBot="1">
      <c r="B3" s="19" t="n"/>
      <c r="E3" s="26" t="n"/>
      <c r="F3" s="26" t="n"/>
      <c r="G3" s="21" t="n"/>
      <c r="H3" s="19" t="n"/>
      <c r="I3" s="19" t="n"/>
      <c r="J3" s="28" t="n"/>
    </row>
    <row r="4" ht="34.5" customHeight="1" thickBot="1">
      <c r="B4" s="19" t="n"/>
      <c r="C4" s="789">
        <f>NOW()</f>
        <v/>
      </c>
      <c r="E4" s="26" t="n"/>
      <c r="F4" s="26" t="n"/>
      <c r="G4" s="21" t="n"/>
      <c r="H4" s="19" t="n"/>
      <c r="I4" s="19" t="n"/>
      <c r="J4" s="28" t="n"/>
    </row>
    <row r="5" ht="34.5" customHeight="1" thickBot="1">
      <c r="B5" s="19" t="n"/>
      <c r="E5" s="26" t="n"/>
      <c r="F5" s="26" t="n"/>
      <c r="G5" s="21" t="n"/>
      <c r="H5" s="23" t="n"/>
      <c r="I5" s="23" t="n"/>
      <c r="J5" s="28" t="n"/>
    </row>
    <row r="6" ht="34.5" customHeight="1">
      <c r="B6" s="19" t="n"/>
      <c r="C6" s="24" t="n"/>
      <c r="D6" s="25" t="n"/>
      <c r="E6" s="26" t="n"/>
      <c r="F6" s="573" t="n"/>
      <c r="H6" s="574" t="n"/>
      <c r="I6" s="42" t="n"/>
      <c r="J6" s="29" t="n"/>
    </row>
    <row r="7" ht="21.6" customHeight="1">
      <c r="A7" s="5" t="n"/>
    </row>
    <row r="8" ht="21.6" customHeight="1" thickBot="1">
      <c r="A8" s="5" t="n"/>
    </row>
    <row r="9" ht="36" customHeight="1" thickBot="1">
      <c r="A9" s="5" t="n"/>
      <c r="B9" s="790" t="n"/>
      <c r="C9" s="791" t="n"/>
      <c r="D9" s="38" t="inlineStr">
        <is>
          <t>Formulaire</t>
        </is>
      </c>
      <c r="E9" s="593" t="inlineStr">
        <is>
          <t>PRL-LA-IT-06-F-01</t>
        </is>
      </c>
      <c r="F9" s="792" t="n"/>
      <c r="G9" s="792" t="n"/>
      <c r="H9" s="792" t="n"/>
      <c r="I9" s="793" t="n"/>
    </row>
    <row r="10" ht="38.25" customHeight="1" thickBot="1">
      <c r="A10" s="5" t="n"/>
      <c r="B10" s="794" t="n"/>
      <c r="C10" s="795" t="n"/>
      <c r="D10" s="38" t="inlineStr">
        <is>
          <t>Entité</t>
        </is>
      </c>
      <c r="E10" s="594" t="inlineStr">
        <is>
          <t>Entités de Traitement de Site de Khouribga</t>
        </is>
      </c>
      <c r="F10" s="792" t="n"/>
      <c r="G10" s="792" t="n"/>
      <c r="H10" s="792" t="n"/>
      <c r="I10" s="793" t="n"/>
    </row>
    <row r="11" ht="45" customHeight="1" thickBot="1">
      <c r="A11" s="5" t="n"/>
      <c r="B11" s="893" t="inlineStr">
        <is>
          <t>DIRECTION EXECUTIVE
OPERATIONSINDUSTRIELLES
DIRECTION DE SITE  DE KHOURIBGA</t>
        </is>
      </c>
      <c r="C11" s="797" t="n"/>
      <c r="D11" s="38" t="inlineStr">
        <is>
          <t>Version</t>
        </is>
      </c>
      <c r="E11" s="593" t="n">
        <v>5</v>
      </c>
      <c r="F11" s="594" t="inlineStr">
        <is>
          <t xml:space="preserve">Applicable le </t>
        </is>
      </c>
      <c r="G11" s="792" t="n"/>
      <c r="H11" s="793" t="n"/>
      <c r="I11" s="37" t="n">
        <v>45000</v>
      </c>
    </row>
    <row r="12" ht="26.25" customHeight="1">
      <c r="A12" s="5" t="n"/>
      <c r="B12" s="32" t="inlineStr">
        <is>
          <t>OIK/BD/E- 428</t>
        </is>
      </c>
      <c r="C12" s="30" t="n"/>
      <c r="D12" s="31" t="n"/>
    </row>
    <row r="13" ht="5.25" customHeight="1"/>
    <row r="14" ht="24" customHeight="1">
      <c r="B14" s="772" t="inlineStr">
        <is>
          <t>Suivi des arrêts</t>
        </is>
      </c>
    </row>
    <row r="15" ht="21" customHeight="1">
      <c r="A15" s="6" t="n"/>
    </row>
    <row r="16" ht="33.75" customHeight="1" thickBot="1">
      <c r="A16" s="7" t="n"/>
      <c r="B16" s="167" t="inlineStr">
        <is>
          <t>Installation : RP TS</t>
        </is>
      </c>
      <c r="E16" s="36" t="n"/>
      <c r="H16" s="35" t="inlineStr">
        <is>
          <t>Journée du :</t>
        </is>
      </c>
      <c r="I16" s="584">
        <f>'Arrêt RPT1'!I16</f>
        <v/>
      </c>
    </row>
    <row r="17" ht="64.5" customHeight="1" thickBot="1">
      <c r="A17" s="8" t="n"/>
      <c r="B17" s="618" t="inlineStr">
        <is>
          <t>Axe</t>
        </is>
      </c>
      <c r="C17" s="128" t="inlineStr">
        <is>
          <t>Organe</t>
        </is>
      </c>
      <c r="D17" s="618" t="inlineStr">
        <is>
          <t>Sce</t>
        </is>
      </c>
      <c r="E17" s="618" t="inlineStr">
        <is>
          <t>Début</t>
        </is>
      </c>
      <c r="F17" s="618" t="inlineStr">
        <is>
          <t>Fin</t>
        </is>
      </c>
      <c r="G17" s="618" t="inlineStr">
        <is>
          <t>Durée</t>
        </is>
      </c>
      <c r="H17" s="618" t="inlineStr">
        <is>
          <t>Nature des arrêts</t>
        </is>
      </c>
      <c r="I17" s="793" t="n"/>
    </row>
    <row r="18" ht="36.75" customHeight="1">
      <c r="A18" s="378" t="n"/>
      <c r="B18" s="150" t="n"/>
      <c r="C18" s="145" t="n"/>
      <c r="D18" s="145" t="n"/>
      <c r="E18" s="146" t="n"/>
      <c r="F18" s="146" t="n"/>
      <c r="G18" s="147" t="n"/>
      <c r="H18" s="771" t="n"/>
      <c r="I18" s="805" t="n"/>
    </row>
    <row r="19" ht="36.75" customHeight="1">
      <c r="A19" s="378" t="n"/>
      <c r="B19" s="150" t="n"/>
      <c r="C19" s="145" t="n"/>
      <c r="D19" s="145" t="n"/>
      <c r="E19" s="146" t="n"/>
      <c r="F19" s="146" t="n"/>
      <c r="G19" s="147" t="n"/>
      <c r="H19" s="771" t="n"/>
      <c r="I19" s="805" t="n"/>
    </row>
    <row r="20" ht="36.75" customHeight="1">
      <c r="A20" s="378" t="n"/>
      <c r="B20" s="150" t="n"/>
      <c r="C20" s="145" t="n"/>
      <c r="D20" s="145" t="n"/>
      <c r="E20" s="146" t="n"/>
      <c r="F20" s="146" t="n"/>
      <c r="G20" s="147" t="n"/>
      <c r="H20" s="771" t="n"/>
      <c r="I20" s="805" t="n"/>
    </row>
    <row r="21" ht="36.75" customHeight="1">
      <c r="A21" s="378" t="n"/>
      <c r="B21" s="150" t="n"/>
      <c r="C21" s="145" t="n"/>
      <c r="D21" s="145" t="n"/>
      <c r="E21" s="146" t="n"/>
      <c r="F21" s="146" t="n"/>
      <c r="G21" s="147">
        <f>IF(AND(F21-E21&gt;0),F21-E21,"")</f>
        <v/>
      </c>
      <c r="H21" s="771" t="n"/>
      <c r="I21" s="805" t="n"/>
    </row>
    <row r="22" ht="36.75" customHeight="1">
      <c r="A22" s="378" t="n"/>
      <c r="B22" s="150" t="n"/>
      <c r="C22" s="145" t="n"/>
      <c r="D22" s="145" t="n"/>
      <c r="E22" s="146" t="n"/>
      <c r="F22" s="146" t="n"/>
      <c r="G22" s="147">
        <f>IF(AND(F22-E22&gt;0),F22-E22,"")</f>
        <v/>
      </c>
      <c r="H22" s="771" t="n"/>
      <c r="I22" s="805" t="n"/>
    </row>
    <row r="23" ht="36.75" customHeight="1">
      <c r="A23" s="378" t="n"/>
      <c r="B23" s="150" t="n"/>
      <c r="C23" s="145" t="n"/>
      <c r="D23" s="145" t="n"/>
      <c r="E23" s="146" t="n"/>
      <c r="F23" s="146" t="n"/>
      <c r="G23" s="147">
        <f>IF(AND(F23-E23&gt;0),F23-E23,"")</f>
        <v/>
      </c>
      <c r="H23" s="771" t="n"/>
      <c r="I23" s="805" t="n"/>
    </row>
    <row r="24" ht="36.75" customHeight="1">
      <c r="A24" s="378" t="n"/>
      <c r="B24" s="150" t="n"/>
      <c r="C24" s="145" t="n"/>
      <c r="D24" s="145" t="n"/>
      <c r="E24" s="146" t="n"/>
      <c r="F24" s="146" t="n"/>
      <c r="G24" s="147">
        <f>IF(AND(F24-E24&gt;0),F24-E24,"")</f>
        <v/>
      </c>
      <c r="H24" s="771" t="n"/>
      <c r="I24" s="805" t="n"/>
    </row>
    <row r="25" ht="36.75" customHeight="1">
      <c r="A25" s="378" t="n"/>
      <c r="B25" s="150" t="n"/>
      <c r="C25" s="145" t="n"/>
      <c r="D25" s="145" t="n"/>
      <c r="E25" s="146" t="n"/>
      <c r="F25" s="146" t="n"/>
      <c r="G25" s="147">
        <f>IF(AND(F25-E25&gt;0),F25-E25,"")</f>
        <v/>
      </c>
      <c r="H25" s="771" t="n"/>
      <c r="I25" s="805" t="n"/>
    </row>
    <row r="26" ht="36.75" customHeight="1">
      <c r="A26" s="378" t="n"/>
      <c r="B26" s="150" t="n"/>
      <c r="C26" s="145" t="n"/>
      <c r="D26" s="145" t="n"/>
      <c r="E26" s="146" t="n"/>
      <c r="F26" s="146" t="n"/>
      <c r="G26" s="147">
        <f>IF(AND(F26-E26&gt;0),F26-E26,"")</f>
        <v/>
      </c>
      <c r="H26" s="771" t="n"/>
      <c r="I26" s="805" t="n"/>
    </row>
    <row r="27" ht="36.75" customHeight="1">
      <c r="A27" s="378" t="n"/>
      <c r="B27" s="150" t="n"/>
      <c r="C27" s="145" t="n"/>
      <c r="D27" s="145" t="n"/>
      <c r="E27" s="146" t="n"/>
      <c r="F27" s="146" t="n"/>
      <c r="G27" s="147">
        <f>IF(AND(F27-E27&gt;0),F27-E27,"")</f>
        <v/>
      </c>
      <c r="H27" s="771" t="n"/>
      <c r="I27" s="805" t="n"/>
    </row>
    <row r="28" ht="36.75" customHeight="1">
      <c r="A28" s="378" t="n"/>
      <c r="B28" s="150" t="n"/>
      <c r="C28" s="145" t="n"/>
      <c r="D28" s="145" t="n"/>
      <c r="E28" s="146" t="n"/>
      <c r="F28" s="146" t="n"/>
      <c r="G28" s="147">
        <f>IF(AND(F28-E28&gt;0),F28-E28,"")</f>
        <v/>
      </c>
      <c r="H28" s="771" t="n"/>
      <c r="I28" s="805" t="n"/>
    </row>
    <row r="29" ht="36.75" customHeight="1">
      <c r="A29" s="378" t="n"/>
      <c r="B29" s="150" t="n"/>
      <c r="C29" s="145" t="n"/>
      <c r="D29" s="145" t="n"/>
      <c r="E29" s="146" t="n"/>
      <c r="F29" s="146" t="n"/>
      <c r="G29" s="147">
        <f>IF(AND(F29-E29&gt;0),F29-E29,"")</f>
        <v/>
      </c>
      <c r="H29" s="771" t="n"/>
      <c r="I29" s="805" t="n"/>
    </row>
    <row r="30" ht="36.75" customHeight="1">
      <c r="A30" s="378" t="n"/>
      <c r="B30" s="150" t="n"/>
      <c r="C30" s="145" t="n"/>
      <c r="D30" s="145" t="n"/>
      <c r="E30" s="146" t="n"/>
      <c r="F30" s="146" t="n"/>
      <c r="G30" s="147">
        <f>IF(AND(F30-E30&gt;0),F30-E30,"")</f>
        <v/>
      </c>
      <c r="H30" s="771" t="n"/>
      <c r="I30" s="805" t="n"/>
    </row>
    <row r="31" ht="36.75" customHeight="1">
      <c r="A31" s="378" t="n"/>
      <c r="B31" s="150" t="n"/>
      <c r="C31" s="145" t="n"/>
      <c r="D31" s="145" t="n"/>
      <c r="E31" s="146" t="n"/>
      <c r="F31" s="146" t="n"/>
      <c r="G31" s="147">
        <f>IF(AND(F31-E31&gt;0),F31-E31,"")</f>
        <v/>
      </c>
      <c r="H31" s="771" t="n"/>
      <c r="I31" s="805" t="n"/>
    </row>
    <row r="32" ht="36.75" customHeight="1">
      <c r="A32" s="378" t="n"/>
      <c r="B32" s="150" t="n"/>
      <c r="C32" s="145" t="n"/>
      <c r="D32" s="145" t="n"/>
      <c r="E32" s="146" t="n"/>
      <c r="F32" s="146" t="n"/>
      <c r="G32" s="147">
        <f>IF(AND(F32-E32&gt;0),F32-E32,"")</f>
        <v/>
      </c>
      <c r="H32" s="771" t="n"/>
      <c r="I32" s="805" t="n"/>
    </row>
    <row r="33" ht="36.75" customHeight="1">
      <c r="A33" s="378" t="n"/>
      <c r="B33" s="150" t="n"/>
      <c r="C33" s="145" t="n"/>
      <c r="D33" s="145" t="n"/>
      <c r="E33" s="146" t="n"/>
      <c r="F33" s="146" t="n"/>
      <c r="G33" s="147">
        <f>IF(AND(F33-E33&gt;0),F33-E33,"")</f>
        <v/>
      </c>
      <c r="H33" s="771" t="n"/>
      <c r="I33" s="805" t="n"/>
    </row>
    <row r="34" ht="36.75" customHeight="1">
      <c r="A34" s="378" t="n"/>
      <c r="B34" s="150" t="n"/>
      <c r="C34" s="145" t="n"/>
      <c r="D34" s="145" t="n"/>
      <c r="E34" s="146" t="n"/>
      <c r="F34" s="146" t="n"/>
      <c r="G34" s="147">
        <f>IF(AND(F34-E34&gt;0),F34-E34,"")</f>
        <v/>
      </c>
      <c r="H34" s="771" t="n"/>
      <c r="I34" s="805" t="n"/>
    </row>
    <row r="35" ht="36.75" customHeight="1">
      <c r="A35" s="378" t="n"/>
      <c r="B35" s="150" t="n"/>
      <c r="C35" s="145" t="n"/>
      <c r="D35" s="145" t="n"/>
      <c r="E35" s="146" t="n"/>
      <c r="F35" s="146" t="n"/>
      <c r="G35" s="147">
        <f>IF(AND(F35-E35&gt;0),F35-E35,"")</f>
        <v/>
      </c>
      <c r="H35" s="771" t="n"/>
      <c r="I35" s="805" t="n"/>
    </row>
    <row r="36" ht="36.75" customHeight="1">
      <c r="A36" s="378" t="n"/>
      <c r="B36" s="150" t="n"/>
      <c r="C36" s="145" t="n"/>
      <c r="D36" s="145" t="n"/>
      <c r="E36" s="146" t="n"/>
      <c r="F36" s="146" t="n"/>
      <c r="G36" s="147">
        <f>IF(AND(F36-E36&gt;0),F36-E36,"")</f>
        <v/>
      </c>
      <c r="H36" s="771" t="n"/>
      <c r="I36" s="805" t="n"/>
    </row>
    <row r="37" ht="36.75" customHeight="1">
      <c r="A37" s="378" t="n"/>
      <c r="B37" s="150" t="n"/>
      <c r="C37" s="145" t="n"/>
      <c r="D37" s="145" t="n"/>
      <c r="E37" s="146" t="n"/>
      <c r="F37" s="146" t="n"/>
      <c r="G37" s="147">
        <f>IF(AND(F37-E37&gt;0),F37-E37,"")</f>
        <v/>
      </c>
      <c r="H37" s="771" t="n"/>
      <c r="I37" s="805" t="n"/>
    </row>
    <row r="38" ht="36.75" customHeight="1">
      <c r="A38" s="378" t="n"/>
      <c r="B38" s="150" t="n"/>
      <c r="C38" s="145" t="n"/>
      <c r="D38" s="145" t="n"/>
      <c r="E38" s="146" t="n"/>
      <c r="F38" s="146" t="n"/>
      <c r="G38" s="147">
        <f>IF(AND(F38-E38&gt;0),F38-E38,"")</f>
        <v/>
      </c>
      <c r="H38" s="771" t="n"/>
      <c r="I38" s="805" t="n"/>
    </row>
    <row r="39" ht="36.75" customHeight="1">
      <c r="A39" s="378" t="n"/>
      <c r="B39" s="150" t="n"/>
      <c r="C39" s="145" t="n"/>
      <c r="D39" s="145" t="n"/>
      <c r="E39" s="146" t="n"/>
      <c r="F39" s="146" t="n"/>
      <c r="G39" s="147">
        <f>IF(AND(F39-E39&gt;0),F39-E39,"")</f>
        <v/>
      </c>
      <c r="H39" s="771" t="n"/>
      <c r="I39" s="805" t="n"/>
    </row>
    <row r="40" ht="36.75" customHeight="1">
      <c r="A40" s="378" t="n"/>
      <c r="B40" s="150" t="n"/>
      <c r="C40" s="145" t="n"/>
      <c r="D40" s="145" t="n"/>
      <c r="E40" s="146" t="n"/>
      <c r="F40" s="146" t="n"/>
      <c r="G40" s="147">
        <f>IF(AND(F40-E40&gt;0),F40-E40,"")</f>
        <v/>
      </c>
      <c r="H40" s="771" t="n"/>
      <c r="I40" s="805" t="n"/>
    </row>
    <row r="41" ht="36.75" customHeight="1">
      <c r="A41" s="378" t="n"/>
      <c r="B41" s="150" t="n"/>
      <c r="C41" s="145" t="n"/>
      <c r="D41" s="145" t="n"/>
      <c r="E41" s="146" t="n"/>
      <c r="F41" s="146" t="n"/>
      <c r="G41" s="147">
        <f>IF(AND(F41-E41&gt;0),F41-E41,"")</f>
        <v/>
      </c>
      <c r="H41" s="771" t="n"/>
      <c r="I41" s="805" t="n"/>
    </row>
    <row r="42" ht="36.75" customHeight="1">
      <c r="A42" s="378" t="n"/>
      <c r="B42" s="150" t="n"/>
      <c r="C42" s="145" t="n"/>
      <c r="D42" s="145" t="n"/>
      <c r="E42" s="146" t="n"/>
      <c r="F42" s="146" t="n"/>
      <c r="G42" s="147">
        <f>IF(AND(F42-E42&gt;0),F42-E42,"")</f>
        <v/>
      </c>
      <c r="H42" s="771" t="n"/>
      <c r="I42" s="805" t="n"/>
    </row>
    <row r="43" ht="36.75" customHeight="1">
      <c r="A43" s="378" t="n"/>
      <c r="B43" s="150" t="n"/>
      <c r="C43" s="145" t="n"/>
      <c r="D43" s="145" t="n"/>
      <c r="E43" s="146" t="n"/>
      <c r="F43" s="146" t="n"/>
      <c r="G43" s="147">
        <f>IF(AND(F43-E43&gt;0),F43-E43,"")</f>
        <v/>
      </c>
      <c r="H43" s="771" t="n"/>
      <c r="I43" s="805" t="n"/>
    </row>
    <row r="44" ht="36.75" customHeight="1">
      <c r="A44" s="378" t="n"/>
      <c r="B44" s="150" t="n"/>
      <c r="C44" s="145" t="n"/>
      <c r="D44" s="145" t="n"/>
      <c r="E44" s="146" t="n"/>
      <c r="F44" s="146" t="n"/>
      <c r="G44" s="147">
        <f>IF(AND(F44-E44&gt;0),F44-E44,"")</f>
        <v/>
      </c>
      <c r="H44" s="771" t="n"/>
      <c r="I44" s="805" t="n"/>
    </row>
    <row r="45" ht="36.75" customHeight="1">
      <c r="A45" s="378" t="n"/>
      <c r="B45" s="150" t="n"/>
      <c r="C45" s="145" t="n"/>
      <c r="D45" s="145" t="n"/>
      <c r="E45" s="146" t="n"/>
      <c r="F45" s="146" t="n"/>
      <c r="G45" s="147">
        <f>IF(AND(F45-E45&gt;0),F45-E45,"")</f>
        <v/>
      </c>
      <c r="H45" s="771" t="n"/>
      <c r="I45" s="805" t="n"/>
    </row>
    <row r="46" ht="36.75" customHeight="1" thickBot="1">
      <c r="A46" s="378" t="n"/>
      <c r="B46" s="150" t="n"/>
      <c r="C46" s="148" t="n"/>
      <c r="D46" s="148" t="n"/>
      <c r="E46" s="149" t="n"/>
      <c r="F46" s="149" t="n"/>
      <c r="G46" s="356">
        <f>IF(AND(F46-E46&gt;0),F46-E46,"")</f>
        <v/>
      </c>
      <c r="H46" s="788" t="n"/>
      <c r="I46" s="896" t="n"/>
    </row>
    <row r="47" ht="17.25" customHeight="1" thickBot="1"/>
    <row r="48" ht="30.4" customHeight="1" thickBot="1">
      <c r="A48" s="605" t="n"/>
      <c r="B48" s="783" t="inlineStr">
        <is>
          <t>Arrêts internes</t>
        </is>
      </c>
      <c r="C48" s="784" t="inlineStr">
        <is>
          <t>E_MAN</t>
        </is>
      </c>
      <c r="D48" s="784" t="inlineStr">
        <is>
          <t>M_MEC</t>
        </is>
      </c>
      <c r="E48" s="784" t="inlineStr">
        <is>
          <t>M_ELEC</t>
        </is>
      </c>
      <c r="F48" s="784" t="inlineStr">
        <is>
          <t>M_INS</t>
        </is>
      </c>
      <c r="G48" s="784" t="inlineStr">
        <is>
          <t>M_REG</t>
        </is>
      </c>
      <c r="H48" s="784" t="inlineStr">
        <is>
          <t>M_BDM</t>
        </is>
      </c>
    </row>
    <row r="49" ht="75.75" customHeight="1" thickBot="1">
      <c r="A49" s="11" t="n"/>
      <c r="B49" s="894" t="n"/>
      <c r="C49" s="784" t="inlineStr">
        <is>
          <t>Exploitation Manutention</t>
        </is>
      </c>
      <c r="D49" s="784" t="inlineStr">
        <is>
          <t xml:space="preserve">Maintenance Mécanique </t>
        </is>
      </c>
      <c r="E49" s="784" t="inlineStr">
        <is>
          <t xml:space="preserve">Maintenance Electrique </t>
        </is>
      </c>
      <c r="F49" s="784" t="inlineStr">
        <is>
          <t xml:space="preserve">Maintenance Installation </t>
        </is>
      </c>
      <c r="G49" s="784" t="inlineStr">
        <is>
          <t xml:space="preserve">Maintenance Régulation </t>
        </is>
      </c>
      <c r="H49" s="784" t="inlineStr">
        <is>
          <t>Maintenance Planifié</t>
        </is>
      </c>
    </row>
    <row r="50" ht="26.1" customHeight="1" thickBot="1">
      <c r="A50" s="11" t="n"/>
      <c r="B50" s="895" t="n"/>
      <c r="C50" s="104">
        <f>SUMIFS('Arrêt RPTS'!$G$18:$G$46,'Arrêt RPTS'!$D$18:$D$46,C48)</f>
        <v/>
      </c>
      <c r="D50" s="104">
        <f>SUMIFS('Arrêt RPTS'!$G$18:$G$46,'Arrêt RPTS'!$D$18:$D$46,D48)</f>
        <v/>
      </c>
      <c r="E50" s="104">
        <f>SUMIFS('Arrêt RPTS'!$G$18:$G$46,'Arrêt RPTS'!$D$18:$D$46,E48)</f>
        <v/>
      </c>
      <c r="F50" s="104">
        <f>SUMIFS('Arrêt RPTS'!$G$18:$G$46,'Arrêt RPTS'!$D$18:$D$46,F48)</f>
        <v/>
      </c>
      <c r="G50" s="104">
        <f>SUMIFS('Arrêt RPTS'!$G$18:$G$46,'Arrêt RPTS'!$D$18:$D$46,G48)</f>
        <v/>
      </c>
      <c r="H50" s="104">
        <f>SUMIFS('Arrêt RPTS'!$G$18:$G$46,'Arrêt RPTS'!$D$18:$D$46,H48)</f>
        <v/>
      </c>
    </row>
    <row r="51" ht="26.1" customHeight="1" thickBot="1">
      <c r="A51" s="11" t="n"/>
      <c r="B51" s="154" t="inlineStr">
        <is>
          <t>Fréquence</t>
        </is>
      </c>
      <c r="C51" s="153">
        <f>COUNTIF('Arrêt RPTS'!$D$18:$D$46,C48)</f>
        <v/>
      </c>
      <c r="D51" s="153">
        <f>COUNTIF('Arrêt RPTS'!$D$18:$D$46,D48)</f>
        <v/>
      </c>
      <c r="E51" s="153">
        <f>COUNTIF('Arrêt RPTS'!$D$18:$D$46,E48)</f>
        <v/>
      </c>
      <c r="F51" s="153">
        <f>COUNTIF('Arrêt RPTS'!$D$18:$D$46,F48)</f>
        <v/>
      </c>
      <c r="G51" s="153">
        <f>COUNTIF('Arrêt RPTS'!$D$18:$D$46,G48)</f>
        <v/>
      </c>
      <c r="H51" s="153">
        <f>COUNTIF('Arrêt RPTS'!$D$18:$D$46,H48)</f>
        <v/>
      </c>
    </row>
    <row r="52" ht="23.25" customHeight="1" thickBot="1">
      <c r="A52" s="11" t="n"/>
      <c r="B52" s="12" t="n"/>
    </row>
    <row r="53" ht="30" customHeight="1" thickBot="1">
      <c r="A53" s="11" t="n"/>
      <c r="B53" s="782" t="inlineStr">
        <is>
          <t>Arrêts externes</t>
        </is>
      </c>
      <c r="C53" s="784" t="inlineStr">
        <is>
          <t>E_LAV</t>
        </is>
      </c>
      <c r="D53" s="784" t="inlineStr">
        <is>
          <t>X_LBA</t>
        </is>
      </c>
      <c r="E53" s="784" t="inlineStr">
        <is>
          <t>X_LME</t>
        </is>
      </c>
      <c r="F53" s="784" t="inlineStr">
        <is>
          <t>X_EXT</t>
        </is>
      </c>
      <c r="G53" s="784" t="inlineStr">
        <is>
          <t>X_UBI</t>
        </is>
      </c>
      <c r="H53" s="13" t="n"/>
      <c r="I53" s="13" t="n"/>
    </row>
    <row r="54" ht="43.5" customHeight="1" thickBot="1">
      <c r="A54" s="11" t="n"/>
      <c r="B54" s="894" t="n"/>
      <c r="C54" s="784" t="inlineStr">
        <is>
          <t>Laverie Daoui</t>
        </is>
      </c>
      <c r="D54" s="784" t="inlineStr">
        <is>
          <t>Beni-Amir</t>
        </is>
      </c>
      <c r="E54" s="784" t="inlineStr">
        <is>
          <t>Service électrique Khouribga</t>
        </is>
      </c>
      <c r="F54" s="784" t="inlineStr">
        <is>
          <t>Extraction Mine</t>
        </is>
      </c>
      <c r="G54" s="784" t="inlineStr">
        <is>
          <t>BENI IDIR</t>
        </is>
      </c>
      <c r="H54" s="14" t="n"/>
      <c r="I54" s="14" t="n"/>
    </row>
    <row r="55" ht="33.75" customHeight="1" thickBot="1">
      <c r="A55" s="11" t="n"/>
      <c r="B55" s="894" t="n"/>
      <c r="C55" s="895" t="n"/>
      <c r="D55" s="895" t="n"/>
      <c r="E55" s="895" t="n"/>
      <c r="F55" s="895" t="n"/>
      <c r="G55" s="895" t="n"/>
      <c r="H55" s="15" t="n"/>
      <c r="I55" s="15" t="n"/>
    </row>
    <row r="56" ht="26.1" customHeight="1" thickBot="1">
      <c r="A56" s="378" t="n"/>
      <c r="B56" s="895" t="n"/>
      <c r="C56" s="104">
        <f>SUMIFS('Arrêt RPTS'!$G$18:$G$46,'Arrêt RPTS'!$D$18:$D$46,C53)</f>
        <v/>
      </c>
      <c r="D56" s="104">
        <f>SUMIFS('Arrêt RPTS'!$G$18:$G$46,'Arrêt RPTS'!$D$18:$D$46,D53)</f>
        <v/>
      </c>
      <c r="E56" s="104">
        <f>SUMIFS('Arrêt RPTS'!$G$18:$G$46,'Arrêt RPTS'!$D$18:$D$46,E53)</f>
        <v/>
      </c>
      <c r="F56" s="104">
        <f>SUMIFS('Arrêt RPTS'!$G$18:$G$46,'Arrêt RPTS'!$D$18:$D$46,F53)</f>
        <v/>
      </c>
      <c r="G56" s="104">
        <f>SUMIFS('Arrêt RPTS'!$G$18:$G$46,'Arrêt RPTS'!$D$18:$D$46,G53)</f>
        <v/>
      </c>
      <c r="H56" s="16" t="n"/>
      <c r="I56" s="16" t="n"/>
    </row>
    <row r="57" ht="26.1" customHeight="1" thickBot="1">
      <c r="A57" s="378" t="n"/>
      <c r="B57" s="154" t="inlineStr">
        <is>
          <t>Fréquence</t>
        </is>
      </c>
      <c r="C57" s="153">
        <f>COUNTIF('Arrêt RPTS'!$D$18:$D$46,C53)</f>
        <v/>
      </c>
      <c r="D57" s="153">
        <f>COUNTIF('Arrêt RPTS'!$D$18:$D$46,D53)</f>
        <v/>
      </c>
      <c r="E57" s="153">
        <f>COUNTIF('Arrêt RPTS'!$D$18:$D$46,E53)</f>
        <v/>
      </c>
      <c r="F57" s="153">
        <f>COUNTIF('Arrêt RPTS'!$D$18:$D$46,F53)</f>
        <v/>
      </c>
      <c r="G57" s="153">
        <f>COUNTIF('Arrêt RPTS'!$D$18:$D$46,G53)</f>
        <v/>
      </c>
      <c r="H57" s="16" t="n"/>
      <c r="I57" s="16" t="n"/>
    </row>
    <row r="58" ht="18.75" customHeight="1" thickBot="1">
      <c r="A58" s="378" t="n"/>
      <c r="C58" s="17" t="n"/>
      <c r="D58" s="17" t="n"/>
      <c r="E58" s="17" t="n"/>
      <c r="F58" s="17" t="n"/>
      <c r="G58" s="17" t="n"/>
      <c r="H58" s="17" t="n"/>
      <c r="I58" s="17" t="n"/>
    </row>
    <row r="59" ht="43.5" customHeight="1" thickBot="1">
      <c r="A59" s="378" t="n"/>
      <c r="B59" s="781" t="inlineStr">
        <is>
          <t>Synthèse des arrêts</t>
        </is>
      </c>
      <c r="C59" s="784" t="inlineStr">
        <is>
          <t>Total Arrêts</t>
        </is>
      </c>
      <c r="D59" s="784" t="inlineStr">
        <is>
          <t>Total Heures disponibles</t>
        </is>
      </c>
      <c r="E59" s="784" t="inlineStr">
        <is>
          <t>Total Heures de marche HM</t>
        </is>
      </c>
      <c r="F59" s="784" t="inlineStr">
        <is>
          <t>Taux de disponibilité</t>
        </is>
      </c>
      <c r="G59" s="784" t="inlineStr">
        <is>
          <t>Taux d’utilisation TU</t>
        </is>
      </c>
      <c r="H59" s="784" t="inlineStr">
        <is>
          <t>OEE</t>
        </is>
      </c>
    </row>
    <row r="60" ht="43.5" customHeight="1" thickBot="1">
      <c r="B60" s="895" t="n"/>
      <c r="C60" s="105">
        <f>+C50+D50+E50+F50+G50+H50+C56+D56+E56+F56+G56</f>
        <v/>
      </c>
      <c r="D60" s="105">
        <f>D62-D50-E50-F50-G50-H50+E62</f>
        <v/>
      </c>
      <c r="E60" s="105">
        <f>D62+E62-C60</f>
        <v/>
      </c>
      <c r="F60" s="106">
        <f>+D60/D62</f>
        <v/>
      </c>
      <c r="G60" s="106">
        <f>E60/D60</f>
        <v/>
      </c>
      <c r="H60" s="107">
        <f>E60/D62</f>
        <v/>
      </c>
    </row>
    <row r="62" hidden="1" ht="19.5" customHeight="1">
      <c r="D62" s="78" t="n">
        <v>0.9993055555555556</v>
      </c>
      <c r="E62" s="78" t="n">
        <v>0.0006944444444444445</v>
      </c>
    </row>
  </sheetData>
  <mergeCells count="47">
    <mergeCell ref="H35:I35"/>
    <mergeCell ref="H20:I20"/>
    <mergeCell ref="H38:I38"/>
    <mergeCell ref="H29:I29"/>
    <mergeCell ref="C2:D3"/>
    <mergeCell ref="H43:I43"/>
    <mergeCell ref="H41:I41"/>
    <mergeCell ref="F6:G6"/>
    <mergeCell ref="H31:I31"/>
    <mergeCell ref="H44:I44"/>
    <mergeCell ref="C54:C55"/>
    <mergeCell ref="H40:I40"/>
    <mergeCell ref="B9:C10"/>
    <mergeCell ref="H39:I39"/>
    <mergeCell ref="H34:I34"/>
    <mergeCell ref="H25:I25"/>
    <mergeCell ref="H21:I21"/>
    <mergeCell ref="B11:C11"/>
    <mergeCell ref="H46:I46"/>
    <mergeCell ref="E10:I10"/>
    <mergeCell ref="H36:I36"/>
    <mergeCell ref="E54:E55"/>
    <mergeCell ref="E9:I9"/>
    <mergeCell ref="H17:I17"/>
    <mergeCell ref="B53:B56"/>
    <mergeCell ref="H32:I32"/>
    <mergeCell ref="H45:I45"/>
    <mergeCell ref="H19:I19"/>
    <mergeCell ref="H37:I37"/>
    <mergeCell ref="H22:I22"/>
    <mergeCell ref="H28:I28"/>
    <mergeCell ref="G54:G55"/>
    <mergeCell ref="F11:H11"/>
    <mergeCell ref="H27:I27"/>
    <mergeCell ref="D54:D55"/>
    <mergeCell ref="C4:D5"/>
    <mergeCell ref="B48:B50"/>
    <mergeCell ref="H24:I24"/>
    <mergeCell ref="H42:I42"/>
    <mergeCell ref="H18:I18"/>
    <mergeCell ref="H33:I33"/>
    <mergeCell ref="H23:I23"/>
    <mergeCell ref="B14:I15"/>
    <mergeCell ref="F54:F55"/>
    <mergeCell ref="B59:B60"/>
    <mergeCell ref="H30:I30"/>
    <mergeCell ref="H26:I26"/>
  </mergeCells>
  <dataValidations count="3">
    <dataValidation sqref="H46:I46" showDropDown="0" showInputMessage="1" showErrorMessage="1" allowBlank="0" type="list">
      <formula1>INDIRECT(#REF!)</formula1>
    </dataValidation>
    <dataValidation sqref="C18:C46" showDropDown="0" showInputMessage="1" showErrorMessage="1" allowBlank="0" type="list">
      <formula1>INDIRECT(B18)</formula1>
    </dataValidation>
    <dataValidation sqref="H18:I45" showDropDown="0" showInputMessage="1" showErrorMessage="1" allowBlank="0" type="list">
      <formula1>INDIRECT(D18)</formula1>
    </dataValidation>
  </dataValidations>
  <printOptions horizontalCentered="1" verticalCentered="1"/>
  <pageMargins left="0" right="0.1968503937007874" top="0" bottom="0" header="0" footer="0"/>
  <pageSetup orientation="portrait" paperSize="9" scale="38" horizontalDpi="180" verticalDpi="180"/>
</worksheet>
</file>

<file path=xl/worksheets/sheet12.xml><?xml version="1.0" encoding="utf-8"?>
<worksheet xmlns="http://schemas.openxmlformats.org/spreadsheetml/2006/main">
  <sheetPr codeName="Feuil12">
    <outlinePr summaryBelow="1" summaryRight="1"/>
    <pageSetUpPr fitToPage="1"/>
  </sheetPr>
  <dimension ref="A1:J62"/>
  <sheetViews>
    <sheetView showGridLines="0" view="pageBreakPreview" topLeftCell="A13" zoomScale="85" zoomScaleNormal="70" zoomScaleSheetLayoutView="85" workbookViewId="0">
      <selection activeCell="D21" sqref="D21"/>
    </sheetView>
  </sheetViews>
  <sheetFormatPr baseColWidth="8" defaultColWidth="11.25" defaultRowHeight="12.75"/>
  <cols>
    <col width="5.75" customWidth="1" style="378" min="1" max="1"/>
    <col width="22.5" customWidth="1" style="378" min="2" max="2"/>
    <col width="28.25" customWidth="1" style="378" min="3" max="3"/>
    <col width="25.125" customWidth="1" style="378" min="4" max="4"/>
    <col width="25.25" customWidth="1" style="378" min="5" max="5"/>
    <col width="27.125" customWidth="1" style="378" min="6" max="6"/>
    <col width="25.125" customWidth="1" style="378" min="7" max="7"/>
    <col width="54.5" customWidth="1" style="378" min="8" max="8"/>
    <col width="26.5" customWidth="1" style="378" min="9" max="9"/>
    <col width="11.25" customWidth="1" style="378" min="10" max="16384"/>
  </cols>
  <sheetData>
    <row r="1" ht="21.6" customHeight="1" thickBot="1">
      <c r="A1" s="5" t="n"/>
    </row>
    <row r="2" ht="34.5" customHeight="1" thickBot="1">
      <c r="B2" s="19" t="n"/>
      <c r="C2" s="571">
        <f>TODAY()</f>
        <v/>
      </c>
      <c r="E2" s="26" t="n"/>
      <c r="F2" s="26" t="n"/>
      <c r="G2" s="19" t="n"/>
      <c r="H2" s="19" t="n"/>
      <c r="I2" s="19" t="n"/>
      <c r="J2" s="28" t="n"/>
    </row>
    <row r="3" ht="34.5" customHeight="1" thickBot="1">
      <c r="B3" s="19" t="n"/>
      <c r="E3" s="26" t="n"/>
      <c r="F3" s="26" t="n"/>
      <c r="G3" s="21" t="n"/>
      <c r="H3" s="19" t="n"/>
      <c r="I3" s="19" t="n"/>
      <c r="J3" s="28" t="n"/>
    </row>
    <row r="4" ht="34.5" customHeight="1" thickBot="1">
      <c r="B4" s="19" t="n"/>
      <c r="C4" s="789">
        <f>NOW()</f>
        <v/>
      </c>
      <c r="E4" s="26" t="n"/>
      <c r="F4" s="26" t="n"/>
      <c r="G4" s="21" t="n"/>
      <c r="H4" s="19" t="n"/>
      <c r="I4" s="19" t="n"/>
      <c r="J4" s="28" t="n"/>
    </row>
    <row r="5" ht="34.5" customHeight="1" thickBot="1">
      <c r="B5" s="19" t="n"/>
      <c r="E5" s="26" t="n"/>
      <c r="F5" s="26" t="n"/>
      <c r="G5" s="21" t="n"/>
      <c r="H5" s="23" t="n"/>
      <c r="I5" s="23" t="n"/>
      <c r="J5" s="28" t="n"/>
    </row>
    <row r="6" ht="34.5" customHeight="1">
      <c r="B6" s="19" t="n"/>
      <c r="C6" s="24" t="n"/>
      <c r="D6" s="25" t="n"/>
      <c r="E6" s="26" t="n"/>
      <c r="F6" s="573" t="n"/>
      <c r="H6" s="574" t="n"/>
      <c r="I6" s="42" t="n"/>
      <c r="J6" s="29" t="n"/>
    </row>
    <row r="7" ht="21.6" customHeight="1">
      <c r="A7" s="5" t="n"/>
    </row>
    <row r="8" ht="21.6" customHeight="1" thickBot="1">
      <c r="A8" s="5" t="n"/>
    </row>
    <row r="9" ht="36" customHeight="1" thickBot="1">
      <c r="A9" s="5" t="n"/>
      <c r="B9" s="790" t="n"/>
      <c r="C9" s="791" t="n"/>
      <c r="D9" s="38" t="inlineStr">
        <is>
          <t>Formulaire</t>
        </is>
      </c>
      <c r="E9" s="593" t="inlineStr">
        <is>
          <t>PRL-LA-IT-06-F-01</t>
        </is>
      </c>
      <c r="F9" s="792" t="n"/>
      <c r="G9" s="792" t="n"/>
      <c r="H9" s="792" t="n"/>
      <c r="I9" s="793" t="n"/>
    </row>
    <row r="10" ht="38.25" customHeight="1" thickBot="1">
      <c r="A10" s="5" t="n"/>
      <c r="B10" s="794" t="n"/>
      <c r="C10" s="795" t="n"/>
      <c r="D10" s="38" t="inlineStr">
        <is>
          <t>Entité</t>
        </is>
      </c>
      <c r="E10" s="594" t="inlineStr">
        <is>
          <t>Entités de Traitement de Site de Khouribga</t>
        </is>
      </c>
      <c r="F10" s="792" t="n"/>
      <c r="G10" s="792" t="n"/>
      <c r="H10" s="792" t="n"/>
      <c r="I10" s="793" t="n"/>
    </row>
    <row r="11" ht="45" customHeight="1" thickBot="1">
      <c r="A11" s="5" t="n"/>
      <c r="B11" s="893" t="inlineStr">
        <is>
          <t>DIRECTION EXECUTIVE
OPERATIONSINDUSTRIELLES
DIRECTION DE SITE  DE KHOURIBGA</t>
        </is>
      </c>
      <c r="C11" s="797" t="n"/>
      <c r="D11" s="38" t="inlineStr">
        <is>
          <t>Version</t>
        </is>
      </c>
      <c r="E11" s="593" t="n">
        <v>5</v>
      </c>
      <c r="F11" s="594" t="inlineStr">
        <is>
          <t xml:space="preserve">Applicable le </t>
        </is>
      </c>
      <c r="G11" s="792" t="n"/>
      <c r="H11" s="793" t="n"/>
      <c r="I11" s="37" t="n">
        <v>45000</v>
      </c>
    </row>
    <row r="12" ht="26.25" customHeight="1">
      <c r="A12" s="5" t="n"/>
      <c r="B12" s="32" t="inlineStr">
        <is>
          <t>OIK/BD/B- 428</t>
        </is>
      </c>
      <c r="C12" s="30" t="n"/>
      <c r="D12" s="31" t="n"/>
    </row>
    <row r="13" ht="5.25" customHeight="1"/>
    <row r="14" ht="24" customHeight="1">
      <c r="B14" s="772" t="inlineStr">
        <is>
          <t xml:space="preserve"> Suivi des arrêts </t>
        </is>
      </c>
    </row>
    <row r="15" ht="21" customHeight="1">
      <c r="A15" s="6" t="n"/>
    </row>
    <row r="16" ht="33.75" customHeight="1" thickBot="1">
      <c r="A16" s="7" t="n"/>
      <c r="B16" s="167" t="inlineStr">
        <is>
          <t>Installation : CRIBLAGE</t>
        </is>
      </c>
      <c r="E16" s="36" t="n"/>
      <c r="H16" s="35" t="inlineStr">
        <is>
          <t>Journée du :</t>
        </is>
      </c>
      <c r="I16" s="584">
        <f>'Arrêt RPT1'!I16</f>
        <v/>
      </c>
    </row>
    <row r="17" ht="64.5" customHeight="1" thickBot="1">
      <c r="A17" s="8" t="n"/>
      <c r="B17" s="618" t="inlineStr">
        <is>
          <t>Axe</t>
        </is>
      </c>
      <c r="C17" s="618" t="inlineStr">
        <is>
          <t>Organe</t>
        </is>
      </c>
      <c r="D17" s="618" t="inlineStr">
        <is>
          <t>Sce</t>
        </is>
      </c>
      <c r="E17" s="618" t="inlineStr">
        <is>
          <t>Début</t>
        </is>
      </c>
      <c r="F17" s="618" t="inlineStr">
        <is>
          <t>Fin</t>
        </is>
      </c>
      <c r="G17" s="618" t="inlineStr">
        <is>
          <t>Durée</t>
        </is>
      </c>
      <c r="H17" s="618" t="inlineStr">
        <is>
          <t>Nature des arrêts</t>
        </is>
      </c>
      <c r="I17" s="793" t="n"/>
    </row>
    <row r="18" ht="36.75" customHeight="1">
      <c r="A18" s="378" t="n"/>
      <c r="B18" s="150" t="n"/>
      <c r="C18" s="145" t="n"/>
      <c r="D18" s="145" t="n"/>
      <c r="E18" s="146" t="n"/>
      <c r="F18" s="146" t="n"/>
      <c r="G18" s="147" t="n"/>
      <c r="H18" s="771" t="n"/>
      <c r="I18" s="805" t="n"/>
    </row>
    <row r="19" ht="36.75" customHeight="1">
      <c r="A19" s="378" t="n"/>
      <c r="B19" s="150" t="n"/>
      <c r="C19" s="145" t="n"/>
      <c r="D19" s="145" t="n"/>
      <c r="E19" s="146" t="n"/>
      <c r="F19" s="146" t="n"/>
      <c r="G19" s="147" t="n"/>
      <c r="H19" s="771" t="n"/>
      <c r="I19" s="805" t="n"/>
    </row>
    <row r="20" ht="36.75" customHeight="1">
      <c r="A20" s="378" t="n"/>
      <c r="B20" s="150" t="n"/>
      <c r="C20" s="145" t="n"/>
      <c r="D20" s="145" t="n"/>
      <c r="E20" s="146" t="n"/>
      <c r="F20" s="146" t="n"/>
      <c r="G20" s="147" t="n"/>
      <c r="H20" s="771" t="n"/>
      <c r="I20" s="805" t="n"/>
    </row>
    <row r="21" ht="36.75" customHeight="1">
      <c r="A21" s="378" t="n"/>
      <c r="B21" s="150" t="n"/>
      <c r="C21" s="145" t="n"/>
      <c r="D21" s="145" t="n"/>
      <c r="E21" s="146" t="n"/>
      <c r="F21" s="146" t="n"/>
      <c r="G21" s="147">
        <f>IF(AND(F21-E21&gt;0),F21-E21,"")</f>
        <v/>
      </c>
      <c r="H21" s="771" t="n"/>
      <c r="I21" s="805" t="n"/>
    </row>
    <row r="22" ht="36.75" customHeight="1">
      <c r="A22" s="378" t="n"/>
      <c r="B22" s="150" t="n"/>
      <c r="C22" s="145" t="n"/>
      <c r="D22" s="145" t="n"/>
      <c r="E22" s="146" t="n"/>
      <c r="F22" s="146" t="n"/>
      <c r="G22" s="147">
        <f>IF(AND(F22-E22&gt;0),F22-E22,"")</f>
        <v/>
      </c>
      <c r="H22" s="771" t="n"/>
      <c r="I22" s="805" t="n"/>
    </row>
    <row r="23" ht="36.75" customHeight="1">
      <c r="A23" s="378" t="n"/>
      <c r="B23" s="150" t="n"/>
      <c r="C23" s="145" t="n"/>
      <c r="D23" s="145" t="n"/>
      <c r="E23" s="146" t="n"/>
      <c r="F23" s="146" t="n"/>
      <c r="G23" s="147">
        <f>IF(AND(F23-E23&gt;0),F23-E23,"")</f>
        <v/>
      </c>
      <c r="H23" s="771" t="n"/>
      <c r="I23" s="805" t="n"/>
    </row>
    <row r="24" ht="36.75" customHeight="1">
      <c r="A24" s="378" t="n"/>
      <c r="B24" s="150" t="n"/>
      <c r="C24" s="145" t="n"/>
      <c r="D24" s="145" t="n"/>
      <c r="E24" s="146" t="n"/>
      <c r="F24" s="146" t="n"/>
      <c r="G24" s="147">
        <f>IF(AND(F24-E24&gt;0),F24-E24,"")</f>
        <v/>
      </c>
      <c r="H24" s="771" t="n"/>
      <c r="I24" s="805" t="n"/>
    </row>
    <row r="25" ht="36.75" customHeight="1">
      <c r="A25" s="378" t="n"/>
      <c r="B25" s="150" t="n"/>
      <c r="C25" s="145" t="n"/>
      <c r="D25" s="145" t="n"/>
      <c r="E25" s="146" t="n"/>
      <c r="F25" s="146" t="n"/>
      <c r="G25" s="147">
        <f>IF(AND(F25-E25&gt;0),F25-E25,"")</f>
        <v/>
      </c>
      <c r="H25" s="771" t="n"/>
      <c r="I25" s="805" t="n"/>
    </row>
    <row r="26" ht="36.75" customHeight="1">
      <c r="A26" s="378" t="n"/>
      <c r="B26" s="150" t="n"/>
      <c r="C26" s="145" t="n"/>
      <c r="D26" s="145" t="n"/>
      <c r="E26" s="146" t="n"/>
      <c r="F26" s="146" t="n"/>
      <c r="G26" s="147">
        <f>IF(AND(F26-E26&gt;0),F26-E26,"")</f>
        <v/>
      </c>
      <c r="H26" s="771" t="n"/>
      <c r="I26" s="805" t="n"/>
    </row>
    <row r="27" ht="36.75" customHeight="1">
      <c r="A27" s="378" t="n"/>
      <c r="B27" s="150" t="n"/>
      <c r="C27" s="145" t="n"/>
      <c r="D27" s="145" t="n"/>
      <c r="E27" s="146" t="n"/>
      <c r="F27" s="146" t="n"/>
      <c r="G27" s="147">
        <f>IF(AND(F27-E27&gt;0),F27-E27,"")</f>
        <v/>
      </c>
      <c r="H27" s="771" t="n"/>
      <c r="I27" s="805" t="n"/>
    </row>
    <row r="28" ht="36.75" customHeight="1">
      <c r="A28" s="378" t="n"/>
      <c r="B28" s="150" t="n"/>
      <c r="C28" s="145" t="n"/>
      <c r="D28" s="145" t="n"/>
      <c r="E28" s="146" t="n"/>
      <c r="F28" s="146" t="n"/>
      <c r="G28" s="147">
        <f>IF(AND(F28-E28&gt;0),F28-E28,"")</f>
        <v/>
      </c>
      <c r="H28" s="771" t="n"/>
      <c r="I28" s="805" t="n"/>
    </row>
    <row r="29" ht="36.75" customHeight="1">
      <c r="A29" s="378" t="n"/>
      <c r="B29" s="150" t="n"/>
      <c r="C29" s="145" t="n"/>
      <c r="D29" s="145" t="n"/>
      <c r="E29" s="146" t="n"/>
      <c r="F29" s="146" t="n"/>
      <c r="G29" s="147">
        <f>IF(AND(F29-E29&gt;0),F29-E29,"")</f>
        <v/>
      </c>
      <c r="H29" s="771" t="n"/>
      <c r="I29" s="805" t="n"/>
    </row>
    <row r="30" ht="36.75" customHeight="1">
      <c r="A30" s="378" t="n"/>
      <c r="B30" s="150" t="n"/>
      <c r="C30" s="145" t="n"/>
      <c r="D30" s="145" t="n"/>
      <c r="E30" s="146" t="n"/>
      <c r="F30" s="146" t="n"/>
      <c r="G30" s="147">
        <f>IF(AND(F30-E30&gt;0),F30-E30,"")</f>
        <v/>
      </c>
      <c r="H30" s="771" t="n"/>
      <c r="I30" s="805" t="n"/>
    </row>
    <row r="31" ht="36.75" customHeight="1">
      <c r="A31" s="378" t="n"/>
      <c r="B31" s="150" t="n"/>
      <c r="C31" s="145" t="n"/>
      <c r="D31" s="145" t="n"/>
      <c r="E31" s="146" t="n"/>
      <c r="F31" s="146" t="n"/>
      <c r="G31" s="147">
        <f>IF(AND(F31-E31&gt;0),F31-E31,"")</f>
        <v/>
      </c>
      <c r="H31" s="771" t="n"/>
      <c r="I31" s="805" t="n"/>
    </row>
    <row r="32" ht="36.75" customHeight="1">
      <c r="A32" s="378" t="n"/>
      <c r="B32" s="150" t="n"/>
      <c r="C32" s="145" t="n"/>
      <c r="D32" s="145" t="n"/>
      <c r="E32" s="146" t="n"/>
      <c r="F32" s="146" t="n"/>
      <c r="G32" s="147">
        <f>IF(AND(F32-E32&gt;0),F32-E32,"")</f>
        <v/>
      </c>
      <c r="H32" s="771" t="n"/>
      <c r="I32" s="805" t="n"/>
    </row>
    <row r="33" ht="36.75" customHeight="1">
      <c r="A33" s="378" t="n"/>
      <c r="B33" s="150" t="n"/>
      <c r="C33" s="145" t="n"/>
      <c r="D33" s="145" t="n"/>
      <c r="E33" s="146" t="n"/>
      <c r="F33" s="146" t="n"/>
      <c r="G33" s="147">
        <f>IF(AND(F33-E33&gt;0),F33-E33,"")</f>
        <v/>
      </c>
      <c r="H33" s="771" t="n"/>
      <c r="I33" s="805" t="n"/>
    </row>
    <row r="34" ht="36.75" customHeight="1">
      <c r="A34" s="378" t="n"/>
      <c r="B34" s="150" t="n"/>
      <c r="C34" s="145" t="n"/>
      <c r="D34" s="145" t="n"/>
      <c r="E34" s="146" t="n"/>
      <c r="F34" s="146" t="n"/>
      <c r="G34" s="147">
        <f>IF(AND(F34-E34&gt;0),F34-E34,"")</f>
        <v/>
      </c>
      <c r="H34" s="771" t="n"/>
      <c r="I34" s="805" t="n"/>
    </row>
    <row r="35" ht="36.75" customHeight="1">
      <c r="A35" s="378" t="n"/>
      <c r="B35" s="150" t="n"/>
      <c r="C35" s="145" t="n"/>
      <c r="D35" s="145" t="n"/>
      <c r="E35" s="146" t="n"/>
      <c r="F35" s="146" t="n"/>
      <c r="G35" s="147">
        <f>IF(AND(F35-E35&gt;0),F35-E35,"")</f>
        <v/>
      </c>
      <c r="H35" s="771" t="n"/>
      <c r="I35" s="805" t="n"/>
    </row>
    <row r="36" ht="36.75" customHeight="1">
      <c r="A36" s="378" t="n"/>
      <c r="B36" s="150" t="n"/>
      <c r="C36" s="145" t="n"/>
      <c r="D36" s="145" t="n"/>
      <c r="E36" s="146" t="n"/>
      <c r="F36" s="146" t="n"/>
      <c r="G36" s="147">
        <f>IF(AND(F36-E36&gt;0),F36-E36,"")</f>
        <v/>
      </c>
      <c r="H36" s="771" t="n"/>
      <c r="I36" s="805" t="n"/>
    </row>
    <row r="37" ht="36.75" customHeight="1">
      <c r="A37" s="378" t="n"/>
      <c r="B37" s="150" t="n"/>
      <c r="C37" s="145" t="n"/>
      <c r="D37" s="145" t="n"/>
      <c r="E37" s="146" t="n"/>
      <c r="F37" s="146" t="n"/>
      <c r="G37" s="147">
        <f>IF(AND(F37-E37&gt;0),F37-E37,"")</f>
        <v/>
      </c>
      <c r="H37" s="771" t="n"/>
      <c r="I37" s="805" t="n"/>
    </row>
    <row r="38" ht="36.75" customHeight="1">
      <c r="A38" s="378" t="n"/>
      <c r="B38" s="150" t="n"/>
      <c r="C38" s="145" t="n"/>
      <c r="D38" s="145" t="n"/>
      <c r="E38" s="146" t="n"/>
      <c r="F38" s="146" t="n"/>
      <c r="G38" s="147">
        <f>IF(AND(F38-E38&gt;0),F38-E38,"")</f>
        <v/>
      </c>
      <c r="H38" s="771" t="n"/>
      <c r="I38" s="805" t="n"/>
    </row>
    <row r="39" ht="36.75" customHeight="1">
      <c r="A39" s="378" t="n"/>
      <c r="B39" s="150" t="n"/>
      <c r="C39" s="145" t="n"/>
      <c r="D39" s="145" t="n"/>
      <c r="E39" s="146" t="n"/>
      <c r="F39" s="146" t="n"/>
      <c r="G39" s="147">
        <f>IF(AND(F39-E39&gt;0),F39-E39,"")</f>
        <v/>
      </c>
      <c r="H39" s="771" t="n"/>
      <c r="I39" s="805" t="n"/>
    </row>
    <row r="40" ht="36.75" customHeight="1">
      <c r="A40" s="378" t="n"/>
      <c r="B40" s="150" t="n"/>
      <c r="C40" s="145" t="n"/>
      <c r="D40" s="145" t="n"/>
      <c r="E40" s="146" t="n"/>
      <c r="F40" s="146" t="n"/>
      <c r="G40" s="147">
        <f>IF(AND(F40-E40&gt;0),F40-E40,"")</f>
        <v/>
      </c>
      <c r="H40" s="771" t="n"/>
      <c r="I40" s="805" t="n"/>
    </row>
    <row r="41" ht="36.75" customHeight="1">
      <c r="A41" s="378" t="n"/>
      <c r="B41" s="150" t="n"/>
      <c r="C41" s="145" t="n"/>
      <c r="D41" s="145" t="n"/>
      <c r="E41" s="146" t="n"/>
      <c r="F41" s="146" t="n"/>
      <c r="G41" s="147">
        <f>IF(AND(F41-E41&gt;0),F41-E41,"")</f>
        <v/>
      </c>
      <c r="H41" s="771" t="n"/>
      <c r="I41" s="805" t="n"/>
    </row>
    <row r="42" ht="36.75" customHeight="1">
      <c r="A42" s="378" t="n"/>
      <c r="B42" s="150" t="n"/>
      <c r="C42" s="145" t="n"/>
      <c r="D42" s="145" t="n"/>
      <c r="E42" s="146" t="n"/>
      <c r="F42" s="146" t="n"/>
      <c r="G42" s="147">
        <f>IF(AND(F42-E42&gt;0),F42-E42,"")</f>
        <v/>
      </c>
      <c r="H42" s="771" t="n"/>
      <c r="I42" s="805" t="n"/>
    </row>
    <row r="43" ht="36.75" customHeight="1">
      <c r="A43" s="378" t="n"/>
      <c r="B43" s="150" t="n"/>
      <c r="C43" s="145" t="n"/>
      <c r="D43" s="145" t="n"/>
      <c r="E43" s="146" t="n"/>
      <c r="F43" s="146" t="n"/>
      <c r="G43" s="147">
        <f>IF(AND(F43-E43&gt;0),F43-E43,"")</f>
        <v/>
      </c>
      <c r="H43" s="771" t="n"/>
      <c r="I43" s="805" t="n"/>
    </row>
    <row r="44" ht="36.75" customHeight="1">
      <c r="A44" s="378" t="n"/>
      <c r="B44" s="150" t="n"/>
      <c r="C44" s="145" t="n"/>
      <c r="D44" s="145" t="n"/>
      <c r="E44" s="146" t="n"/>
      <c r="F44" s="146" t="n"/>
      <c r="G44" s="147">
        <f>IF(AND(F44-E44&gt;0),F44-E44,"")</f>
        <v/>
      </c>
      <c r="H44" s="771" t="n"/>
      <c r="I44" s="805" t="n"/>
    </row>
    <row r="45" ht="36.75" customHeight="1">
      <c r="A45" s="378" t="n"/>
      <c r="B45" s="150" t="n"/>
      <c r="C45" s="145" t="n"/>
      <c r="D45" s="145" t="n"/>
      <c r="E45" s="146" t="n"/>
      <c r="F45" s="146" t="n"/>
      <c r="G45" s="147">
        <f>IF(AND(F45-E45&gt;0),F45-E45,"")</f>
        <v/>
      </c>
      <c r="H45" s="771" t="n"/>
      <c r="I45" s="805" t="n"/>
    </row>
    <row r="46" ht="36.75" customHeight="1" thickBot="1">
      <c r="A46" s="378" t="n"/>
      <c r="B46" s="150" t="n"/>
      <c r="C46" s="148" t="n"/>
      <c r="D46" s="148" t="n"/>
      <c r="E46" s="149" t="n"/>
      <c r="F46" s="149" t="n"/>
      <c r="G46" s="356">
        <f>IF(AND(F46-E46&gt;0),F46-E46,"")</f>
        <v/>
      </c>
      <c r="H46" s="788" t="n"/>
      <c r="I46" s="896" t="n"/>
    </row>
    <row r="47" ht="17.25" customHeight="1" thickBot="1"/>
    <row r="48" ht="30.4" customHeight="1" thickBot="1">
      <c r="A48" s="605" t="n"/>
      <c r="B48" s="783" t="inlineStr">
        <is>
          <t>Arrêts internes</t>
        </is>
      </c>
      <c r="C48" s="784" t="inlineStr">
        <is>
          <t>E_MAN</t>
        </is>
      </c>
      <c r="D48" s="784" t="inlineStr">
        <is>
          <t>M_MEC</t>
        </is>
      </c>
      <c r="E48" s="784" t="inlineStr">
        <is>
          <t>M_ELEC</t>
        </is>
      </c>
      <c r="F48" s="784" t="inlineStr">
        <is>
          <t>M_INS</t>
        </is>
      </c>
      <c r="G48" s="784" t="inlineStr">
        <is>
          <t>M_REG</t>
        </is>
      </c>
      <c r="H48" s="784" t="inlineStr">
        <is>
          <t>M_BDM</t>
        </is>
      </c>
    </row>
    <row r="49" ht="64.5" customHeight="1" thickBot="1">
      <c r="A49" s="11" t="n"/>
      <c r="B49" s="894" t="n"/>
      <c r="C49" s="784" t="inlineStr">
        <is>
          <t>Exploitation Manutention</t>
        </is>
      </c>
      <c r="D49" s="784" t="inlineStr">
        <is>
          <t xml:space="preserve">Maintenance Mécanique </t>
        </is>
      </c>
      <c r="E49" s="784" t="inlineStr">
        <is>
          <t xml:space="preserve">Maintenance Electrique </t>
        </is>
      </c>
      <c r="F49" s="784" t="inlineStr">
        <is>
          <t xml:space="preserve">Maintenance Installation </t>
        </is>
      </c>
      <c r="G49" s="784" t="inlineStr">
        <is>
          <t xml:space="preserve">Maintenance Régulation </t>
        </is>
      </c>
      <c r="H49" s="784" t="inlineStr">
        <is>
          <t>Maintenance Planifié</t>
        </is>
      </c>
    </row>
    <row r="50" ht="26.1" customHeight="1" thickBot="1">
      <c r="A50" s="11" t="n"/>
      <c r="B50" s="895" t="n"/>
      <c r="C50" s="104">
        <f>SUMIFS('Arrêt CRIBLAGE'!$G$18:$G$46,'Arrêt CRIBLAGE'!$D$18:$D$46,C48)</f>
        <v/>
      </c>
      <c r="D50" s="104">
        <f>SUMIFS('Arrêt CRIBLAGE'!$G$18:$G$46,'Arrêt CRIBLAGE'!$D$18:$D$46,D48)</f>
        <v/>
      </c>
      <c r="E50" s="104">
        <f>SUMIFS('Arrêt CRIBLAGE'!$G$18:$G$46,'Arrêt CRIBLAGE'!$D$18:$D$46,E48)</f>
        <v/>
      </c>
      <c r="F50" s="104">
        <f>SUMIFS('Arrêt CRIBLAGE'!$G$18:$G$46,'Arrêt CRIBLAGE'!$D$18:$D$46,F48)</f>
        <v/>
      </c>
      <c r="G50" s="104">
        <f>SUMIFS('Arrêt CRIBLAGE'!$G$18:$G$46,'Arrêt CRIBLAGE'!$D$18:$D$46,G48)</f>
        <v/>
      </c>
      <c r="H50" s="104">
        <f>SUMIFS('Arrêt CRIBLAGE'!$G$18:$G$46,'Arrêt CRIBLAGE'!$D$18:$D$46,H48)</f>
        <v/>
      </c>
    </row>
    <row r="51" ht="26.1" customHeight="1" thickBot="1">
      <c r="A51" s="11" t="n"/>
      <c r="B51" s="154" t="inlineStr">
        <is>
          <t>Fréquence</t>
        </is>
      </c>
      <c r="C51" s="153">
        <f>COUNTIF('Arrêt CRIBLAGE'!$D$18:$D$46,C48)</f>
        <v/>
      </c>
      <c r="D51" s="153">
        <f>COUNTIF('Arrêt CRIBLAGE'!$D$18:$D$46,D48)</f>
        <v/>
      </c>
      <c r="E51" s="153">
        <f>COUNTIF('Arrêt CRIBLAGE'!$D$18:$D$46,E48)</f>
        <v/>
      </c>
      <c r="F51" s="153">
        <f>COUNTIF('Arrêt CRIBLAGE'!$D$18:$D$46,F48)</f>
        <v/>
      </c>
      <c r="G51" s="153">
        <f>COUNTIF('Arrêt CRIBLAGE'!$D$18:$D$46,G48)</f>
        <v/>
      </c>
      <c r="H51" s="153">
        <f>COUNTIF('Arrêt CRIBLAGE'!$D$18:$D$46,H48)</f>
        <v/>
      </c>
    </row>
    <row r="52" ht="23.25" customHeight="1" thickBot="1">
      <c r="A52" s="11" t="n"/>
      <c r="B52" s="12" t="n"/>
    </row>
    <row r="53" ht="30" customHeight="1" thickBot="1">
      <c r="A53" s="11" t="n"/>
      <c r="B53" s="782" t="inlineStr">
        <is>
          <t>Arrêts externes</t>
        </is>
      </c>
      <c r="C53" s="784" t="inlineStr">
        <is>
          <t>E_LAV</t>
        </is>
      </c>
      <c r="D53" s="784" t="inlineStr">
        <is>
          <t>X_LBA</t>
        </is>
      </c>
      <c r="E53" s="784" t="inlineStr">
        <is>
          <t>X_LME</t>
        </is>
      </c>
      <c r="F53" s="784" t="inlineStr">
        <is>
          <t>X_EXT</t>
        </is>
      </c>
      <c r="G53" s="784" t="inlineStr">
        <is>
          <t>X_UBI</t>
        </is>
      </c>
      <c r="H53" s="13" t="n"/>
      <c r="I53" s="13" t="n"/>
    </row>
    <row r="54" ht="43.5" customHeight="1" thickBot="1">
      <c r="A54" s="11" t="n"/>
      <c r="B54" s="894" t="n"/>
      <c r="C54" s="784" t="inlineStr">
        <is>
          <t>Laverie Daoui</t>
        </is>
      </c>
      <c r="D54" s="784" t="inlineStr">
        <is>
          <t>Beni-Amir</t>
        </is>
      </c>
      <c r="E54" s="784" t="inlineStr">
        <is>
          <t>Service électrique Khouribga</t>
        </is>
      </c>
      <c r="F54" s="784" t="inlineStr">
        <is>
          <t>Extraction Mine</t>
        </is>
      </c>
      <c r="G54" s="784" t="inlineStr">
        <is>
          <t>BENI IDIR</t>
        </is>
      </c>
      <c r="H54" s="14" t="n"/>
      <c r="I54" s="14" t="n"/>
    </row>
    <row r="55" ht="43.5" customHeight="1" thickBot="1">
      <c r="A55" s="11" t="n"/>
      <c r="B55" s="894" t="n"/>
      <c r="C55" s="895" t="n"/>
      <c r="D55" s="895" t="n"/>
      <c r="E55" s="895" t="n"/>
      <c r="F55" s="895" t="n"/>
      <c r="G55" s="895" t="n"/>
      <c r="H55" s="15" t="n"/>
      <c r="I55" s="15" t="n"/>
    </row>
    <row r="56" ht="26.1" customHeight="1" thickBot="1">
      <c r="A56" s="378" t="n"/>
      <c r="B56" s="895" t="n"/>
      <c r="C56" s="104">
        <f>SUMIFS('Arrêt CRIBLAGE'!$G$18:$G$46,'Arrêt CRIBLAGE'!$D$18:$D$46,C53)</f>
        <v/>
      </c>
      <c r="D56" s="104">
        <f>SUMIFS('Arrêt CRIBLAGE'!$G$18:$G$46,'Arrêt CRIBLAGE'!$D$18:$D$46,D53)</f>
        <v/>
      </c>
      <c r="E56" s="104">
        <f>SUMIFS('Arrêt CRIBLAGE'!$G$18:$G$46,'Arrêt CRIBLAGE'!$D$18:$D$46,E53)</f>
        <v/>
      </c>
      <c r="F56" s="104">
        <f>SUMIFS('Arrêt CRIBLAGE'!$G$18:$G$46,'Arrêt CRIBLAGE'!$D$18:$D$46,F53)</f>
        <v/>
      </c>
      <c r="G56" s="104">
        <f>SUMIFS('Arrêt CRIBLAGE'!$G$18:$G$46,'Arrêt CRIBLAGE'!$D$18:$D$46,G53)</f>
        <v/>
      </c>
      <c r="H56" s="16" t="n"/>
      <c r="I56" s="16" t="n"/>
    </row>
    <row r="57" ht="26.1" customHeight="1" thickBot="1">
      <c r="A57" s="378" t="n"/>
      <c r="B57" s="154" t="inlineStr">
        <is>
          <t>Fréquence</t>
        </is>
      </c>
      <c r="C57" s="153">
        <f>COUNTIF('Arrêt CRIBLAGE'!$D$18:$D$46,C53)</f>
        <v/>
      </c>
      <c r="D57" s="153">
        <f>COUNTIF('Arrêt CRIBLAGE'!$D$18:$D$46,D53)</f>
        <v/>
      </c>
      <c r="E57" s="153">
        <f>COUNTIF('Arrêt CRIBLAGE'!$D$18:$D$46,E53)</f>
        <v/>
      </c>
      <c r="F57" s="153">
        <f>COUNTIF('Arrêt CRIBLAGE'!$D$18:$D$46,F53)</f>
        <v/>
      </c>
      <c r="G57" s="153">
        <f>COUNTIF('Arrêt CRIBLAGE'!$D$18:$D$46,G53)</f>
        <v/>
      </c>
      <c r="H57" s="16" t="n"/>
      <c r="I57" s="16" t="n"/>
    </row>
    <row r="58" ht="18.75" customHeight="1" thickBot="1">
      <c r="A58" s="378" t="n"/>
      <c r="C58" s="17" t="n"/>
      <c r="D58" s="17" t="n"/>
      <c r="E58" s="17" t="n"/>
      <c r="F58" s="17" t="n"/>
      <c r="G58" s="17" t="n"/>
      <c r="H58" s="17" t="n"/>
      <c r="I58" s="17" t="n"/>
    </row>
    <row r="59" ht="43.5" customHeight="1" thickBot="1">
      <c r="A59" s="378" t="n"/>
      <c r="B59" s="781" t="inlineStr">
        <is>
          <t>Synthèse des arrêts</t>
        </is>
      </c>
      <c r="C59" s="784" t="inlineStr">
        <is>
          <t>Total Arrêts</t>
        </is>
      </c>
      <c r="D59" s="784" t="inlineStr">
        <is>
          <t>Total Heures disponibles</t>
        </is>
      </c>
      <c r="E59" s="784" t="inlineStr">
        <is>
          <t>Total Heures de marche HM</t>
        </is>
      </c>
      <c r="F59" s="784" t="inlineStr">
        <is>
          <t>Taux de disponibilité</t>
        </is>
      </c>
      <c r="G59" s="784" t="inlineStr">
        <is>
          <t>Taux d’utilisation TU</t>
        </is>
      </c>
      <c r="H59" s="784" t="inlineStr">
        <is>
          <t>OEE</t>
        </is>
      </c>
    </row>
    <row r="60" ht="43.5" customHeight="1" thickBot="1">
      <c r="B60" s="895" t="n"/>
      <c r="C60" s="101">
        <f>+C50+D50+E50+F50+G50+H50+C56+D56+E56+F56+G56</f>
        <v/>
      </c>
      <c r="D60" s="101">
        <f>D62-D50-E50-F50-G50-H50+E62</f>
        <v/>
      </c>
      <c r="E60" s="101">
        <f>D62+E62-C60</f>
        <v/>
      </c>
      <c r="F60" s="102">
        <f>+D60/D62</f>
        <v/>
      </c>
      <c r="G60" s="102">
        <f>E60/D60</f>
        <v/>
      </c>
      <c r="H60" s="103">
        <f>E60/D62</f>
        <v/>
      </c>
    </row>
    <row r="62" hidden="1" ht="19.5" customHeight="1">
      <c r="D62" s="78" t="n">
        <v>0.9993055555555556</v>
      </c>
      <c r="E62" s="78" t="n">
        <v>0.0006944444444444445</v>
      </c>
    </row>
  </sheetData>
  <mergeCells count="47">
    <mergeCell ref="H35:I35"/>
    <mergeCell ref="H20:I20"/>
    <mergeCell ref="H38:I38"/>
    <mergeCell ref="H29:I29"/>
    <mergeCell ref="C2:D3"/>
    <mergeCell ref="H43:I43"/>
    <mergeCell ref="H41:I41"/>
    <mergeCell ref="F6:G6"/>
    <mergeCell ref="H31:I31"/>
    <mergeCell ref="H44:I44"/>
    <mergeCell ref="C54:C55"/>
    <mergeCell ref="H40:I40"/>
    <mergeCell ref="B9:C10"/>
    <mergeCell ref="H39:I39"/>
    <mergeCell ref="H34:I34"/>
    <mergeCell ref="H25:I25"/>
    <mergeCell ref="H21:I21"/>
    <mergeCell ref="B11:C11"/>
    <mergeCell ref="H46:I46"/>
    <mergeCell ref="E10:I10"/>
    <mergeCell ref="H36:I36"/>
    <mergeCell ref="E54:E55"/>
    <mergeCell ref="E9:I9"/>
    <mergeCell ref="H17:I17"/>
    <mergeCell ref="B53:B56"/>
    <mergeCell ref="H32:I32"/>
    <mergeCell ref="H45:I45"/>
    <mergeCell ref="H19:I19"/>
    <mergeCell ref="H37:I37"/>
    <mergeCell ref="H22:I22"/>
    <mergeCell ref="H28:I28"/>
    <mergeCell ref="G54:G55"/>
    <mergeCell ref="F11:H11"/>
    <mergeCell ref="H27:I27"/>
    <mergeCell ref="D54:D55"/>
    <mergeCell ref="C4:D5"/>
    <mergeCell ref="B48:B50"/>
    <mergeCell ref="H24:I24"/>
    <mergeCell ref="H42:I42"/>
    <mergeCell ref="H18:I18"/>
    <mergeCell ref="H33:I33"/>
    <mergeCell ref="H23:I23"/>
    <mergeCell ref="B14:I15"/>
    <mergeCell ref="F54:F55"/>
    <mergeCell ref="B59:B60"/>
    <mergeCell ref="H30:I30"/>
    <mergeCell ref="H26:I26"/>
  </mergeCells>
  <dataValidations count="3">
    <dataValidation sqref="H18:I46" showDropDown="0" showInputMessage="1" showErrorMessage="1" allowBlank="0" type="list">
      <formula1>INDIRECT(D18)</formula1>
    </dataValidation>
    <dataValidation sqref="C18:C28 C32:C46" showDropDown="0" showInputMessage="1" showErrorMessage="1" allowBlank="0" type="list">
      <formula1>INDIRECT(B18)</formula1>
    </dataValidation>
    <dataValidation sqref="C29:C31" showDropDown="0" showInputMessage="1" showErrorMessage="1" allowBlank="0" type="list">
      <formula1>INDIRECT(B28)</formula1>
    </dataValidation>
  </dataValidations>
  <printOptions horizontalCentered="1" verticalCentered="1"/>
  <pageMargins left="0" right="0.1968503937007874" top="0" bottom="0" header="0" footer="0"/>
  <pageSetup orientation="portrait" paperSize="9" scale="38" horizontalDpi="180" verticalDpi="180"/>
  <rowBreaks count="1" manualBreakCount="1">
    <brk id="60" min="0" max="8" man="1"/>
  </rowBreaks>
</worksheet>
</file>

<file path=xl/worksheets/sheet13.xml><?xml version="1.0" encoding="utf-8"?>
<worksheet xmlns="http://schemas.openxmlformats.org/spreadsheetml/2006/main">
  <sheetPr codeName="Feuil13">
    <outlinePr summaryBelow="1" summaryRight="1"/>
    <pageSetUpPr/>
  </sheetPr>
  <dimension ref="A1:J48"/>
  <sheetViews>
    <sheetView zoomScale="55" zoomScaleNormal="55" workbookViewId="0">
      <selection activeCell="K29" sqref="K29"/>
    </sheetView>
  </sheetViews>
  <sheetFormatPr baseColWidth="8" defaultColWidth="11.25" defaultRowHeight="18.75"/>
  <cols>
    <col width="11.25" customWidth="1" style="124" min="1" max="1"/>
    <col width="18.875" customWidth="1" style="124" min="2" max="2"/>
    <col width="17.5" customWidth="1" style="124" min="3" max="3"/>
    <col width="17.375" customWidth="1" style="124" min="4" max="4"/>
    <col width="18.125" customWidth="1" style="124" min="5" max="5"/>
    <col width="17.125" customWidth="1" style="124" min="6" max="6"/>
    <col width="16.25" customWidth="1" style="124" min="7" max="7"/>
    <col width="21.125" customWidth="1" style="124" min="8" max="8"/>
    <col width="16" customWidth="1" style="124" min="9" max="9"/>
    <col width="18.875" customWidth="1" style="124" min="10" max="10"/>
    <col width="11.25" customWidth="1" style="124" min="11" max="16384"/>
  </cols>
  <sheetData>
    <row r="1" ht="51" customHeight="1">
      <c r="A1" s="122" t="n"/>
      <c r="B1" s="123" t="inlineStr">
        <is>
          <t>RPSC1_LIAISON</t>
        </is>
      </c>
      <c r="C1" s="123" t="inlineStr">
        <is>
          <t>AXE_RP3</t>
        </is>
      </c>
      <c r="D1" s="123" t="inlineStr">
        <is>
          <t>AXE_RP5</t>
        </is>
      </c>
      <c r="E1" s="123" t="inlineStr">
        <is>
          <t>AXE_UBI</t>
        </is>
      </c>
      <c r="F1" s="123" t="inlineStr">
        <is>
          <t>AXE_Laverie_UD</t>
        </is>
      </c>
      <c r="G1" s="123" t="inlineStr">
        <is>
          <t>RPTS_LIAISON</t>
        </is>
      </c>
      <c r="H1" s="123" t="inlineStr">
        <is>
          <t>AXE_CRIBLAGE</t>
        </is>
      </c>
      <c r="I1" s="123" t="inlineStr">
        <is>
          <t>RPSC2_LIAISON</t>
        </is>
      </c>
      <c r="J1" s="123" t="inlineStr">
        <is>
          <t>AXE_BENI_AMIR</t>
        </is>
      </c>
    </row>
    <row r="2" ht="37.5" customHeight="1">
      <c r="A2" s="125" t="inlineStr">
        <is>
          <t>RPSC1_LIAISON</t>
        </is>
      </c>
      <c r="B2" s="126" t="inlineStr">
        <is>
          <t>RPSC1</t>
        </is>
      </c>
      <c r="C2" s="126" t="inlineStr">
        <is>
          <t>H3A</t>
        </is>
      </c>
      <c r="D2" s="126" t="inlineStr">
        <is>
          <t>H'5</t>
        </is>
      </c>
      <c r="E2" s="126" t="inlineStr">
        <is>
          <t>AUTRE</t>
        </is>
      </c>
      <c r="F2" s="126" t="inlineStr">
        <is>
          <t>Trémie T18</t>
        </is>
      </c>
      <c r="G2" s="126" t="inlineStr">
        <is>
          <t>CRIBLAGE</t>
        </is>
      </c>
      <c r="H2" s="125" t="inlineStr">
        <is>
          <t>T11</t>
        </is>
      </c>
      <c r="I2" s="126" t="inlineStr">
        <is>
          <t>TREMIE CARREAU SC2</t>
        </is>
      </c>
      <c r="J2" s="126" t="inlineStr">
        <is>
          <t>TT01</t>
        </is>
      </c>
    </row>
    <row r="3" ht="37.5" customHeight="1">
      <c r="A3" s="125" t="inlineStr">
        <is>
          <t>AXE_RP3</t>
        </is>
      </c>
      <c r="B3" s="126" t="inlineStr">
        <is>
          <t>TF_RPSC</t>
        </is>
      </c>
      <c r="C3" s="126" t="inlineStr">
        <is>
          <t>TREMIE H3</t>
        </is>
      </c>
      <c r="D3" s="126" t="inlineStr">
        <is>
          <t>ROUE A GODETS</t>
        </is>
      </c>
      <c r="E3" s="126" t="inlineStr">
        <is>
          <t>HN</t>
        </is>
      </c>
      <c r="F3" s="126" t="inlineStr">
        <is>
          <t>Décanteur</t>
        </is>
      </c>
      <c r="G3" s="126" t="inlineStr">
        <is>
          <t>TF RPTS</t>
        </is>
      </c>
      <c r="H3" s="125" t="inlineStr">
        <is>
          <t>T12</t>
        </is>
      </c>
      <c r="I3" s="126" t="inlineStr">
        <is>
          <t>RPSC2</t>
        </is>
      </c>
      <c r="J3" s="126" t="inlineStr">
        <is>
          <t>TT02</t>
        </is>
      </c>
    </row>
    <row r="4" ht="37.5" customHeight="1">
      <c r="A4" s="125" t="inlineStr">
        <is>
          <t>AXE_RP5</t>
        </is>
      </c>
      <c r="B4" s="126" t="inlineStr">
        <is>
          <t>ROUE A GODETS</t>
        </is>
      </c>
      <c r="C4" s="126" t="inlineStr">
        <is>
          <t>TF RP3</t>
        </is>
      </c>
      <c r="D4" s="126" t="inlineStr">
        <is>
          <t>AUTRE</t>
        </is>
      </c>
      <c r="E4" s="126" t="inlineStr">
        <is>
          <t>PARC HUMIDE</t>
        </is>
      </c>
      <c r="F4" s="126" t="inlineStr">
        <is>
          <t>LAVERIE</t>
        </is>
      </c>
      <c r="G4" s="126" t="inlineStr">
        <is>
          <t>T8</t>
        </is>
      </c>
      <c r="H4" s="125" t="inlineStr">
        <is>
          <t>T13</t>
        </is>
      </c>
      <c r="I4" s="126" t="inlineStr">
        <is>
          <t>ROUE A GODETS</t>
        </is>
      </c>
      <c r="J4" s="126" t="inlineStr">
        <is>
          <t>TT03</t>
        </is>
      </c>
    </row>
    <row r="5" ht="37.5" customHeight="1">
      <c r="A5" s="125" t="inlineStr">
        <is>
          <t>AXE_UBI</t>
        </is>
      </c>
      <c r="B5" s="126" t="inlineStr">
        <is>
          <t>B3</t>
        </is>
      </c>
      <c r="C5" s="126" t="inlineStr">
        <is>
          <t>ROUE A GODETS</t>
        </is>
      </c>
      <c r="D5" s="126" t="inlineStr">
        <is>
          <t>CIRCUIT DE LA RP5</t>
        </is>
      </c>
      <c r="E5" s="126" t="inlineStr">
        <is>
          <t>HQ</t>
        </is>
      </c>
      <c r="F5" s="126" t="inlineStr">
        <is>
          <t>FL3</t>
        </is>
      </c>
      <c r="G5" s="126" t="inlineStr">
        <is>
          <t>T7</t>
        </is>
      </c>
      <c r="H5" s="125" t="inlineStr">
        <is>
          <t>T14</t>
        </is>
      </c>
      <c r="I5" s="126" t="inlineStr">
        <is>
          <t>LT0"TF_RPSC2"</t>
        </is>
      </c>
      <c r="J5" s="126" t="inlineStr">
        <is>
          <t>TT04</t>
        </is>
      </c>
    </row>
    <row r="6">
      <c r="A6" s="125" t="inlineStr">
        <is>
          <t>AXE_Laverie_UD</t>
        </is>
      </c>
      <c r="B6" s="126" t="inlineStr">
        <is>
          <t>E2</t>
        </is>
      </c>
      <c r="C6" s="126" t="inlineStr">
        <is>
          <t>H'3</t>
        </is>
      </c>
      <c r="D6" s="126" t="inlineStr">
        <is>
          <t>H5</t>
        </is>
      </c>
      <c r="E6" s="126" t="inlineStr">
        <is>
          <t>T4</t>
        </is>
      </c>
      <c r="F6" s="126" t="inlineStr">
        <is>
          <t>FL0</t>
        </is>
      </c>
      <c r="G6" s="126" t="inlineStr">
        <is>
          <t>T6</t>
        </is>
      </c>
      <c r="H6" s="125" t="inlineStr">
        <is>
          <t>CRIBLAGE</t>
        </is>
      </c>
      <c r="I6" s="126" t="inlineStr">
        <is>
          <t>E3</t>
        </is>
      </c>
      <c r="J6" s="126" t="inlineStr">
        <is>
          <t>TT05</t>
        </is>
      </c>
    </row>
    <row r="7">
      <c r="A7" s="125" t="inlineStr">
        <is>
          <t>RPTS_LIAISON</t>
        </is>
      </c>
      <c r="B7" s="126" t="inlineStr">
        <is>
          <t>E1</t>
        </is>
      </c>
      <c r="C7" s="126" t="inlineStr">
        <is>
          <t>H3</t>
        </is>
      </c>
      <c r="D7" s="126" t="inlineStr">
        <is>
          <t>H5A</t>
        </is>
      </c>
      <c r="E7" s="126" t="inlineStr">
        <is>
          <t>HR</t>
        </is>
      </c>
      <c r="F7" s="126" t="inlineStr">
        <is>
          <t>FL1</t>
        </is>
      </c>
      <c r="G7" s="126" t="inlineStr">
        <is>
          <t>T1</t>
        </is>
      </c>
      <c r="H7" s="125" t="inlineStr">
        <is>
          <t>AUTRE</t>
        </is>
      </c>
      <c r="I7" s="126" t="inlineStr">
        <is>
          <t>E4</t>
        </is>
      </c>
      <c r="J7" s="126" t="inlineStr">
        <is>
          <t>STBA</t>
        </is>
      </c>
    </row>
    <row r="8">
      <c r="A8" s="125" t="inlineStr">
        <is>
          <t>AXE_CRIBLAGE</t>
        </is>
      </c>
      <c r="B8" s="126" t="inlineStr">
        <is>
          <t>LS0</t>
        </is>
      </c>
      <c r="C8" s="126" t="inlineStr">
        <is>
          <t>E3</t>
        </is>
      </c>
      <c r="D8" s="126" t="inlineStr">
        <is>
          <t>TF RP5</t>
        </is>
      </c>
      <c r="E8" s="126" t="inlineStr">
        <is>
          <t>T3</t>
        </is>
      </c>
      <c r="F8" s="126" t="inlineStr">
        <is>
          <t>FL2</t>
        </is>
      </c>
      <c r="G8" s="126" t="inlineStr">
        <is>
          <t>RPTS</t>
        </is>
      </c>
      <c r="H8" s="125" t="inlineStr">
        <is>
          <t>UNITE F</t>
        </is>
      </c>
      <c r="I8" s="126" t="inlineStr">
        <is>
          <t>LT1</t>
        </is>
      </c>
      <c r="J8" s="126" t="inlineStr">
        <is>
          <t>S1</t>
        </is>
      </c>
    </row>
    <row r="9" ht="37.5" customHeight="1">
      <c r="A9" s="125" t="inlineStr">
        <is>
          <t>RPSC2_LIAISON</t>
        </is>
      </c>
      <c r="B9" s="126" t="inlineStr">
        <is>
          <t>TREMIE CARREAU SC</t>
        </is>
      </c>
      <c r="C9" s="126" t="inlineStr">
        <is>
          <t>CIRCUIT DE LA RP3</t>
        </is>
      </c>
      <c r="D9" s="126" t="inlineStr">
        <is>
          <t>TREMIE H5</t>
        </is>
      </c>
      <c r="E9" s="126" t="inlineStr">
        <is>
          <t>HY</t>
        </is>
      </c>
      <c r="F9" s="126" t="inlineStr">
        <is>
          <t>FL4</t>
        </is>
      </c>
      <c r="G9" s="126" t="inlineStr">
        <is>
          <t>LIAISON</t>
        </is>
      </c>
      <c r="H9" s="125" t="inlineStr">
        <is>
          <t>UNITE A</t>
        </is>
      </c>
      <c r="I9" s="126" t="inlineStr">
        <is>
          <t>LT2</t>
        </is>
      </c>
      <c r="J9" s="126" t="inlineStr">
        <is>
          <t>S2</t>
        </is>
      </c>
    </row>
    <row r="10">
      <c r="A10" s="125" t="inlineStr">
        <is>
          <t>AXE_BENI_AMIR</t>
        </is>
      </c>
      <c r="B10" s="126" t="inlineStr">
        <is>
          <t>LS1</t>
        </is>
      </c>
      <c r="C10" s="126" t="inlineStr">
        <is>
          <t>AUTRE</t>
        </is>
      </c>
      <c r="D10" s="126" t="inlineStr">
        <is>
          <t>E5</t>
        </is>
      </c>
      <c r="E10" s="126" t="inlineStr">
        <is>
          <t>PL</t>
        </is>
      </c>
      <c r="F10" s="126" t="inlineStr">
        <is>
          <t>CH1</t>
        </is>
      </c>
      <c r="G10" s="126" t="inlineStr">
        <is>
          <t>C1</t>
        </is>
      </c>
      <c r="H10" s="125" t="inlineStr">
        <is>
          <t>UNITE E</t>
        </is>
      </c>
      <c r="I10" s="126" t="inlineStr">
        <is>
          <t>LT3</t>
        </is>
      </c>
      <c r="J10" s="126" t="inlineStr">
        <is>
          <t>NA</t>
        </is>
      </c>
    </row>
    <row r="11">
      <c r="A11" s="125" t="n"/>
      <c r="B11" s="126" t="inlineStr">
        <is>
          <t>LS2</t>
        </is>
      </c>
      <c r="C11" s="126" t="inlineStr">
        <is>
          <t>RP3</t>
        </is>
      </c>
      <c r="D11" s="126" t="inlineStr">
        <is>
          <t>RP5</t>
        </is>
      </c>
      <c r="E11" s="126" t="inlineStr">
        <is>
          <t>LIAISON UBI</t>
        </is>
      </c>
      <c r="F11" s="126" t="inlineStr">
        <is>
          <t>CH2</t>
        </is>
      </c>
      <c r="G11" s="126" t="inlineStr">
        <is>
          <t>C'0</t>
        </is>
      </c>
      <c r="H11" s="125" t="inlineStr">
        <is>
          <t>UNITE G</t>
        </is>
      </c>
      <c r="I11" s="126" t="inlineStr">
        <is>
          <t>LT4</t>
        </is>
      </c>
      <c r="J11" s="126" t="inlineStr">
        <is>
          <t>LH0</t>
        </is>
      </c>
    </row>
    <row r="12">
      <c r="A12" s="125" t="n"/>
      <c r="B12" s="126" t="inlineStr">
        <is>
          <t>LS3</t>
        </is>
      </c>
      <c r="C12" s="126" t="inlineStr">
        <is>
          <t>LS6</t>
        </is>
      </c>
      <c r="D12" s="126" t="inlineStr">
        <is>
          <t>LS6</t>
        </is>
      </c>
      <c r="E12" s="126" t="inlineStr">
        <is>
          <t>PK</t>
        </is>
      </c>
      <c r="F12" s="126" t="inlineStr">
        <is>
          <t>CH3</t>
        </is>
      </c>
      <c r="G12" s="126" t="inlineStr">
        <is>
          <t>C0</t>
        </is>
      </c>
      <c r="H12" s="125" t="inlineStr">
        <is>
          <t>UNITE C</t>
        </is>
      </c>
      <c r="I12" s="126" t="inlineStr">
        <is>
          <t>LIAISON SC2</t>
        </is>
      </c>
      <c r="J12" s="126" t="inlineStr">
        <is>
          <t>LH1</t>
        </is>
      </c>
    </row>
    <row r="13">
      <c r="A13" s="125" t="n"/>
      <c r="B13" s="126" t="inlineStr">
        <is>
          <t>LS4</t>
        </is>
      </c>
      <c r="C13" s="126" t="inlineStr">
        <is>
          <t>LS7</t>
        </is>
      </c>
      <c r="D13" s="126" t="inlineStr">
        <is>
          <t>LS7</t>
        </is>
      </c>
      <c r="E13" s="126" t="inlineStr">
        <is>
          <t>PM2</t>
        </is>
      </c>
      <c r="F13" s="126" t="inlineStr">
        <is>
          <t>CH4</t>
        </is>
      </c>
      <c r="G13" s="126" t="inlineStr">
        <is>
          <t>AUTRE</t>
        </is>
      </c>
      <c r="H13" s="125" t="inlineStr">
        <is>
          <t>UNITE B</t>
        </is>
      </c>
      <c r="I13" s="126" t="inlineStr">
        <is>
          <t>LS1</t>
        </is>
      </c>
      <c r="J13" s="126" t="inlineStr">
        <is>
          <t>LH2</t>
        </is>
      </c>
    </row>
    <row r="14" ht="56.25" customHeight="1">
      <c r="A14" s="125" t="n"/>
      <c r="B14" s="126" t="inlineStr">
        <is>
          <t>LS5</t>
        </is>
      </c>
      <c r="C14" s="126" t="inlineStr">
        <is>
          <t>LS8</t>
        </is>
      </c>
      <c r="D14" s="126" t="inlineStr">
        <is>
          <t>LS8</t>
        </is>
      </c>
      <c r="E14" s="126" t="inlineStr">
        <is>
          <t>ST UBI</t>
        </is>
      </c>
      <c r="F14" s="126" t="inlineStr">
        <is>
          <t>CH5</t>
        </is>
      </c>
      <c r="G14" s="126" t="inlineStr">
        <is>
          <t>TREMIE CRIBLAGE"T7-T8"</t>
        </is>
      </c>
      <c r="H14" s="125" t="inlineStr">
        <is>
          <t>C9A</t>
        </is>
      </c>
      <c r="I14" s="126" t="inlineStr">
        <is>
          <t>LS2</t>
        </is>
      </c>
      <c r="J14" s="126" t="inlineStr">
        <is>
          <t>LH3</t>
        </is>
      </c>
    </row>
    <row r="15" ht="37.5" customHeight="1">
      <c r="A15" s="125" t="n"/>
      <c r="B15" s="126" t="inlineStr">
        <is>
          <t>LS5A</t>
        </is>
      </c>
      <c r="C15" s="126" t="inlineStr">
        <is>
          <t>LS9</t>
        </is>
      </c>
      <c r="D15" s="126" t="inlineStr">
        <is>
          <t>LS9</t>
        </is>
      </c>
      <c r="E15" s="126" t="inlineStr">
        <is>
          <t>T2</t>
        </is>
      </c>
      <c r="F15" s="126" t="inlineStr">
        <is>
          <t>CH6</t>
        </is>
      </c>
      <c r="G15" s="126" t="inlineStr">
        <is>
          <t>ROUE A GODETS</t>
        </is>
      </c>
      <c r="H15" s="125" t="inlineStr">
        <is>
          <t>UNITE D</t>
        </is>
      </c>
      <c r="I15" s="126" t="inlineStr">
        <is>
          <t>LS3</t>
        </is>
      </c>
      <c r="J15" s="126" t="inlineStr">
        <is>
          <t>LH4</t>
        </is>
      </c>
    </row>
    <row r="16">
      <c r="A16" s="125" t="n"/>
      <c r="B16" s="126" t="inlineStr">
        <is>
          <t>LIAISON SC</t>
        </is>
      </c>
      <c r="C16" s="126" t="inlineStr">
        <is>
          <t>LS10</t>
        </is>
      </c>
      <c r="D16" s="126" t="inlineStr">
        <is>
          <t>LS10</t>
        </is>
      </c>
      <c r="E16" s="125" t="n"/>
      <c r="F16" s="126" t="inlineStr">
        <is>
          <t>FS</t>
        </is>
      </c>
      <c r="G16" s="125" t="n"/>
      <c r="H16" s="125" t="inlineStr">
        <is>
          <t>T9G</t>
        </is>
      </c>
      <c r="I16" s="126" t="inlineStr">
        <is>
          <t>LS4</t>
        </is>
      </c>
      <c r="J16" s="126" t="inlineStr">
        <is>
          <t>LH5</t>
        </is>
      </c>
    </row>
    <row r="17">
      <c r="A17" s="125" t="n"/>
      <c r="B17" s="126" t="inlineStr">
        <is>
          <t>LIAISON SC1</t>
        </is>
      </c>
      <c r="C17" s="126" t="inlineStr">
        <is>
          <t>L10</t>
        </is>
      </c>
      <c r="D17" s="126" t="inlineStr">
        <is>
          <t>L10</t>
        </is>
      </c>
      <c r="E17" s="125" t="n"/>
      <c r="F17" s="126" t="inlineStr">
        <is>
          <t>FR</t>
        </is>
      </c>
      <c r="G17" s="125" t="n"/>
      <c r="H17" s="125" t="inlineStr">
        <is>
          <t>C9B</t>
        </is>
      </c>
      <c r="I17" s="126" t="inlineStr">
        <is>
          <t>LS5</t>
        </is>
      </c>
      <c r="J17" s="126" t="inlineStr">
        <is>
          <t>BYPASS</t>
        </is>
      </c>
    </row>
    <row r="18">
      <c r="A18" s="125" t="n"/>
      <c r="B18" s="126" t="inlineStr">
        <is>
          <t>H4</t>
        </is>
      </c>
      <c r="C18" s="126" t="inlineStr">
        <is>
          <t>H8</t>
        </is>
      </c>
      <c r="D18" s="126" t="inlineStr">
        <is>
          <t>H8</t>
        </is>
      </c>
      <c r="E18" s="125" t="n"/>
      <c r="F18" s="126" t="inlineStr">
        <is>
          <t>FE</t>
        </is>
      </c>
      <c r="G18" s="125" t="n"/>
      <c r="H18" s="125" t="inlineStr">
        <is>
          <t>C9C</t>
        </is>
      </c>
      <c r="I18" s="126" t="inlineStr">
        <is>
          <t>LS5A</t>
        </is>
      </c>
      <c r="J18" s="126" t="inlineStr">
        <is>
          <t>AUTRE</t>
        </is>
      </c>
    </row>
    <row r="19" ht="37.5" customHeight="1">
      <c r="A19" s="125" t="n"/>
      <c r="B19" s="126" t="inlineStr">
        <is>
          <t>H6</t>
        </is>
      </c>
      <c r="C19" s="126" t="inlineStr">
        <is>
          <t>H7</t>
        </is>
      </c>
      <c r="D19" s="126" t="inlineStr">
        <is>
          <t>H7</t>
        </is>
      </c>
      <c r="E19" s="125" t="n"/>
      <c r="F19" s="126" t="inlineStr">
        <is>
          <t>FE'</t>
        </is>
      </c>
      <c r="G19" s="125" t="n"/>
      <c r="H19" s="125" t="inlineStr">
        <is>
          <t>C9D</t>
        </is>
      </c>
      <c r="I19" s="126" t="inlineStr">
        <is>
          <t>LIAISON SC</t>
        </is>
      </c>
      <c r="J19" s="126" t="inlineStr">
        <is>
          <t>LIAISON BENI AMIR</t>
        </is>
      </c>
    </row>
    <row r="20">
      <c r="A20" s="125" t="n"/>
      <c r="B20" s="126" t="inlineStr">
        <is>
          <t>H8</t>
        </is>
      </c>
      <c r="C20" s="126" t="inlineStr">
        <is>
          <t>H6</t>
        </is>
      </c>
      <c r="D20" s="126" t="inlineStr">
        <is>
          <t>H6</t>
        </is>
      </c>
      <c r="E20" s="125" t="n"/>
      <c r="F20" s="126" t="inlineStr">
        <is>
          <t>FE1</t>
        </is>
      </c>
      <c r="G20" s="125" t="n"/>
      <c r="H20" s="125" t="inlineStr">
        <is>
          <t>C9E</t>
        </is>
      </c>
      <c r="I20" s="126" t="inlineStr">
        <is>
          <t>H4</t>
        </is>
      </c>
      <c r="J20" s="125" t="n"/>
    </row>
    <row r="21">
      <c r="A21" s="125" t="n"/>
      <c r="B21" s="126" t="inlineStr">
        <is>
          <t>H7</t>
        </is>
      </c>
      <c r="C21" s="125" t="n"/>
      <c r="D21" s="125" t="n"/>
      <c r="E21" s="125" t="n"/>
      <c r="F21" s="126" t="inlineStr">
        <is>
          <t>FE2</t>
        </is>
      </c>
      <c r="G21" s="125" t="n"/>
      <c r="H21" s="125" t="inlineStr">
        <is>
          <t>C9F</t>
        </is>
      </c>
      <c r="I21" s="126" t="inlineStr">
        <is>
          <t>H6</t>
        </is>
      </c>
      <c r="J21" s="125" t="n"/>
    </row>
    <row r="22">
      <c r="A22" s="125" t="n"/>
      <c r="B22" s="126" t="inlineStr">
        <is>
          <t>ST4</t>
        </is>
      </c>
      <c r="C22" s="125" t="n"/>
      <c r="D22" s="125" t="n"/>
      <c r="E22" s="125" t="n"/>
      <c r="F22" s="126" t="inlineStr">
        <is>
          <t>FE3</t>
        </is>
      </c>
      <c r="G22" s="125" t="n"/>
      <c r="H22" s="125" t="inlineStr">
        <is>
          <t>C9G</t>
        </is>
      </c>
      <c r="I22" s="126" t="inlineStr">
        <is>
          <t>H8</t>
        </is>
      </c>
      <c r="J22" s="125" t="n"/>
    </row>
    <row r="23">
      <c r="A23" s="125" t="n"/>
      <c r="B23" s="126" t="inlineStr">
        <is>
          <t>ST6</t>
        </is>
      </c>
      <c r="C23" s="126" t="n"/>
      <c r="D23" s="125" t="n"/>
      <c r="E23" s="125" t="n"/>
      <c r="F23" s="126" t="inlineStr">
        <is>
          <t>FE4</t>
        </is>
      </c>
      <c r="G23" s="125" t="n"/>
      <c r="H23" s="125" t="inlineStr">
        <is>
          <t>T10A</t>
        </is>
      </c>
      <c r="I23" s="126" t="inlineStr">
        <is>
          <t>H7</t>
        </is>
      </c>
      <c r="J23" s="125" t="n"/>
    </row>
    <row r="24">
      <c r="A24" s="125" t="n"/>
      <c r="B24" s="126" t="inlineStr">
        <is>
          <t>AUTRE</t>
        </is>
      </c>
      <c r="C24" s="126" t="n"/>
      <c r="D24" s="125" t="n"/>
      <c r="E24" s="125" t="n"/>
      <c r="F24" s="126" t="inlineStr">
        <is>
          <t>FE5</t>
        </is>
      </c>
      <c r="G24" s="125" t="n"/>
      <c r="H24" s="125" t="inlineStr">
        <is>
          <t>T9A</t>
        </is>
      </c>
      <c r="I24" s="126" t="inlineStr">
        <is>
          <t>ST4</t>
        </is>
      </c>
      <c r="J24" s="125" t="n"/>
    </row>
    <row r="25">
      <c r="A25" s="125" t="n"/>
      <c r="B25" s="125" t="inlineStr">
        <is>
          <t>NA</t>
        </is>
      </c>
      <c r="C25" s="126" t="n"/>
      <c r="D25" s="125" t="n"/>
      <c r="E25" s="125" t="n"/>
      <c r="F25" s="126" t="inlineStr">
        <is>
          <t>T19C</t>
        </is>
      </c>
      <c r="G25" s="125" t="n"/>
      <c r="H25" s="125" t="inlineStr">
        <is>
          <t>T10B</t>
        </is>
      </c>
      <c r="I25" s="126" t="inlineStr">
        <is>
          <t>ST6</t>
        </is>
      </c>
      <c r="J25" s="125" t="n"/>
    </row>
    <row r="26">
      <c r="A26" s="125" t="n"/>
      <c r="B26" s="125" t="n"/>
      <c r="C26" s="126" t="n"/>
      <c r="D26" s="125" t="n"/>
      <c r="E26" s="125" t="n"/>
      <c r="F26" s="126" t="inlineStr">
        <is>
          <t>T19D</t>
        </is>
      </c>
      <c r="G26" s="125" t="n"/>
      <c r="H26" s="125" t="inlineStr">
        <is>
          <t>T9E</t>
        </is>
      </c>
      <c r="I26" s="126" t="inlineStr">
        <is>
          <t>AUTRE</t>
        </is>
      </c>
      <c r="J26" s="125" t="n"/>
    </row>
    <row r="27">
      <c r="A27" s="125" t="n"/>
      <c r="B27" s="125" t="n"/>
      <c r="C27" s="126" t="n"/>
      <c r="D27" s="125" t="n"/>
      <c r="E27" s="125" t="n"/>
      <c r="F27" s="126" t="inlineStr">
        <is>
          <t>ST2</t>
        </is>
      </c>
      <c r="G27" s="125" t="n"/>
      <c r="H27" s="125" t="inlineStr">
        <is>
          <t>T9D</t>
        </is>
      </c>
      <c r="I27" s="125" t="inlineStr">
        <is>
          <t>LH0</t>
        </is>
      </c>
      <c r="J27" s="125" t="n"/>
    </row>
    <row r="28">
      <c r="A28" s="125" t="n"/>
      <c r="B28" s="125" t="n"/>
      <c r="C28" s="125" t="n"/>
      <c r="D28" s="125" t="n"/>
      <c r="E28" s="125" t="n"/>
      <c r="F28" s="126" t="inlineStr">
        <is>
          <t>COMMUN</t>
        </is>
      </c>
      <c r="G28" s="125" t="n"/>
      <c r="H28" s="125" t="inlineStr">
        <is>
          <t>T9B</t>
        </is>
      </c>
      <c r="I28" s="125" t="inlineStr">
        <is>
          <t>Bypass</t>
        </is>
      </c>
      <c r="J28" s="125" t="n"/>
    </row>
    <row r="29">
      <c r="A29" s="125" t="n"/>
      <c r="B29" s="125" t="n"/>
      <c r="C29" s="125" t="n"/>
      <c r="D29" s="125" t="n"/>
      <c r="E29" s="125" t="n"/>
      <c r="F29" s="126" t="inlineStr">
        <is>
          <t>LS12</t>
        </is>
      </c>
      <c r="G29" s="125" t="n"/>
      <c r="H29" s="125" t="inlineStr">
        <is>
          <t>T9F</t>
        </is>
      </c>
      <c r="I29" s="125" t="n"/>
      <c r="J29" s="125" t="n"/>
    </row>
    <row r="30">
      <c r="A30" s="125" t="n"/>
      <c r="B30" s="125" t="n"/>
      <c r="C30" s="126" t="n"/>
      <c r="D30" s="125" t="n"/>
      <c r="E30" s="125" t="n"/>
      <c r="F30" s="126" t="inlineStr">
        <is>
          <t>H2</t>
        </is>
      </c>
      <c r="G30" s="125" t="n"/>
      <c r="H30" s="125" t="inlineStr">
        <is>
          <t>T10G</t>
        </is>
      </c>
      <c r="I30" s="125" t="n"/>
      <c r="J30" s="125" t="n"/>
    </row>
    <row r="31">
      <c r="A31" s="125" t="n"/>
      <c r="B31" s="125" t="n"/>
      <c r="C31" s="126" t="n"/>
      <c r="D31" s="125" t="n"/>
      <c r="E31" s="125" t="n"/>
      <c r="F31" s="126" t="inlineStr">
        <is>
          <t>AUTRE</t>
        </is>
      </c>
      <c r="G31" s="125" t="n"/>
      <c r="H31" s="125" t="inlineStr">
        <is>
          <t>T10F</t>
        </is>
      </c>
      <c r="I31" s="125" t="n"/>
      <c r="J31" s="125" t="n"/>
    </row>
    <row r="32">
      <c r="A32" s="125" t="n"/>
      <c r="B32" s="125" t="n"/>
      <c r="C32" s="125" t="n"/>
      <c r="D32" s="125" t="n"/>
      <c r="E32" s="125" t="n"/>
      <c r="F32" s="125" t="inlineStr">
        <is>
          <t>T26</t>
        </is>
      </c>
      <c r="G32" s="125" t="n"/>
      <c r="H32" s="125" t="inlineStr">
        <is>
          <t>T10E</t>
        </is>
      </c>
      <c r="I32" s="125" t="n"/>
      <c r="J32" s="125" t="n"/>
    </row>
    <row r="33">
      <c r="A33" s="125" t="n"/>
      <c r="B33" s="125" t="n"/>
      <c r="C33" s="125" t="n"/>
      <c r="D33" s="125" t="n"/>
      <c r="E33" s="125" t="n"/>
      <c r="F33" s="125" t="inlineStr">
        <is>
          <t>T25</t>
        </is>
      </c>
      <c r="G33" s="125" t="n"/>
      <c r="H33" s="125" t="inlineStr">
        <is>
          <t>T10D</t>
        </is>
      </c>
      <c r="I33" s="125" t="n"/>
      <c r="J33" s="125" t="n"/>
    </row>
    <row r="34">
      <c r="A34" s="125" t="n"/>
      <c r="B34" s="125" t="n"/>
      <c r="C34" s="125" t="n"/>
      <c r="D34" s="125" t="n"/>
      <c r="E34" s="125" t="n"/>
      <c r="F34" s="125" t="inlineStr">
        <is>
          <t>T23</t>
        </is>
      </c>
      <c r="G34" s="125" t="n"/>
      <c r="H34" s="125" t="inlineStr">
        <is>
          <t>T10C</t>
        </is>
      </c>
      <c r="I34" s="125" t="n"/>
      <c r="J34" s="125" t="n"/>
    </row>
    <row r="35">
      <c r="A35" s="125" t="n"/>
      <c r="B35" s="125" t="n"/>
      <c r="C35" s="125" t="n"/>
      <c r="D35" s="125" t="n"/>
      <c r="E35" s="125" t="n"/>
      <c r="F35" s="125" t="inlineStr">
        <is>
          <t>T27+JOY_T27</t>
        </is>
      </c>
      <c r="G35" s="125" t="n"/>
      <c r="H35" s="125" t="inlineStr">
        <is>
          <t>T9C</t>
        </is>
      </c>
      <c r="I35" s="125" t="n"/>
      <c r="J35" s="125" t="n"/>
    </row>
    <row r="36">
      <c r="A36" s="125" t="n"/>
      <c r="B36" s="125" t="n"/>
      <c r="C36" s="125" t="n"/>
      <c r="D36" s="125" t="n"/>
      <c r="E36" s="125" t="n"/>
      <c r="F36" s="126" t="inlineStr">
        <is>
          <t>T22+JOY_T22</t>
        </is>
      </c>
      <c r="G36" s="125" t="n"/>
      <c r="H36" s="125" t="n"/>
      <c r="I36" s="125" t="n"/>
      <c r="J36" s="125" t="n"/>
    </row>
    <row r="37">
      <c r="A37" s="125" t="n"/>
      <c r="B37" s="125" t="n"/>
      <c r="C37" s="125" t="n"/>
      <c r="D37" s="125" t="n"/>
      <c r="E37" s="125" t="n"/>
      <c r="F37" s="126" t="inlineStr">
        <is>
          <t>T20_T21</t>
        </is>
      </c>
      <c r="G37" s="125" t="n"/>
      <c r="H37" s="125" t="n"/>
      <c r="I37" s="125" t="n"/>
      <c r="J37" s="125" t="n"/>
    </row>
    <row r="38">
      <c r="A38" s="125" t="n"/>
      <c r="B38" s="125" t="n"/>
      <c r="C38" s="125" t="n"/>
      <c r="D38" s="125" t="n"/>
      <c r="E38" s="125" t="n"/>
      <c r="F38" s="126" t="inlineStr">
        <is>
          <t>T16</t>
        </is>
      </c>
      <c r="G38" s="125" t="n"/>
      <c r="H38" s="125" t="n"/>
      <c r="I38" s="125" t="n"/>
      <c r="J38" s="125" t="n"/>
    </row>
    <row r="39">
      <c r="A39" s="125" t="n"/>
      <c r="B39" s="125" t="n"/>
      <c r="C39" s="126" t="n"/>
      <c r="D39" s="125" t="n"/>
      <c r="E39" s="125" t="n"/>
      <c r="F39" s="125" t="inlineStr">
        <is>
          <t>FT</t>
        </is>
      </c>
      <c r="G39" s="125" t="n"/>
      <c r="H39" s="125" t="n"/>
      <c r="I39" s="125" t="n"/>
      <c r="J39" s="125" t="n"/>
    </row>
    <row r="40">
      <c r="A40" s="125" t="n"/>
      <c r="B40" s="125" t="n"/>
      <c r="C40" s="126" t="n"/>
      <c r="D40" s="125" t="n"/>
      <c r="E40" s="125" t="n"/>
      <c r="F40" s="126" t="inlineStr">
        <is>
          <t>T17+JOY_T17</t>
        </is>
      </c>
      <c r="G40" s="125" t="n"/>
      <c r="H40" s="125" t="n"/>
      <c r="I40" s="125" t="n"/>
      <c r="J40" s="125" t="n"/>
    </row>
    <row r="44">
      <c r="F44" s="127" t="n"/>
    </row>
    <row r="45">
      <c r="F45" s="127" t="n"/>
    </row>
    <row r="46">
      <c r="F46" s="127" t="n"/>
    </row>
    <row r="47">
      <c r="F47" s="127" t="n"/>
    </row>
    <row r="48">
      <c r="F48" s="127" t="n"/>
    </row>
  </sheetData>
  <pageMargins left="0.7" right="0.7" top="0.75" bottom="0.75" header="0.3" footer="0.3"/>
  <pageSetup orientation="portrait" paperSize="9" horizontalDpi="1200" verticalDpi="1200"/>
</worksheet>
</file>

<file path=xl/worksheets/sheet14.xml><?xml version="1.0" encoding="utf-8"?>
<worksheet xmlns="http://schemas.openxmlformats.org/spreadsheetml/2006/main">
  <sheetPr codeName="Feuil14">
    <outlinePr summaryBelow="1" summaryRight="1"/>
    <pageSetUpPr/>
  </sheetPr>
  <dimension ref="A3:N120"/>
  <sheetViews>
    <sheetView showFormulas="1" zoomScale="55" zoomScaleNormal="55" workbookViewId="0">
      <selection activeCell="F24" sqref="F24"/>
    </sheetView>
  </sheetViews>
  <sheetFormatPr baseColWidth="8" defaultColWidth="11" defaultRowHeight="18"/>
  <cols>
    <col width="11" customWidth="1" style="111" min="1" max="1"/>
    <col width="29" customWidth="1" style="111" min="2" max="2"/>
    <col width="24.625" customWidth="1" style="111" min="3" max="3"/>
    <col width="51.5" customWidth="1" style="111" min="4" max="4"/>
    <col width="40" customWidth="1" style="111" min="5" max="5"/>
    <col width="43.25" customWidth="1" style="111" min="6" max="6"/>
    <col width="29.875" customWidth="1" style="111" min="7" max="7"/>
    <col width="27.75" customWidth="1" style="111" min="8" max="8"/>
    <col width="21.875" customWidth="1" style="111" min="9" max="9"/>
    <col width="27.25" customWidth="1" style="111" min="10" max="10"/>
    <col width="20.375" customWidth="1" style="111" min="11" max="11"/>
    <col width="29.625" customWidth="1" style="111" min="12" max="12"/>
    <col width="23.625" customWidth="1" style="111" min="13" max="13"/>
    <col width="11" customWidth="1" style="111" min="14" max="16384"/>
  </cols>
  <sheetData>
    <row r="3">
      <c r="A3" s="113" t="inlineStr">
        <is>
          <t>service</t>
        </is>
      </c>
      <c r="B3" s="113" t="inlineStr">
        <is>
          <t>E_MAN</t>
        </is>
      </c>
      <c r="C3" s="113" t="inlineStr">
        <is>
          <t>M_ELEC</t>
        </is>
      </c>
      <c r="D3" s="113" t="inlineStr">
        <is>
          <t>M_MEC</t>
        </is>
      </c>
      <c r="E3" s="113" t="inlineStr">
        <is>
          <t>M_INS</t>
        </is>
      </c>
      <c r="F3" s="113" t="inlineStr">
        <is>
          <t>M_REG</t>
        </is>
      </c>
      <c r="G3" s="113" t="inlineStr">
        <is>
          <t>M_BDM</t>
        </is>
      </c>
      <c r="H3" s="114" t="inlineStr">
        <is>
          <t>E_LAV</t>
        </is>
      </c>
      <c r="I3" s="114" t="inlineStr">
        <is>
          <t>X_COZ</t>
        </is>
      </c>
      <c r="J3" s="114" t="inlineStr">
        <is>
          <t>X_UBI</t>
        </is>
      </c>
      <c r="K3" s="114" t="inlineStr">
        <is>
          <t>X_EXT</t>
        </is>
      </c>
      <c r="L3" s="114" t="inlineStr">
        <is>
          <t>X_LME</t>
        </is>
      </c>
      <c r="M3" s="114" t="inlineStr">
        <is>
          <t>X_LBA</t>
        </is>
      </c>
      <c r="N3" s="111" t="inlineStr">
        <is>
          <t>Sce des eaux</t>
        </is>
      </c>
    </row>
    <row r="4" ht="36" customHeight="1">
      <c r="A4" s="115" t="inlineStr">
        <is>
          <t>E_MAN</t>
        </is>
      </c>
      <c r="B4" s="117" t="inlineStr">
        <is>
          <t>Aiguillage volet</t>
        </is>
      </c>
      <c r="C4" s="491" t="inlineStr">
        <is>
          <t>Changement de moteur électrique</t>
        </is>
      </c>
      <c r="D4" s="118" t="inlineStr">
        <is>
          <t>Ajustage électro_freins</t>
        </is>
      </c>
      <c r="E4" s="112" t="inlineStr">
        <is>
          <t>Addition des éléments infrastructure</t>
        </is>
      </c>
      <c r="F4" s="117" t="inlineStr">
        <is>
          <t>Autre</t>
        </is>
      </c>
      <c r="G4" s="117" t="inlineStr">
        <is>
          <t>Arrêt planifié</t>
        </is>
      </c>
      <c r="H4" s="117" t="inlineStr">
        <is>
          <t>adaptation à l'arrêt</t>
        </is>
      </c>
      <c r="I4" s="112" t="n"/>
      <c r="J4" s="117" t="inlineStr">
        <is>
          <t>Attente création place au parc</t>
        </is>
      </c>
      <c r="K4" s="117" t="inlineStr">
        <is>
          <t>Attente formation Stock</t>
        </is>
      </c>
      <c r="L4" s="117" t="inlineStr">
        <is>
          <t>Coupure de courant</t>
        </is>
      </c>
      <c r="M4" s="117" t="inlineStr">
        <is>
          <t>agrafage</t>
        </is>
      </c>
      <c r="N4" s="112" t="inlineStr">
        <is>
          <t>Travaux sur conduite de l'eau</t>
        </is>
      </c>
    </row>
    <row r="5" ht="36" customHeight="1">
      <c r="A5" s="115" t="inlineStr">
        <is>
          <t>M_ELEC</t>
        </is>
      </c>
      <c r="B5" s="117" t="inlineStr">
        <is>
          <t>Aménagement sterile</t>
        </is>
      </c>
      <c r="C5" s="117" t="inlineStr">
        <is>
          <t>Aménagement câbles</t>
        </is>
      </c>
      <c r="D5" s="118" t="inlineStr">
        <is>
          <t>Appoint d'huile sur CH</t>
        </is>
      </c>
      <c r="E5" s="112" t="inlineStr">
        <is>
          <t>Agraffage</t>
        </is>
      </c>
      <c r="F5" s="117" t="inlineStr">
        <is>
          <t>caméra Hors service</t>
        </is>
      </c>
      <c r="G5" s="117" t="inlineStr">
        <is>
          <t>Essai matière</t>
        </is>
      </c>
      <c r="H5" s="117" t="inlineStr">
        <is>
          <t>Arrêt actionné</t>
        </is>
      </c>
      <c r="I5" s="112" t="n"/>
      <c r="J5" s="117" t="inlineStr">
        <is>
          <t>Attente démarrage liaison UBI</t>
        </is>
      </c>
      <c r="K5" s="117" t="inlineStr">
        <is>
          <t>attente produit</t>
        </is>
      </c>
      <c r="L5" s="117" t="inlineStr">
        <is>
          <t>Délestage</t>
        </is>
      </c>
      <c r="M5" s="117" t="inlineStr">
        <is>
          <t>aiguillage</t>
        </is>
      </c>
    </row>
    <row r="6" ht="36" customHeight="1">
      <c r="A6" s="115" t="inlineStr">
        <is>
          <t>M_MEC</t>
        </is>
      </c>
      <c r="B6" s="117" t="inlineStr">
        <is>
          <t>Arrêt actionné</t>
        </is>
      </c>
      <c r="C6" s="117" t="inlineStr">
        <is>
          <t>Arrachement câble</t>
        </is>
      </c>
      <c r="D6" s="118" t="inlineStr">
        <is>
          <t>Appoint d'huile sur Réducteur</t>
        </is>
      </c>
      <c r="E6" s="112" t="inlineStr">
        <is>
          <t>Ajustag bavette roue à godet</t>
        </is>
      </c>
      <c r="F6" s="117" t="inlineStr">
        <is>
          <t>Déclenchement</t>
        </is>
      </c>
      <c r="G6" s="112" t="n"/>
      <c r="H6" s="117" t="inlineStr">
        <is>
          <t>Arrêt actionné par le préposé</t>
        </is>
      </c>
      <c r="I6" s="112" t="n"/>
      <c r="J6" s="117" t="inlineStr">
        <is>
          <t xml:space="preserve">Entretien </t>
        </is>
      </c>
      <c r="K6" s="117" t="inlineStr">
        <is>
          <t>Autre</t>
        </is>
      </c>
      <c r="L6" s="117" t="inlineStr">
        <is>
          <t>Entretien Poste électrique</t>
        </is>
      </c>
      <c r="M6" s="117" t="inlineStr">
        <is>
          <t>appoint d'huile sur CH</t>
        </is>
      </c>
    </row>
    <row r="7" ht="36" customHeight="1">
      <c r="A7" s="115" t="inlineStr">
        <is>
          <t>M_INS</t>
        </is>
      </c>
      <c r="B7" s="117" t="inlineStr">
        <is>
          <t>Arrêt décidé</t>
        </is>
      </c>
      <c r="C7" s="117" t="inlineStr">
        <is>
          <t>Arrêt électrique planifié</t>
        </is>
      </c>
      <c r="D7" s="118" t="inlineStr">
        <is>
          <t>Arbre cisaillé</t>
        </is>
      </c>
      <c r="E7" s="112" t="inlineStr">
        <is>
          <t>Ajustage bavette</t>
        </is>
      </c>
      <c r="F7" s="117" t="inlineStr">
        <is>
          <t>Défaut de communication</t>
        </is>
      </c>
      <c r="G7" s="112" t="n"/>
      <c r="H7" s="117" t="inlineStr">
        <is>
          <t>Arrêt commun</t>
        </is>
      </c>
      <c r="I7" s="112" t="n"/>
      <c r="J7" s="117" t="inlineStr">
        <is>
          <t>Bouchage golotte</t>
        </is>
      </c>
      <c r="K7" s="117" t="inlineStr">
        <is>
          <t>Briquet</t>
        </is>
      </c>
      <c r="L7" s="112" t="n"/>
      <c r="M7" s="117" t="inlineStr">
        <is>
          <t>appoint d'huile sur réducteur</t>
        </is>
      </c>
    </row>
    <row r="8">
      <c r="A8" s="115" t="inlineStr">
        <is>
          <t>M_REG</t>
        </is>
      </c>
      <c r="B8" s="117" t="inlineStr">
        <is>
          <t>Arrêt disponible</t>
        </is>
      </c>
      <c r="C8" s="117" t="inlineStr">
        <is>
          <t>Arrêt planifié</t>
        </is>
      </c>
      <c r="D8" s="118" t="inlineStr">
        <is>
          <t>Arrêt planifié</t>
        </is>
      </c>
      <c r="E8" s="112" t="inlineStr">
        <is>
          <t>Arrêt planifié installation</t>
        </is>
      </c>
      <c r="F8" s="117" t="inlineStr">
        <is>
          <t>Défaut de translation</t>
        </is>
      </c>
      <c r="G8" s="112" t="n"/>
      <c r="H8" s="117" t="inlineStr">
        <is>
          <t>Arrêt décidé</t>
        </is>
      </c>
      <c r="I8" s="112" t="n"/>
      <c r="J8" s="117" t="inlineStr">
        <is>
          <t>Changement axe</t>
        </is>
      </c>
      <c r="K8" s="117" t="inlineStr">
        <is>
          <t>Changement axe</t>
        </is>
      </c>
      <c r="L8" s="112" t="n"/>
      <c r="M8" s="117" t="inlineStr">
        <is>
          <t>arrêt actionné</t>
        </is>
      </c>
    </row>
    <row r="9" ht="36" customHeight="1">
      <c r="A9" s="115" t="inlineStr">
        <is>
          <t>M_BDM</t>
        </is>
      </c>
      <c r="B9" s="117" t="inlineStr">
        <is>
          <t>Arrêt planifié pour travaux d'exploitation</t>
        </is>
      </c>
      <c r="C9" s="117" t="inlineStr">
        <is>
          <t>assistance électrique pour translation</t>
        </is>
      </c>
      <c r="D9" s="118" t="inlineStr">
        <is>
          <t>Arrêt planifié mécanique</t>
        </is>
      </c>
      <c r="E9" s="112" t="inlineStr">
        <is>
          <t>Attent liberation</t>
        </is>
      </c>
      <c r="F9" s="117" t="inlineStr">
        <is>
          <t>Défaut de variateur de vitesse</t>
        </is>
      </c>
      <c r="G9" s="112" t="n"/>
      <c r="H9" s="117" t="inlineStr">
        <is>
          <t>Attent vidange axe</t>
        </is>
      </c>
      <c r="I9" s="112" t="n"/>
      <c r="J9" s="117" t="inlineStr">
        <is>
          <t>Chute de tension</t>
        </is>
      </c>
      <c r="K9" s="117" t="inlineStr">
        <is>
          <t>chargeuse indisponible</t>
        </is>
      </c>
      <c r="L9" s="112" t="n"/>
      <c r="M9" s="117" t="inlineStr">
        <is>
          <t>arrêt liaison BA</t>
        </is>
      </c>
    </row>
    <row r="10" ht="36" customHeight="1">
      <c r="A10" s="116" t="inlineStr">
        <is>
          <t>E_LAV</t>
        </is>
      </c>
      <c r="B10" s="117" t="inlineStr">
        <is>
          <t>Arrêt suit travaux électriques sur liaison TS</t>
        </is>
      </c>
      <c r="C10" s="117" t="inlineStr">
        <is>
          <t>Attente annulation sécurité</t>
        </is>
      </c>
      <c r="D10" s="118" t="inlineStr">
        <is>
          <t>Autre</t>
        </is>
      </c>
      <c r="E10" s="112" t="inlineStr">
        <is>
          <t>Attente avancement</t>
        </is>
      </c>
      <c r="F10" s="117" t="inlineStr">
        <is>
          <t>Défaut d'orientation</t>
        </is>
      </c>
      <c r="G10" s="112" t="n"/>
      <c r="H10" s="117" t="inlineStr">
        <is>
          <t>Attente création place</t>
        </is>
      </c>
      <c r="I10" s="112" t="n"/>
      <c r="J10" s="117" t="inlineStr">
        <is>
          <t>Coupure de courant</t>
        </is>
      </c>
      <c r="K10" s="117" t="inlineStr">
        <is>
          <t>Chute de tension</t>
        </is>
      </c>
      <c r="L10" s="112" t="n"/>
      <c r="M10" s="117" t="inlineStr">
        <is>
          <t>Attente démarrage liaison BA</t>
        </is>
      </c>
    </row>
    <row r="11" ht="54" customHeight="1">
      <c r="A11" s="116" t="inlineStr">
        <is>
          <t>X_COZ</t>
        </is>
      </c>
      <c r="B11" s="117" t="inlineStr">
        <is>
          <t>Arrêt suit travaux installations sur liaison TS</t>
        </is>
      </c>
      <c r="C11" s="117" t="inlineStr">
        <is>
          <t>Autre</t>
        </is>
      </c>
      <c r="D11" s="118" t="inlineStr">
        <is>
          <t>Avancement joy</t>
        </is>
      </c>
      <c r="E11" s="112" t="inlineStr">
        <is>
          <t>AU Actionné(Arrêt Rupture Bande)</t>
        </is>
      </c>
      <c r="F11" s="117" t="inlineStr">
        <is>
          <t>Défaut régulation</t>
        </is>
      </c>
      <c r="G11" s="112" t="n"/>
      <c r="H11" s="117" t="inlineStr">
        <is>
          <t>Attente création stock</t>
        </is>
      </c>
      <c r="I11" s="112" t="n"/>
      <c r="J11" s="117" t="inlineStr">
        <is>
          <t>Défaut d'installation"SI"</t>
        </is>
      </c>
      <c r="K11" s="117" t="inlineStr">
        <is>
          <t>Coupure de courant</t>
        </is>
      </c>
      <c r="L11" s="112" t="n"/>
      <c r="M11" s="117" t="inlineStr">
        <is>
          <t>Autre</t>
        </is>
      </c>
    </row>
    <row r="12" ht="54" customHeight="1">
      <c r="A12" s="116" t="inlineStr">
        <is>
          <t>X_UBI</t>
        </is>
      </c>
      <c r="B12" s="117" t="inlineStr">
        <is>
          <t>Arrêt suit travaux mécaniques sur liaison TS</t>
        </is>
      </c>
      <c r="C12" s="117" t="inlineStr">
        <is>
          <t>Branchement</t>
        </is>
      </c>
      <c r="D12" s="118" t="inlineStr">
        <is>
          <t>Bruit anormal</t>
        </is>
      </c>
      <c r="E12" s="112" t="inlineStr">
        <is>
          <t>Autre</t>
        </is>
      </c>
      <c r="F12" s="117" t="inlineStr">
        <is>
          <t>Défaut sur automate</t>
        </is>
      </c>
      <c r="G12" s="112" t="n"/>
      <c r="H12" s="117" t="inlineStr">
        <is>
          <t>Attente vidange axe</t>
        </is>
      </c>
      <c r="I12" s="112" t="n"/>
      <c r="J12" s="117" t="inlineStr">
        <is>
          <t>Défaut électrique</t>
        </is>
      </c>
      <c r="K12" s="117" t="inlineStr">
        <is>
          <t>Défaut électrique</t>
        </is>
      </c>
      <c r="L12" s="112" t="n"/>
      <c r="M12" s="117" t="inlineStr">
        <is>
          <t>bouchage</t>
        </is>
      </c>
    </row>
    <row r="13" ht="36" customHeight="1">
      <c r="A13" s="116" t="inlineStr">
        <is>
          <t>X_EXT</t>
        </is>
      </c>
      <c r="B13" s="117" t="inlineStr">
        <is>
          <t>Arrêt suit travaux régulations sur liaison TS</t>
        </is>
      </c>
      <c r="C13" s="117" t="inlineStr">
        <is>
          <t>Branchement moteur électrique</t>
        </is>
      </c>
      <c r="D13" s="118" t="inlineStr">
        <is>
          <t>Changement accouplement</t>
        </is>
      </c>
      <c r="E13" s="112" t="inlineStr">
        <is>
          <t>Avancement</t>
        </is>
      </c>
      <c r="F13" s="117" t="inlineStr">
        <is>
          <t>Essais matiére</t>
        </is>
      </c>
      <c r="G13" s="112" t="n"/>
      <c r="H13" s="117" t="inlineStr">
        <is>
          <t>Autre</t>
        </is>
      </c>
      <c r="I13" s="112" t="n"/>
      <c r="J13" s="117" t="inlineStr">
        <is>
          <t>Déport bande</t>
        </is>
      </c>
      <c r="K13" s="117" t="inlineStr">
        <is>
          <t>défaut sur chargeuse</t>
        </is>
      </c>
      <c r="L13" s="112" t="n"/>
      <c r="M13" s="117" t="inlineStr">
        <is>
          <t>bourrage</t>
        </is>
      </c>
    </row>
    <row r="14" ht="36" customHeight="1">
      <c r="A14" s="116" t="inlineStr">
        <is>
          <t>X_LME</t>
        </is>
      </c>
      <c r="B14" s="117" t="inlineStr">
        <is>
          <t>Attent vidange circuit</t>
        </is>
      </c>
      <c r="C14" s="117" t="inlineStr">
        <is>
          <t>Chute de tention</t>
        </is>
      </c>
      <c r="D14" s="118" t="inlineStr">
        <is>
          <t>Changement accouplement / RàG</t>
        </is>
      </c>
      <c r="E14" s="112" t="inlineStr">
        <is>
          <t>Bande délogée</t>
        </is>
      </c>
      <c r="F14" s="117" t="inlineStr">
        <is>
          <t>Etalonnage bascule</t>
        </is>
      </c>
      <c r="G14" s="112" t="n"/>
      <c r="H14" s="117" t="inlineStr">
        <is>
          <t>Blocage superviseur</t>
        </is>
      </c>
      <c r="I14" s="112" t="n"/>
      <c r="J14" s="117" t="inlineStr">
        <is>
          <t>Entretien sur liaison</t>
        </is>
      </c>
      <c r="K14" s="117" t="inlineStr">
        <is>
          <t>Entretien de la liaison</t>
        </is>
      </c>
      <c r="L14" s="112" t="n"/>
      <c r="M14" s="117" t="inlineStr">
        <is>
          <t>Changement axe d'alimentation</t>
        </is>
      </c>
    </row>
    <row r="15">
      <c r="A15" s="115" t="n"/>
      <c r="B15" s="112" t="n"/>
      <c r="C15" s="117" t="inlineStr">
        <is>
          <t>Contrôle électrique</t>
        </is>
      </c>
      <c r="D15" s="118" t="inlineStr">
        <is>
          <t>Fuit d'huile / réducteur</t>
        </is>
      </c>
      <c r="E15" s="112" t="inlineStr">
        <is>
          <t>Bande détendu</t>
        </is>
      </c>
      <c r="F15" s="112" t="n"/>
      <c r="G15" s="112" t="n"/>
      <c r="H15" s="117" t="inlineStr">
        <is>
          <t>défaut de bourrage</t>
        </is>
      </c>
      <c r="I15" s="112" t="n"/>
      <c r="J15" s="112" t="n"/>
      <c r="K15" s="112" t="n"/>
      <c r="L15" s="112" t="n"/>
      <c r="M15" s="112" t="n"/>
    </row>
    <row r="16" ht="36" customHeight="1">
      <c r="A16" s="116" t="inlineStr">
        <is>
          <t>X_LBA</t>
        </is>
      </c>
      <c r="B16" s="117" t="inlineStr">
        <is>
          <t>Attente création place</t>
        </is>
      </c>
      <c r="C16" s="112" t="n"/>
      <c r="D16" s="118" t="inlineStr">
        <is>
          <t>Changement accouplement / TF</t>
        </is>
      </c>
      <c r="E16" s="112" t="inlineStr">
        <is>
          <t>Bande lachée</t>
        </is>
      </c>
      <c r="F16" s="117" t="inlineStr">
        <is>
          <t>Indisponible</t>
        </is>
      </c>
      <c r="G16" s="112" t="n"/>
      <c r="H16" s="117" t="inlineStr">
        <is>
          <t>Bouchage golotte</t>
        </is>
      </c>
      <c r="I16" s="112" t="n"/>
      <c r="J16" s="117" t="inlineStr">
        <is>
          <t>Nettoyage</t>
        </is>
      </c>
      <c r="K16" s="117" t="inlineStr">
        <is>
          <t>Insuffisance produit conforme</t>
        </is>
      </c>
      <c r="L16" s="112" t="n"/>
      <c r="M16" s="117" t="inlineStr">
        <is>
          <t>changement des rouleaux</t>
        </is>
      </c>
    </row>
    <row r="17" ht="36" customHeight="1">
      <c r="A17" s="115" t="n"/>
      <c r="B17" s="117" t="inlineStr">
        <is>
          <t>Attente égouttage de produit lavée</t>
        </is>
      </c>
      <c r="C17" s="117" t="inlineStr">
        <is>
          <t>Coupure de courant</t>
        </is>
      </c>
      <c r="D17" s="118" t="inlineStr">
        <is>
          <t>Changement accouplement de translation</t>
        </is>
      </c>
      <c r="E17" s="112" t="inlineStr">
        <is>
          <t>Bavette délogée</t>
        </is>
      </c>
      <c r="F17" s="117" t="inlineStr">
        <is>
          <t>Travaux Régulation</t>
        </is>
      </c>
      <c r="G17" s="112" t="n"/>
      <c r="H17" s="117" t="inlineStr">
        <is>
          <t>Bouchage collecteur</t>
        </is>
      </c>
      <c r="I17" s="112" t="n"/>
      <c r="J17" s="117" t="inlineStr">
        <is>
          <t>Orientation ST_UBI</t>
        </is>
      </c>
      <c r="K17" s="117" t="inlineStr">
        <is>
          <t>Manque produit</t>
        </is>
      </c>
      <c r="L17" s="112" t="n"/>
      <c r="M17" s="117" t="inlineStr">
        <is>
          <t>changement navette</t>
        </is>
      </c>
    </row>
    <row r="18" ht="36" customHeight="1">
      <c r="A18" s="115" t="n"/>
      <c r="B18" s="117" t="inlineStr">
        <is>
          <t>Attente formation stock</t>
        </is>
      </c>
      <c r="C18" s="117" t="inlineStr">
        <is>
          <t>Déclenchement</t>
        </is>
      </c>
      <c r="D18" s="118" t="inlineStr">
        <is>
          <t>Changement accouplement d'orientation</t>
        </is>
      </c>
      <c r="E18" s="112" t="inlineStr">
        <is>
          <t>Caoutchaoutage tambour</t>
        </is>
      </c>
      <c r="F18" s="112" t="inlineStr">
        <is>
          <t xml:space="preserve">Défaut tension bande </t>
        </is>
      </c>
      <c r="G18" s="112" t="n"/>
      <c r="H18" s="117" t="inlineStr">
        <is>
          <t>Bourrage</t>
        </is>
      </c>
      <c r="I18" s="112" t="n"/>
      <c r="J18" s="117" t="inlineStr">
        <is>
          <t>Refus de qualité</t>
        </is>
      </c>
      <c r="K18" s="117" t="inlineStr">
        <is>
          <t>manque qualité source</t>
        </is>
      </c>
      <c r="L18" s="112" t="n"/>
      <c r="M18" s="117" t="inlineStr">
        <is>
          <t>Coupure de courant</t>
        </is>
      </c>
    </row>
    <row r="19" ht="36" customHeight="1">
      <c r="A19" s="115" t="n"/>
      <c r="B19" s="117" t="inlineStr">
        <is>
          <t>Attente vidange circuit</t>
        </is>
      </c>
      <c r="C19" s="117" t="inlineStr">
        <is>
          <t>Déclenchement translation</t>
        </is>
      </c>
      <c r="D19" s="118" t="inlineStr">
        <is>
          <t>Changement Clavette</t>
        </is>
      </c>
      <c r="E19" s="112" t="inlineStr">
        <is>
          <t>Chanfreinage</t>
        </is>
      </c>
      <c r="F19" s="112" t="n"/>
      <c r="G19" s="112" t="n"/>
      <c r="H19" s="117" t="inlineStr">
        <is>
          <t>Briquet</t>
        </is>
      </c>
      <c r="I19" s="112" t="n"/>
      <c r="J19" s="117" t="inlineStr">
        <is>
          <t>Rupture du jeun</t>
        </is>
      </c>
      <c r="K19" s="117" t="inlineStr">
        <is>
          <t>Nettoyage</t>
        </is>
      </c>
      <c r="L19" s="112" t="n"/>
      <c r="M19" s="117" t="inlineStr">
        <is>
          <t>déchirure</t>
        </is>
      </c>
    </row>
    <row r="20">
      <c r="A20" s="115" t="n"/>
      <c r="B20" s="117" t="inlineStr">
        <is>
          <t>Autre</t>
        </is>
      </c>
      <c r="C20" s="117" t="inlineStr">
        <is>
          <t>Défaut +/- 24V</t>
        </is>
      </c>
      <c r="D20" s="118" t="inlineStr">
        <is>
          <t>Changement conne de serrage</t>
        </is>
      </c>
      <c r="E20" s="112" t="inlineStr">
        <is>
          <t>Chanfreinage agraffage</t>
        </is>
      </c>
      <c r="F20" s="112" t="n"/>
      <c r="G20" s="112" t="n"/>
      <c r="H20" s="117" t="inlineStr">
        <is>
          <t>Bull indisponible</t>
        </is>
      </c>
      <c r="I20" s="112" t="n"/>
      <c r="J20" s="117" t="inlineStr">
        <is>
          <t>Stock Plein</t>
        </is>
      </c>
      <c r="K20" s="117" t="inlineStr">
        <is>
          <t>ravitaillement</t>
        </is>
      </c>
      <c r="L20" s="112" t="n"/>
      <c r="M20" s="117" t="inlineStr">
        <is>
          <t>déclenchement</t>
        </is>
      </c>
    </row>
    <row r="21" ht="36" customHeight="1">
      <c r="A21" s="115" t="n"/>
      <c r="B21" s="117" t="inlineStr">
        <is>
          <t>Axe de stérile achevé</t>
        </is>
      </c>
      <c r="C21" s="117" t="inlineStr">
        <is>
          <t>Défaut aiguillage</t>
        </is>
      </c>
      <c r="D21" s="118" t="inlineStr">
        <is>
          <t>Changement courroies</t>
        </is>
      </c>
      <c r="E21" s="112" t="inlineStr">
        <is>
          <t>Chanfreinage bavette rive</t>
        </is>
      </c>
      <c r="F21" s="112" t="n"/>
      <c r="G21" s="112" t="n"/>
      <c r="H21" s="117" t="inlineStr">
        <is>
          <t>Changement axe d'alimentation</t>
        </is>
      </c>
      <c r="I21" s="112" t="n"/>
      <c r="J21" s="117" t="inlineStr">
        <is>
          <t>Surcharge TF ST_UBI</t>
        </is>
      </c>
      <c r="K21" s="117" t="inlineStr">
        <is>
          <t>Relève</t>
        </is>
      </c>
      <c r="L21" s="112" t="n"/>
      <c r="M21" s="117" t="inlineStr">
        <is>
          <t>décolmatage</t>
        </is>
      </c>
    </row>
    <row r="22" ht="36" customHeight="1">
      <c r="A22" s="115" t="n"/>
      <c r="B22" s="117" t="inlineStr">
        <is>
          <t>Bouchage golotte</t>
        </is>
      </c>
      <c r="C22" s="117" t="inlineStr">
        <is>
          <t>Défaut arrêt d'urgence</t>
        </is>
      </c>
      <c r="D22" s="118" t="inlineStr">
        <is>
          <t>Changement deux demi manchons</t>
        </is>
      </c>
      <c r="E22" s="112" t="inlineStr">
        <is>
          <t>Changement agraffage</t>
        </is>
      </c>
      <c r="F22" s="112" t="n"/>
      <c r="G22" s="112" t="n"/>
      <c r="H22" s="117" t="inlineStr">
        <is>
          <t>Changement qualité</t>
        </is>
      </c>
      <c r="I22" s="112" t="n"/>
      <c r="J22" s="117" t="inlineStr">
        <is>
          <t>Translation + orientation ST_UBI</t>
        </is>
      </c>
      <c r="K22" s="117" t="inlineStr">
        <is>
          <t>Rupture du jeun</t>
        </is>
      </c>
      <c r="L22" s="112" t="n"/>
      <c r="M22" s="117" t="inlineStr">
        <is>
          <t>découpage d'un fil d'acier</t>
        </is>
      </c>
    </row>
    <row r="23" ht="36" customHeight="1">
      <c r="A23" s="115" t="n"/>
      <c r="B23" s="117" t="inlineStr">
        <is>
          <t>Bourrage</t>
        </is>
      </c>
      <c r="C23" s="117" t="inlineStr">
        <is>
          <t>Défaut asservissement</t>
        </is>
      </c>
      <c r="D23" s="118" t="inlineStr">
        <is>
          <t>Changement d'un roulement</t>
        </is>
      </c>
      <c r="E23" s="112" t="inlineStr">
        <is>
          <t>Changement bande</t>
        </is>
      </c>
      <c r="F23" s="112" t="n"/>
      <c r="G23" s="112" t="n"/>
      <c r="H23" s="117" t="inlineStr">
        <is>
          <t>Contrôle bande</t>
        </is>
      </c>
      <c r="I23" s="112" t="n"/>
      <c r="J23" s="117" t="inlineStr">
        <is>
          <t>Translation ST_UBI</t>
        </is>
      </c>
      <c r="K23" s="117" t="inlineStr">
        <is>
          <t>Stock Plein</t>
        </is>
      </c>
      <c r="L23" s="112" t="n"/>
      <c r="M23" s="117" t="inlineStr">
        <is>
          <t>Défaut contrôleur de rotation</t>
        </is>
      </c>
    </row>
    <row r="24" ht="36" customHeight="1">
      <c r="A24" s="115" t="n"/>
      <c r="B24" s="117" t="inlineStr">
        <is>
          <t>Briquet</t>
        </is>
      </c>
      <c r="C24" s="117" t="inlineStr">
        <is>
          <t>défaut cellule</t>
        </is>
      </c>
      <c r="D24" s="118" t="inlineStr">
        <is>
          <t>Changement joint d'accouplement</t>
        </is>
      </c>
      <c r="E24" s="112" t="inlineStr">
        <is>
          <t>Changement bande d'usure</t>
        </is>
      </c>
      <c r="F24" s="112" t="n"/>
      <c r="G24" s="112" t="n"/>
      <c r="H24" s="117" t="inlineStr">
        <is>
          <t>Coupure de courant</t>
        </is>
      </c>
      <c r="I24" s="112" t="n"/>
      <c r="J24" s="117" t="inlineStr">
        <is>
          <t>Travaux de régulation</t>
        </is>
      </c>
      <c r="K24" s="117" t="inlineStr">
        <is>
          <t>Translation ST_EK</t>
        </is>
      </c>
      <c r="L24" s="112" t="n"/>
      <c r="M24" s="117" t="inlineStr">
        <is>
          <t>défaut de bourrage</t>
        </is>
      </c>
    </row>
    <row r="25" ht="36" customHeight="1">
      <c r="A25" s="115" t="n"/>
      <c r="B25" s="117" t="inlineStr">
        <is>
          <t>Bull indisponible</t>
        </is>
      </c>
      <c r="C25" s="117" t="inlineStr">
        <is>
          <t>Défaut de bourrage</t>
        </is>
      </c>
      <c r="D25" s="118" t="inlineStr">
        <is>
          <t>Changement moteur d'orientation</t>
        </is>
      </c>
      <c r="E25" s="112" t="inlineStr">
        <is>
          <t>Changement bavette</t>
        </is>
      </c>
      <c r="F25" s="112" t="n"/>
      <c r="G25" s="112" t="n"/>
      <c r="H25" s="117" t="inlineStr">
        <is>
          <t>Débordement</t>
        </is>
      </c>
      <c r="I25" s="112" t="n"/>
      <c r="J25" s="117" t="inlineStr">
        <is>
          <t>Travaux des installateurs</t>
        </is>
      </c>
      <c r="K25" s="117" t="inlineStr">
        <is>
          <t>Travaux de régulation</t>
        </is>
      </c>
      <c r="L25" s="112" t="n"/>
      <c r="M25" s="117" t="inlineStr">
        <is>
          <t>défaut de communication</t>
        </is>
      </c>
    </row>
    <row r="26" ht="36" customHeight="1">
      <c r="A26" s="115" t="n"/>
      <c r="B26" s="117" t="inlineStr">
        <is>
          <t>Changement axe d'alimentation</t>
        </is>
      </c>
      <c r="C26" s="117" t="inlineStr">
        <is>
          <t>Défaut de communication</t>
        </is>
      </c>
      <c r="D26" s="118" t="inlineStr">
        <is>
          <t>Changement palier</t>
        </is>
      </c>
      <c r="E26" s="112" t="inlineStr">
        <is>
          <t>Changement bavette racleur</t>
        </is>
      </c>
      <c r="F26" s="112" t="n"/>
      <c r="G26" s="112" t="n"/>
      <c r="H26" s="117" t="inlineStr">
        <is>
          <t>Débouchage</t>
        </is>
      </c>
      <c r="I26" s="112" t="n"/>
      <c r="J26" s="117" t="inlineStr">
        <is>
          <t>Travaux électrique</t>
        </is>
      </c>
      <c r="K26" s="117" t="inlineStr">
        <is>
          <t>Travaux des installateurs</t>
        </is>
      </c>
      <c r="L26" s="112" t="n"/>
      <c r="M26" s="117" t="inlineStr">
        <is>
          <t>défaut de translation</t>
        </is>
      </c>
    </row>
    <row r="27" ht="36" customHeight="1">
      <c r="A27" s="115" t="n"/>
      <c r="B27" s="117" t="inlineStr">
        <is>
          <t>Changement qualité</t>
        </is>
      </c>
      <c r="C27" s="117" t="inlineStr">
        <is>
          <t>Défaut de translation</t>
        </is>
      </c>
      <c r="D27" s="118" t="inlineStr">
        <is>
          <t>Changement poliers</t>
        </is>
      </c>
      <c r="E27" s="112" t="inlineStr">
        <is>
          <t>Changement d'un coupon</t>
        </is>
      </c>
      <c r="F27" s="112" t="n"/>
      <c r="G27" s="112" t="n"/>
      <c r="H27" s="117" t="inlineStr">
        <is>
          <t>Déclenchement</t>
        </is>
      </c>
      <c r="I27" s="112" t="n"/>
      <c r="J27" s="117" t="inlineStr">
        <is>
          <t>Travaux mécaniques</t>
        </is>
      </c>
      <c r="K27" s="117" t="inlineStr">
        <is>
          <t>Travaux électriques</t>
        </is>
      </c>
      <c r="L27" s="112" t="n"/>
      <c r="M27" s="117" t="inlineStr">
        <is>
          <t>défaut d'orientation</t>
        </is>
      </c>
    </row>
    <row r="28" ht="36" customHeight="1">
      <c r="A28" s="115" t="n"/>
      <c r="B28" s="117" t="inlineStr">
        <is>
          <t>Contrôle bande</t>
        </is>
      </c>
      <c r="C28" s="117" t="inlineStr">
        <is>
          <t>Défaut démarrage rotorique</t>
        </is>
      </c>
      <c r="D28" s="118" t="inlineStr">
        <is>
          <t>Changement réducteur</t>
        </is>
      </c>
      <c r="E28" s="112" t="inlineStr">
        <is>
          <t>Changement éléments d'agraffage</t>
        </is>
      </c>
      <c r="F28" s="112" t="n"/>
      <c r="G28" s="112" t="n"/>
      <c r="H28" s="117" t="inlineStr">
        <is>
          <t>Décolmatage golotte</t>
        </is>
      </c>
      <c r="I28" s="112" t="n"/>
      <c r="J28" s="112" t="inlineStr">
        <is>
          <t>Défaut démarrage</t>
        </is>
      </c>
      <c r="K28" s="117" t="inlineStr">
        <is>
          <t>Travaux mécaniques</t>
        </is>
      </c>
      <c r="L28" s="112" t="n"/>
      <c r="M28" s="117" t="inlineStr">
        <is>
          <t>Défaut électrique</t>
        </is>
      </c>
    </row>
    <row r="29" ht="36" customHeight="1">
      <c r="A29" s="115" t="n"/>
      <c r="B29" s="117" t="inlineStr">
        <is>
          <t>Cumul des arrêts par bourrage</t>
        </is>
      </c>
      <c r="C29" s="117" t="inlineStr">
        <is>
          <t>Défaut d'orientation</t>
        </is>
      </c>
      <c r="D29" s="118" t="inlineStr">
        <is>
          <t>Changement tambour</t>
        </is>
      </c>
      <c r="E29" s="112" t="inlineStr">
        <is>
          <t>Changement racleur</t>
        </is>
      </c>
      <c r="F29" s="112" t="n"/>
      <c r="G29" s="112" t="n"/>
      <c r="H29" s="117" t="inlineStr">
        <is>
          <t>Décolmatage trémie</t>
        </is>
      </c>
      <c r="I29" s="112" t="n"/>
      <c r="J29" s="112" t="inlineStr">
        <is>
          <t>Défaut aiguillage</t>
        </is>
      </c>
      <c r="K29" s="117" t="inlineStr">
        <is>
          <t>Travaux mécaniques</t>
        </is>
      </c>
      <c r="L29" s="112" t="n"/>
      <c r="M29" s="117" t="inlineStr">
        <is>
          <t>Défaut installation</t>
        </is>
      </c>
    </row>
    <row r="30" ht="36" customHeight="1">
      <c r="A30" s="115" t="n"/>
      <c r="B30" s="117" t="inlineStr">
        <is>
          <t>Cumul des arrêts par TP</t>
        </is>
      </c>
      <c r="C30" s="117" t="inlineStr">
        <is>
          <t>Défaut éclairage</t>
        </is>
      </c>
      <c r="D30" s="118" t="inlineStr">
        <is>
          <t>Changement verin de levage</t>
        </is>
      </c>
      <c r="E30" s="112" t="inlineStr">
        <is>
          <t>Changement rouleaux</t>
        </is>
      </c>
      <c r="F30" s="112" t="n"/>
      <c r="G30" s="112" t="n"/>
      <c r="H30" s="117" t="inlineStr">
        <is>
          <t>Défaut de communication</t>
        </is>
      </c>
      <c r="I30" s="112" t="n"/>
      <c r="J30" s="112" t="inlineStr">
        <is>
          <t xml:space="preserve">Changement d'un rouleau </t>
        </is>
      </c>
      <c r="K30" s="112" t="inlineStr">
        <is>
          <t xml:space="preserve">Manque BT ou TBT </t>
        </is>
      </c>
      <c r="L30" s="112" t="n"/>
      <c r="M30" s="117" t="inlineStr">
        <is>
          <t>Défaut mécanique</t>
        </is>
      </c>
    </row>
    <row r="31" ht="36" customHeight="1">
      <c r="A31" s="115" t="n"/>
      <c r="B31" s="117" t="inlineStr">
        <is>
          <t>Débordement</t>
        </is>
      </c>
      <c r="C31" s="117" t="inlineStr">
        <is>
          <t>Défaut électrique</t>
        </is>
      </c>
      <c r="D31" s="118" t="inlineStr">
        <is>
          <t>Changement verin de tension</t>
        </is>
      </c>
      <c r="E31" s="112" t="inlineStr">
        <is>
          <t>Changement station</t>
        </is>
      </c>
      <c r="F31" s="112" t="n"/>
      <c r="G31" s="112" t="n"/>
      <c r="H31" s="117" t="inlineStr">
        <is>
          <t>Défaut électrique</t>
        </is>
      </c>
      <c r="I31" s="112" t="n"/>
      <c r="J31" s="112" t="inlineStr">
        <is>
          <t xml:space="preserve">réparation à froid </t>
        </is>
      </c>
      <c r="K31" s="112" t="n"/>
      <c r="L31" s="112" t="n"/>
      <c r="M31" s="117" t="inlineStr">
        <is>
          <t>défaut pression d'huile</t>
        </is>
      </c>
    </row>
    <row r="32" ht="36" customHeight="1">
      <c r="A32" s="115" t="n"/>
      <c r="B32" s="117" t="inlineStr">
        <is>
          <t>Débouchage</t>
        </is>
      </c>
      <c r="C32" s="117" t="inlineStr">
        <is>
          <t>Défaut électrique sur déport bande</t>
        </is>
      </c>
      <c r="D32" s="118" t="inlineStr">
        <is>
          <t>Chute flêche de la roue pelle lors du grattage</t>
        </is>
      </c>
      <c r="E32" s="112" t="inlineStr">
        <is>
          <t>Coincement rouleau</t>
        </is>
      </c>
      <c r="F32" s="112" t="n"/>
      <c r="G32" s="112" t="n"/>
      <c r="H32" s="117" t="inlineStr">
        <is>
          <t>Dégagement stéril</t>
        </is>
      </c>
      <c r="I32" s="112" t="n"/>
      <c r="J32" s="112" t="inlineStr">
        <is>
          <t>Bande lachée</t>
        </is>
      </c>
      <c r="K32" s="112" t="n"/>
      <c r="L32" s="112" t="n"/>
      <c r="M32" s="117" t="inlineStr">
        <is>
          <t>défaut température</t>
        </is>
      </c>
    </row>
    <row r="33" ht="36" customHeight="1">
      <c r="A33" s="115" t="n"/>
      <c r="B33" s="117" t="inlineStr">
        <is>
          <t>Décolmatage goulotte</t>
        </is>
      </c>
      <c r="C33" s="117" t="inlineStr">
        <is>
          <t>Défaut électrique sur tête avançable</t>
        </is>
      </c>
      <c r="D33" s="118" t="inlineStr">
        <is>
          <t>Cisaillement arbre</t>
        </is>
      </c>
      <c r="E33" s="112" t="inlineStr">
        <is>
          <t>Contrôle</t>
        </is>
      </c>
      <c r="F33" s="112" t="n"/>
      <c r="G33" s="112" t="n"/>
      <c r="H33" s="117" t="inlineStr">
        <is>
          <t>Délestage</t>
        </is>
      </c>
      <c r="I33" s="112" t="n"/>
      <c r="J33" s="112" t="n"/>
      <c r="K33" s="112" t="n"/>
      <c r="L33" s="112" t="n"/>
      <c r="M33" s="117" t="inlineStr">
        <is>
          <t>déport bande</t>
        </is>
      </c>
    </row>
    <row r="34" ht="36" customHeight="1">
      <c r="A34" s="115" t="n"/>
      <c r="B34" s="117" t="inlineStr">
        <is>
          <t>Décolmatage trémie</t>
        </is>
      </c>
      <c r="C34" s="117" t="inlineStr">
        <is>
          <t>Défaut fugitif électrique</t>
        </is>
      </c>
      <c r="D34" s="118" t="inlineStr">
        <is>
          <t>Cisaillement boulon de fixation</t>
        </is>
      </c>
      <c r="E34" s="112" t="inlineStr">
        <is>
          <t>Contrôle agrafage</t>
        </is>
      </c>
      <c r="F34" s="112" t="n"/>
      <c r="G34" s="112" t="n"/>
      <c r="H34" s="117" t="inlineStr">
        <is>
          <t>Déplacement tête avançable</t>
        </is>
      </c>
      <c r="I34" s="112" t="n"/>
      <c r="J34" s="112" t="n"/>
      <c r="K34" s="112" t="n"/>
      <c r="L34" s="112" t="n"/>
      <c r="M34" s="117" t="inlineStr">
        <is>
          <t>Entretien planifié</t>
        </is>
      </c>
    </row>
    <row r="35">
      <c r="A35" s="115" t="n"/>
      <c r="B35" s="117" t="inlineStr">
        <is>
          <t>Délestage</t>
        </is>
      </c>
      <c r="C35" s="117" t="inlineStr">
        <is>
          <t>Défaut levage flèche</t>
        </is>
      </c>
      <c r="D35" s="118" t="inlineStr">
        <is>
          <t>Cisaillement cable de tension</t>
        </is>
      </c>
      <c r="E35" s="112" t="inlineStr">
        <is>
          <t>Contrôle couvre joint décollé</t>
        </is>
      </c>
      <c r="F35" s="112" t="n"/>
      <c r="G35" s="112" t="n"/>
      <c r="H35" s="117" t="inlineStr">
        <is>
          <t>déport bande</t>
        </is>
      </c>
      <c r="I35" s="112" t="n"/>
      <c r="J35" s="112" t="n"/>
      <c r="K35" s="112" t="n"/>
      <c r="L35" s="112" t="n"/>
      <c r="M35" s="117" t="inlineStr">
        <is>
          <t>Etalonnage bascule</t>
        </is>
      </c>
    </row>
    <row r="36" ht="36" customHeight="1">
      <c r="A36" s="115" t="n"/>
      <c r="B36" s="117" t="inlineStr">
        <is>
          <t>Déplacement tête avançable</t>
        </is>
      </c>
      <c r="C36" s="117" t="inlineStr">
        <is>
          <t>défaut patinage</t>
        </is>
      </c>
      <c r="D36" s="118" t="inlineStr">
        <is>
          <t>Cisaillement cable d'orientation</t>
        </is>
      </c>
      <c r="E36" s="112" t="inlineStr">
        <is>
          <t>Contrôle déchirure</t>
        </is>
      </c>
      <c r="F36" s="112" t="n"/>
      <c r="G36" s="112" t="n"/>
      <c r="H36" s="117" t="inlineStr">
        <is>
          <t>Entretien</t>
        </is>
      </c>
      <c r="I36" s="112" t="n"/>
      <c r="J36" s="112" t="n"/>
      <c r="K36" s="112" t="n"/>
      <c r="L36" s="112" t="n"/>
      <c r="M36" s="117" t="inlineStr">
        <is>
          <t>extraction corps etranger</t>
        </is>
      </c>
    </row>
    <row r="37" ht="36" customHeight="1">
      <c r="A37" s="115" t="n"/>
      <c r="B37" s="117" t="inlineStr">
        <is>
          <t xml:space="preserve"> nettoyage suite chute de  la flèche</t>
        </is>
      </c>
      <c r="C37" s="117" t="inlineStr">
        <is>
          <t>Défaut réponse marche</t>
        </is>
      </c>
      <c r="D37" s="118" t="inlineStr">
        <is>
          <t>Cisaillement godet</t>
        </is>
      </c>
      <c r="E37" s="112" t="inlineStr">
        <is>
          <t>Contrôle d'une amorsse soufflée</t>
        </is>
      </c>
      <c r="F37" s="112" t="n"/>
      <c r="G37" s="112" t="n"/>
      <c r="H37" s="117" t="inlineStr">
        <is>
          <t>Essai matière</t>
        </is>
      </c>
      <c r="I37" s="112" t="n"/>
      <c r="J37" s="112" t="n"/>
      <c r="K37" s="112" t="n"/>
      <c r="L37" s="112" t="n"/>
      <c r="M37" s="117" t="inlineStr">
        <is>
          <t>nettoyage</t>
        </is>
      </c>
    </row>
    <row r="38">
      <c r="A38" s="115" t="n"/>
      <c r="B38" s="117" t="inlineStr">
        <is>
          <t>Décolmatage Gtte</t>
        </is>
      </c>
      <c r="C38" s="117" t="inlineStr">
        <is>
          <t>Défaut RM</t>
        </is>
      </c>
      <c r="D38" s="118" t="inlineStr">
        <is>
          <t>Cisaillement virole du tambour</t>
        </is>
      </c>
      <c r="E38" s="112" t="inlineStr">
        <is>
          <t>Contrôle vulcanisation</t>
        </is>
      </c>
      <c r="F38" s="112" t="n"/>
      <c r="G38" s="112" t="n"/>
      <c r="H38" s="117" t="inlineStr">
        <is>
          <t>Essais matiére</t>
        </is>
      </c>
      <c r="I38" s="112" t="n"/>
      <c r="J38" s="112" t="n"/>
      <c r="K38" s="112" t="n"/>
      <c r="L38" s="112" t="n"/>
      <c r="M38" s="117" t="inlineStr">
        <is>
          <t>Orientation STBA</t>
        </is>
      </c>
    </row>
    <row r="39">
      <c r="A39" s="115" t="n"/>
      <c r="B39" s="117" t="inlineStr">
        <is>
          <t>Extraction d’une motte</t>
        </is>
      </c>
      <c r="C39" s="117" t="inlineStr">
        <is>
          <t>Défaut sonde</t>
        </is>
      </c>
      <c r="D39" s="118" t="inlineStr">
        <is>
          <t>Coincement mécanique</t>
        </is>
      </c>
      <c r="E39" s="112" t="inlineStr">
        <is>
          <t>Couvre joint décollé "réparation"</t>
        </is>
      </c>
      <c r="F39" s="112" t="n"/>
      <c r="G39" s="112" t="n"/>
      <c r="H39" s="117" t="inlineStr">
        <is>
          <t>Isolment golotte</t>
        </is>
      </c>
      <c r="I39" s="112" t="n"/>
      <c r="J39" s="112" t="n"/>
      <c r="K39" s="112" t="n"/>
      <c r="L39" s="112" t="n"/>
      <c r="M39" s="117" t="inlineStr">
        <is>
          <t>patinage</t>
        </is>
      </c>
    </row>
    <row r="40" ht="36" customHeight="1">
      <c r="A40" s="115" t="n"/>
      <c r="B40" s="117" t="inlineStr">
        <is>
          <t>Extraction d'un corps étranger</t>
        </is>
      </c>
      <c r="C40" s="117" t="inlineStr">
        <is>
          <t>Défaut sur automate</t>
        </is>
      </c>
      <c r="D40" s="118" t="inlineStr">
        <is>
          <t>Coincement orientation</t>
        </is>
      </c>
      <c r="E40" s="112" t="inlineStr">
        <is>
          <t>Déchirure bande</t>
        </is>
      </c>
      <c r="F40" s="112" t="n"/>
      <c r="G40" s="112" t="n"/>
      <c r="H40" s="117" t="inlineStr">
        <is>
          <t>lavage de BTRSC</t>
        </is>
      </c>
      <c r="I40" s="112" t="n"/>
      <c r="J40" s="112" t="n"/>
      <c r="K40" s="112" t="n"/>
      <c r="L40" s="112" t="n"/>
      <c r="M40" s="117" t="inlineStr">
        <is>
          <t>priorité à la mine BA</t>
        </is>
      </c>
    </row>
    <row r="41" ht="54" customHeight="1">
      <c r="A41" s="115" t="n"/>
      <c r="B41" s="117" t="inlineStr">
        <is>
          <t>intempéries</t>
        </is>
      </c>
      <c r="C41" s="117" t="inlineStr">
        <is>
          <t>Défaut sur contrôleur de rotation ou de vetisse</t>
        </is>
      </c>
      <c r="D41" s="118" t="inlineStr">
        <is>
          <t>Coincement translation</t>
        </is>
      </c>
      <c r="E41" s="112" t="inlineStr">
        <is>
          <t>Décoincement bande</t>
        </is>
      </c>
      <c r="F41" s="112" t="n"/>
      <c r="G41" s="112" t="n"/>
      <c r="H41" s="117" t="n"/>
      <c r="I41" s="112" t="n"/>
      <c r="J41" s="112" t="n"/>
      <c r="K41" s="112" t="n"/>
      <c r="L41" s="112" t="n"/>
      <c r="M41" s="117" t="inlineStr">
        <is>
          <t>priorité à la mine MLIKATE</t>
        </is>
      </c>
    </row>
    <row r="42" ht="54" customHeight="1">
      <c r="A42" s="115" t="n"/>
      <c r="B42" s="117" t="inlineStr">
        <is>
          <t>Manque bulliste</t>
        </is>
      </c>
      <c r="C42" s="117" t="inlineStr">
        <is>
          <t>Défaut sur contrôleur de rotation ou de vitesse</t>
        </is>
      </c>
      <c r="D42" s="118" t="inlineStr">
        <is>
          <t>Coincement volet</t>
        </is>
      </c>
      <c r="E42" s="112" t="inlineStr">
        <is>
          <t>Découpage d'un fil en acier</t>
        </is>
      </c>
      <c r="F42" s="112" t="n"/>
      <c r="G42" s="112" t="n"/>
      <c r="H42" s="117" t="inlineStr">
        <is>
          <t>lavage de HTMSC</t>
        </is>
      </c>
      <c r="I42" s="112" t="n"/>
      <c r="J42" s="112" t="n"/>
      <c r="K42" s="112" t="n"/>
      <c r="L42" s="112" t="n"/>
      <c r="M42" s="117" t="inlineStr">
        <is>
          <t>programmation STBA</t>
        </is>
      </c>
    </row>
    <row r="43">
      <c r="A43" s="115" t="n"/>
      <c r="B43" s="117" t="inlineStr">
        <is>
          <t>Manque conducteur</t>
        </is>
      </c>
      <c r="C43" s="117" t="inlineStr">
        <is>
          <t>Défaut sur FDC</t>
        </is>
      </c>
      <c r="D43" s="118" t="inlineStr">
        <is>
          <t>Contrôle de la coronne</t>
        </is>
      </c>
      <c r="E43" s="112" t="inlineStr">
        <is>
          <t>Découpage d'un tallon</t>
        </is>
      </c>
      <c r="F43" s="112" t="n"/>
      <c r="G43" s="112" t="n"/>
      <c r="H43" s="117" t="inlineStr">
        <is>
          <t>lavage de HTNSC</t>
        </is>
      </c>
      <c r="I43" s="112" t="n"/>
      <c r="J43" s="112" t="n"/>
      <c r="K43" s="112" t="n"/>
      <c r="L43" s="112" t="n"/>
      <c r="M43" s="117" t="inlineStr">
        <is>
          <t>refus de qualité</t>
        </is>
      </c>
    </row>
    <row r="44" ht="36" customHeight="1">
      <c r="A44" s="115" t="n"/>
      <c r="B44" s="117" t="inlineStr">
        <is>
          <t>Manque personnel</t>
        </is>
      </c>
      <c r="C44" s="117" t="inlineStr">
        <is>
          <t>Défaut sur montée et décente</t>
        </is>
      </c>
      <c r="D44" s="118" t="inlineStr">
        <is>
          <t>Contrôle enrouleur de câble</t>
        </is>
      </c>
      <c r="E44" s="112" t="inlineStr">
        <is>
          <t>Découpage d'une bandelette</t>
        </is>
      </c>
      <c r="F44" s="112" t="n"/>
      <c r="G44" s="112" t="n"/>
      <c r="H44" s="117" t="inlineStr">
        <is>
          <t>lavage de MTSC</t>
        </is>
      </c>
      <c r="I44" s="112" t="n"/>
      <c r="J44" s="112" t="n"/>
      <c r="K44" s="112" t="n"/>
      <c r="L44" s="112" t="n"/>
      <c r="M44" s="117" t="inlineStr">
        <is>
          <t>retour produit</t>
        </is>
      </c>
    </row>
    <row r="45" ht="36" customHeight="1">
      <c r="A45" s="115" t="n"/>
      <c r="B45" s="117" t="inlineStr">
        <is>
          <t>Manque qualités sources</t>
        </is>
      </c>
      <c r="C45" s="117" t="inlineStr">
        <is>
          <t>Défaut sur Poste électrique</t>
        </is>
      </c>
      <c r="D45" s="118" t="inlineStr">
        <is>
          <t>Contrôle mécanique</t>
        </is>
      </c>
      <c r="E45" s="112" t="inlineStr">
        <is>
          <t>Démontage station</t>
        </is>
      </c>
      <c r="F45" s="112" t="n"/>
      <c r="G45" s="112" t="n"/>
      <c r="H45" s="117" t="n"/>
      <c r="I45" s="112" t="n"/>
      <c r="J45" s="112" t="n"/>
      <c r="K45" s="112" t="n"/>
      <c r="L45" s="112" t="n"/>
      <c r="M45" s="117" t="inlineStr">
        <is>
          <t>rupture bande</t>
        </is>
      </c>
    </row>
    <row r="46" ht="36" customHeight="1">
      <c r="A46" s="115" t="n"/>
      <c r="B46" s="117" t="inlineStr">
        <is>
          <t>Nettoyage</t>
        </is>
      </c>
      <c r="C46" s="117" t="inlineStr">
        <is>
          <t>Défaut tension bande</t>
        </is>
      </c>
      <c r="D46" s="118" t="inlineStr">
        <is>
          <t>Contrôle niveaux d'huile</t>
        </is>
      </c>
      <c r="E46" s="112" t="inlineStr">
        <is>
          <t>Déport bande</t>
        </is>
      </c>
      <c r="F46" s="112" t="n"/>
      <c r="G46" s="112" t="n"/>
      <c r="H46" s="117" t="inlineStr">
        <is>
          <t>Manque bulliste</t>
        </is>
      </c>
      <c r="I46" s="112" t="n"/>
      <c r="J46" s="112" t="n"/>
      <c r="K46" s="112" t="n"/>
      <c r="L46" s="112" t="n"/>
      <c r="M46" s="117" t="inlineStr">
        <is>
          <t>rupture jeûne</t>
        </is>
      </c>
    </row>
    <row r="47" ht="36" customHeight="1">
      <c r="A47" s="115" t="n"/>
      <c r="B47" s="112" t="n"/>
      <c r="C47" s="117" t="inlineStr">
        <is>
          <t>Défaut vitesse non atteinte</t>
        </is>
      </c>
      <c r="D47" s="118" t="inlineStr">
        <is>
          <t>Fuit d'huile / réducteur RàG</t>
        </is>
      </c>
      <c r="E47" s="112" t="inlineStr">
        <is>
          <t xml:space="preserve">Des élements d'agrafage arrachés </t>
        </is>
      </c>
      <c r="F47" s="112" t="n"/>
      <c r="G47" s="112" t="n"/>
      <c r="H47" s="117" t="inlineStr">
        <is>
          <t>Manque conducteur</t>
        </is>
      </c>
      <c r="I47" s="112" t="n"/>
      <c r="J47" s="112" t="n"/>
      <c r="K47" s="112" t="n"/>
      <c r="L47" s="112" t="n"/>
      <c r="M47" s="112" t="n"/>
    </row>
    <row r="48" ht="36" customHeight="1">
      <c r="A48" s="115" t="n"/>
      <c r="B48" s="117" t="inlineStr">
        <is>
          <t>Nettoyage et soulagement</t>
        </is>
      </c>
      <c r="C48" s="117" t="inlineStr">
        <is>
          <t>Délestage</t>
        </is>
      </c>
      <c r="D48" s="118" t="inlineStr">
        <is>
          <t>Contrôle palier</t>
        </is>
      </c>
      <c r="E48" s="112" t="inlineStr">
        <is>
          <t>Emplacement couvre joint</t>
        </is>
      </c>
      <c r="F48" s="112" t="n"/>
      <c r="G48" s="112" t="n"/>
      <c r="H48" s="112" t="inlineStr">
        <is>
          <t>Extraction d'un corp étrangé</t>
        </is>
      </c>
      <c r="I48" s="112" t="n"/>
      <c r="J48" s="112" t="n"/>
      <c r="K48" s="112" t="n"/>
      <c r="L48" s="112" t="n"/>
      <c r="M48" s="117" t="inlineStr">
        <is>
          <t>Soulagement</t>
        </is>
      </c>
    </row>
    <row r="49">
      <c r="A49" s="115" t="n"/>
      <c r="B49" s="117" t="inlineStr">
        <is>
          <t>Orientation</t>
        </is>
      </c>
      <c r="C49" s="112" t="n"/>
      <c r="D49" s="118" t="inlineStr">
        <is>
          <t>Contrôle réducteur</t>
        </is>
      </c>
      <c r="E49" s="112" t="inlineStr">
        <is>
          <t>Fixation racleur</t>
        </is>
      </c>
      <c r="F49" s="112" t="n"/>
      <c r="G49" s="112" t="n"/>
      <c r="H49" s="117" t="inlineStr">
        <is>
          <t>Manque d'eau</t>
        </is>
      </c>
      <c r="I49" s="112" t="n"/>
      <c r="J49" s="112" t="n"/>
      <c r="K49" s="112" t="n"/>
      <c r="L49" s="112" t="n"/>
      <c r="M49" s="117" t="inlineStr">
        <is>
          <t>stock plein</t>
        </is>
      </c>
    </row>
    <row r="50">
      <c r="A50" s="115" t="n"/>
      <c r="B50" s="117" t="inlineStr">
        <is>
          <t>Orientation + translation</t>
        </is>
      </c>
      <c r="C50" s="117" t="inlineStr">
        <is>
          <t>Démarrage repété</t>
        </is>
      </c>
      <c r="D50" s="118" t="inlineStr">
        <is>
          <t>Défaut d'orientation</t>
        </is>
      </c>
      <c r="E50" s="112" t="inlineStr">
        <is>
          <t>Fixation station</t>
        </is>
      </c>
      <c r="F50" s="112" t="n"/>
      <c r="G50" s="112" t="n"/>
      <c r="H50" s="117" t="inlineStr">
        <is>
          <t>Manque personnel</t>
        </is>
      </c>
      <c r="I50" s="112" t="n"/>
      <c r="J50" s="112" t="n"/>
      <c r="K50" s="112" t="n"/>
      <c r="L50" s="112" t="n"/>
      <c r="M50" s="117" t="inlineStr">
        <is>
          <t>surcharge bande</t>
        </is>
      </c>
    </row>
    <row r="51" ht="54" customHeight="1">
      <c r="A51" s="115" t="n"/>
      <c r="B51" s="117" t="inlineStr">
        <is>
          <t>Produit contenant trop de steril</t>
        </is>
      </c>
      <c r="C51" s="117" t="inlineStr">
        <is>
          <t>Enrouleur de câble de commande hors Sec</t>
        </is>
      </c>
      <c r="D51" s="118" t="inlineStr">
        <is>
          <t>Défaut mécanique</t>
        </is>
      </c>
      <c r="E51" s="112" t="inlineStr">
        <is>
          <t>Indisponible</t>
        </is>
      </c>
      <c r="F51" s="112" t="n"/>
      <c r="G51" s="112" t="n"/>
      <c r="H51" s="117" t="inlineStr">
        <is>
          <t>Manque place</t>
        </is>
      </c>
      <c r="I51" s="112" t="n"/>
      <c r="J51" s="112" t="n"/>
      <c r="K51" s="112" t="n"/>
      <c r="L51" s="112" t="n"/>
      <c r="M51" s="117" t="inlineStr">
        <is>
          <t>Translation &amp; orientation STBA</t>
        </is>
      </c>
    </row>
    <row r="52" ht="54" customHeight="1">
      <c r="A52" s="115" t="n"/>
      <c r="B52" s="117" t="inlineStr">
        <is>
          <t>Produit trop humide</t>
        </is>
      </c>
      <c r="C52" s="117" t="inlineStr">
        <is>
          <t>Enrouleur de câble de puissance hors Sec</t>
        </is>
      </c>
      <c r="D52" s="118" t="inlineStr">
        <is>
          <t>Délogement</t>
        </is>
      </c>
      <c r="E52" s="112" t="inlineStr">
        <is>
          <t>Manque avancement</t>
        </is>
      </c>
      <c r="F52" s="112" t="n"/>
      <c r="G52" s="112" t="n"/>
      <c r="H52" s="117" t="inlineStr">
        <is>
          <t>Manque qualité source</t>
        </is>
      </c>
      <c r="I52" s="112" t="n"/>
      <c r="J52" s="112" t="n"/>
      <c r="K52" s="112" t="n"/>
      <c r="L52" s="112" t="n"/>
      <c r="M52" s="117" t="inlineStr">
        <is>
          <t>Translation STBA</t>
        </is>
      </c>
    </row>
    <row r="53">
      <c r="A53" s="115" t="n"/>
      <c r="B53" s="117" t="inlineStr">
        <is>
          <t>Ravitaillement Bull</t>
        </is>
      </c>
      <c r="C53" s="117" t="inlineStr">
        <is>
          <t>Entretien électrique</t>
        </is>
      </c>
      <c r="D53" s="118" t="inlineStr">
        <is>
          <t>Démontage reducteur</t>
        </is>
      </c>
      <c r="E53" s="112" t="inlineStr">
        <is>
          <t>Manque tension</t>
        </is>
      </c>
      <c r="F53" s="112" t="n"/>
      <c r="G53" s="112" t="n"/>
      <c r="H53" s="117" t="inlineStr">
        <is>
          <t>Nettoyage queue</t>
        </is>
      </c>
      <c r="I53" s="112" t="n"/>
      <c r="J53" s="112" t="n"/>
      <c r="K53" s="112" t="n"/>
      <c r="L53" s="112" t="n"/>
      <c r="M53" s="117" t="inlineStr">
        <is>
          <t>Travaux électriques</t>
        </is>
      </c>
    </row>
    <row r="54" ht="36" customHeight="1">
      <c r="A54" s="115" t="n"/>
      <c r="B54" s="117" t="inlineStr">
        <is>
          <t>Relève</t>
        </is>
      </c>
      <c r="C54" s="117" t="inlineStr">
        <is>
          <t>Essai mode automatique</t>
        </is>
      </c>
      <c r="D54" s="118" t="inlineStr">
        <is>
          <t>Démontage tete matrice</t>
        </is>
      </c>
      <c r="E54" s="112" t="inlineStr">
        <is>
          <t>mesure de bande</t>
        </is>
      </c>
      <c r="F54" s="112" t="n"/>
      <c r="G54" s="112" t="n"/>
      <c r="H54" s="117" t="inlineStr">
        <is>
          <t>Niveau bas du bassin</t>
        </is>
      </c>
      <c r="I54" s="112" t="n"/>
      <c r="J54" s="112" t="n"/>
      <c r="K54" s="112" t="n"/>
      <c r="L54" s="112" t="n"/>
      <c r="M54" s="117" t="inlineStr">
        <is>
          <t>travaux installations</t>
        </is>
      </c>
    </row>
    <row r="55" ht="36" customHeight="1">
      <c r="A55" s="115" t="n"/>
      <c r="B55" s="117" t="inlineStr">
        <is>
          <t>Remplissage trémie</t>
        </is>
      </c>
      <c r="C55" s="117" t="inlineStr">
        <is>
          <t>Fin de course</t>
        </is>
      </c>
      <c r="D55" s="118" t="inlineStr">
        <is>
          <t>Déraillement</t>
        </is>
      </c>
      <c r="E55" s="112" t="inlineStr">
        <is>
          <t>Mise en place station</t>
        </is>
      </c>
      <c r="F55" s="112" t="n"/>
      <c r="G55" s="112" t="n"/>
      <c r="H55" s="117" t="inlineStr">
        <is>
          <t>patinage</t>
        </is>
      </c>
      <c r="I55" s="112" t="n"/>
      <c r="J55" s="112" t="n"/>
      <c r="K55" s="112" t="n"/>
      <c r="L55" s="112" t="n"/>
      <c r="M55" s="117" t="inlineStr">
        <is>
          <t>Travaux mécaniques</t>
        </is>
      </c>
    </row>
    <row r="56">
      <c r="A56" s="115" t="n"/>
      <c r="B56" s="117" t="inlineStr">
        <is>
          <t>Roteur produit</t>
        </is>
      </c>
      <c r="C56" s="117" t="inlineStr">
        <is>
          <t>Indisponible</t>
        </is>
      </c>
      <c r="D56" s="118" t="inlineStr">
        <is>
          <t>Déraillement Chariot</t>
        </is>
      </c>
      <c r="E56" s="112" t="inlineStr">
        <is>
          <t>Montage d'un rouleau</t>
        </is>
      </c>
      <c r="F56" s="112" t="n"/>
      <c r="G56" s="112" t="n"/>
      <c r="H56" s="117" t="inlineStr">
        <is>
          <t>Préparation</t>
        </is>
      </c>
      <c r="I56" s="112" t="n"/>
      <c r="J56" s="112" t="n"/>
      <c r="K56" s="112" t="n"/>
      <c r="L56" s="112" t="n"/>
      <c r="M56" s="117" t="inlineStr">
        <is>
          <t>vidange axe</t>
        </is>
      </c>
    </row>
    <row r="57">
      <c r="A57" s="115" t="n"/>
      <c r="B57" s="117" t="inlineStr">
        <is>
          <t>Rupture jeûne</t>
        </is>
      </c>
      <c r="C57" s="117" t="inlineStr">
        <is>
          <t>Manque 500 V</t>
        </is>
      </c>
      <c r="D57" s="118" t="inlineStr">
        <is>
          <t>Déraillement chariot du câble de commande</t>
        </is>
      </c>
      <c r="E57" s="112" t="inlineStr">
        <is>
          <t>Montage Rouleaux</t>
        </is>
      </c>
      <c r="F57" s="112" t="n"/>
      <c r="G57" s="112" t="n"/>
      <c r="H57" s="117" t="inlineStr">
        <is>
          <t>Produit trop de steriel</t>
        </is>
      </c>
      <c r="I57" s="112" t="n"/>
      <c r="J57" s="112" t="n"/>
      <c r="K57" s="112" t="n"/>
      <c r="L57" s="112" t="n"/>
      <c r="M57" s="117" t="inlineStr">
        <is>
          <t>Travaux régulation</t>
        </is>
      </c>
    </row>
    <row r="58">
      <c r="A58" s="115" t="n"/>
      <c r="B58" s="117" t="inlineStr">
        <is>
          <t>Soulagement</t>
        </is>
      </c>
      <c r="C58" s="117" t="inlineStr">
        <is>
          <t>Manque éclairage</t>
        </is>
      </c>
      <c r="D58" s="118" t="inlineStr">
        <is>
          <t>Déraillement chariot du câble de puissance</t>
        </is>
      </c>
      <c r="E58" s="112" t="inlineStr">
        <is>
          <t>Montage station</t>
        </is>
      </c>
      <c r="F58" s="112" t="n"/>
      <c r="G58" s="112" t="n"/>
      <c r="H58" s="117" t="inlineStr">
        <is>
          <t>Produit trop humide</t>
        </is>
      </c>
      <c r="I58" s="112" t="n"/>
      <c r="J58" s="112" t="n"/>
      <c r="K58" s="112" t="n"/>
      <c r="L58" s="112" t="n"/>
      <c r="M58" s="112" t="inlineStr">
        <is>
          <t>défaut fugitif</t>
        </is>
      </c>
    </row>
    <row r="59">
      <c r="A59" s="115" t="n"/>
      <c r="B59" s="117" t="inlineStr">
        <is>
          <t>Stéril achevé</t>
        </is>
      </c>
      <c r="C59" s="117" t="inlineStr">
        <is>
          <t>Moteur a la masse</t>
        </is>
      </c>
      <c r="D59" s="118" t="inlineStr">
        <is>
          <t>Désaccouplement Moteur_Réducteur</t>
        </is>
      </c>
      <c r="E59" s="112" t="inlineStr">
        <is>
          <t>Patinage</t>
        </is>
      </c>
      <c r="F59" s="112" t="n"/>
      <c r="G59" s="112" t="n"/>
      <c r="H59" s="117" t="inlineStr">
        <is>
          <t>Refus de qualité</t>
        </is>
      </c>
      <c r="I59" s="112" t="n"/>
      <c r="J59" s="112" t="n"/>
      <c r="K59" s="112" t="n"/>
      <c r="L59" s="112" t="n"/>
      <c r="M59" s="112" t="inlineStr">
        <is>
          <t>Vulcanisation</t>
        </is>
      </c>
    </row>
    <row r="60">
      <c r="A60" s="115" t="n"/>
      <c r="B60" s="117" t="inlineStr">
        <is>
          <t>Sterile indisponible</t>
        </is>
      </c>
      <c r="C60" s="117" t="inlineStr">
        <is>
          <t>Moteur cramé</t>
        </is>
      </c>
      <c r="D60" s="118" t="inlineStr">
        <is>
          <t>Désaccouplement Réducteur_Coupleur</t>
        </is>
      </c>
      <c r="E60" s="112" t="inlineStr">
        <is>
          <t>Pose rail d'infrastructure</t>
        </is>
      </c>
      <c r="F60" s="112" t="n"/>
      <c r="G60" s="112" t="n"/>
      <c r="H60" s="117" t="inlineStr">
        <is>
          <t>Reléve</t>
        </is>
      </c>
      <c r="I60" s="112" t="n"/>
      <c r="J60" s="112" t="n"/>
      <c r="K60" s="112" t="n"/>
      <c r="L60" s="112" t="n"/>
      <c r="M60" s="112" t="inlineStr">
        <is>
          <t>refus déstockage de la TBTSC</t>
        </is>
      </c>
    </row>
    <row r="61" ht="36" customHeight="1">
      <c r="A61" s="115" t="n"/>
      <c r="B61" s="117" t="inlineStr">
        <is>
          <t>Stock géné</t>
        </is>
      </c>
      <c r="C61" s="117" t="inlineStr">
        <is>
          <t>Prise des mesures electriques</t>
        </is>
      </c>
      <c r="D61" s="118" t="inlineStr">
        <is>
          <t>Déssérrage électro_freins de translation</t>
        </is>
      </c>
      <c r="E61" s="112" t="inlineStr">
        <is>
          <t>Reglage bavette racleur</t>
        </is>
      </c>
      <c r="F61" s="112" t="n"/>
      <c r="G61" s="112" t="n"/>
      <c r="H61" s="117" t="inlineStr">
        <is>
          <t>Remplissage trémie</t>
        </is>
      </c>
      <c r="I61" s="112" t="n"/>
      <c r="J61" s="112" t="n"/>
      <c r="K61" s="112" t="n"/>
      <c r="L61" s="112" t="n"/>
      <c r="M61" s="112" t="n"/>
    </row>
    <row r="62" ht="36" customHeight="1">
      <c r="A62" s="115" t="n"/>
      <c r="B62" s="117" t="inlineStr">
        <is>
          <t>Stock plein</t>
        </is>
      </c>
      <c r="C62" s="117" t="inlineStr">
        <is>
          <t>Refus de démarrage</t>
        </is>
      </c>
      <c r="D62" s="118" t="inlineStr">
        <is>
          <t>Déssérrage électro_freins d'orientation</t>
        </is>
      </c>
      <c r="E62" s="112" t="inlineStr">
        <is>
          <t>Remontage racleur</t>
        </is>
      </c>
      <c r="F62" s="112" t="n"/>
      <c r="G62" s="112" t="n"/>
      <c r="H62" s="117" t="inlineStr">
        <is>
          <t>Roteur produit en queue</t>
        </is>
      </c>
      <c r="I62" s="112" t="n"/>
      <c r="J62" s="112" t="n"/>
      <c r="K62" s="112" t="n"/>
      <c r="L62" s="112" t="n"/>
      <c r="M62" s="112" t="inlineStr">
        <is>
          <t>gtte colmatee</t>
        </is>
      </c>
    </row>
    <row r="63" ht="36" customHeight="1">
      <c r="A63" s="115" t="n"/>
      <c r="B63" s="117" t="inlineStr">
        <is>
          <t>Surcharge bande</t>
        </is>
      </c>
      <c r="C63" s="117" t="inlineStr">
        <is>
          <t>Rupture câble de commande</t>
        </is>
      </c>
      <c r="D63" s="118" t="inlineStr">
        <is>
          <t>Echauffement</t>
        </is>
      </c>
      <c r="E63" s="112" t="inlineStr">
        <is>
          <t>Réparation à chaud</t>
        </is>
      </c>
      <c r="F63" s="112" t="n"/>
      <c r="G63" s="112" t="n"/>
      <c r="H63" s="117" t="inlineStr">
        <is>
          <t>Rupture du jeun</t>
        </is>
      </c>
      <c r="I63" s="112" t="n"/>
      <c r="J63" s="112" t="n"/>
      <c r="K63" s="112" t="n"/>
      <c r="L63" s="112" t="n"/>
      <c r="M63" s="112" t="inlineStr">
        <is>
          <t>Défaut de communication</t>
        </is>
      </c>
    </row>
    <row r="64" ht="36" customHeight="1">
      <c r="A64" s="115" t="n"/>
      <c r="B64" s="117" t="inlineStr">
        <is>
          <t>Surcharge tapis flèche</t>
        </is>
      </c>
      <c r="C64" s="117" t="inlineStr">
        <is>
          <t>Rupture câble de comménication</t>
        </is>
      </c>
      <c r="D64" s="118" t="inlineStr">
        <is>
          <t>Echauffement palier</t>
        </is>
      </c>
      <c r="E64" s="112" t="inlineStr">
        <is>
          <t>Réparation à froid</t>
        </is>
      </c>
      <c r="F64" s="112" t="n"/>
      <c r="G64" s="112" t="n"/>
      <c r="H64" s="117" t="inlineStr">
        <is>
          <t>Soulagement</t>
        </is>
      </c>
      <c r="I64" s="112" t="n"/>
      <c r="J64" s="112" t="n"/>
      <c r="K64" s="112" t="n"/>
      <c r="L64" s="112" t="n"/>
      <c r="M64" s="112" t="n"/>
    </row>
    <row r="65" ht="36" customHeight="1">
      <c r="A65" s="115" t="n"/>
      <c r="B65" s="117" t="inlineStr">
        <is>
          <t>Translation</t>
        </is>
      </c>
      <c r="C65" s="117" t="inlineStr">
        <is>
          <t>Rupture câble de puissance</t>
        </is>
      </c>
      <c r="D65" s="118" t="inlineStr">
        <is>
          <t>Echauffement reducteur</t>
        </is>
      </c>
      <c r="E65" s="112" t="inlineStr">
        <is>
          <t>Retour produit</t>
        </is>
      </c>
      <c r="F65" s="112" t="n"/>
      <c r="G65" s="112" t="n"/>
      <c r="H65" s="117" t="inlineStr">
        <is>
          <t>Soulagement décanteur</t>
        </is>
      </c>
      <c r="I65" s="112" t="n"/>
      <c r="J65" s="112" t="n"/>
      <c r="K65" s="112" t="n"/>
      <c r="L65" s="112" t="n"/>
      <c r="M65" s="112" t="n"/>
    </row>
    <row r="66">
      <c r="A66" s="115" t="n"/>
      <c r="B66" s="117" t="inlineStr">
        <is>
          <t>Translation + orientation</t>
        </is>
      </c>
      <c r="C66" s="117" t="inlineStr">
        <is>
          <t>Travaux électriques</t>
        </is>
      </c>
      <c r="D66" s="118" t="inlineStr">
        <is>
          <t>Entretien mécanique</t>
        </is>
      </c>
      <c r="E66" s="112" t="inlineStr">
        <is>
          <t>Retournement</t>
        </is>
      </c>
      <c r="F66" s="112" t="n"/>
      <c r="G66" s="112" t="n"/>
      <c r="H66" s="117" t="inlineStr">
        <is>
          <t>Sterril achevé</t>
        </is>
      </c>
      <c r="I66" s="112" t="n"/>
      <c r="J66" s="112" t="n"/>
      <c r="K66" s="112" t="n"/>
      <c r="L66" s="112" t="n"/>
      <c r="M66" s="112" t="n"/>
    </row>
    <row r="67">
      <c r="A67" s="115" t="n"/>
      <c r="B67" s="117" t="inlineStr">
        <is>
          <t>Trémie pleine</t>
        </is>
      </c>
      <c r="C67" s="117" t="inlineStr">
        <is>
          <t>Travaux sur câble</t>
        </is>
      </c>
      <c r="D67" s="118" t="inlineStr">
        <is>
          <t>Fissure</t>
        </is>
      </c>
      <c r="E67" s="112" t="inlineStr">
        <is>
          <t>Revetement tambour</t>
        </is>
      </c>
      <c r="F67" s="112" t="n"/>
      <c r="G67" s="112" t="n"/>
      <c r="H67" s="117" t="inlineStr">
        <is>
          <t>Stock plein</t>
        </is>
      </c>
      <c r="I67" s="112" t="n"/>
      <c r="J67" s="112" t="n"/>
      <c r="K67" s="112" t="n"/>
      <c r="L67" s="112" t="n"/>
      <c r="M67" s="112" t="n"/>
    </row>
    <row r="68" ht="36" customHeight="1">
      <c r="A68" s="115" t="n"/>
      <c r="B68" s="117" t="inlineStr">
        <is>
          <t>Vent violent</t>
        </is>
      </c>
      <c r="C68" s="117" t="inlineStr">
        <is>
          <t>Travaux sur enrouleur de câble</t>
        </is>
      </c>
      <c r="D68" s="118" t="inlineStr">
        <is>
          <t>Fixation cartére de protection</t>
        </is>
      </c>
      <c r="E68" s="112" t="inlineStr">
        <is>
          <t>Rupture bande</t>
        </is>
      </c>
      <c r="F68" s="112" t="n"/>
      <c r="G68" s="112" t="n"/>
      <c r="H68" s="117" t="inlineStr">
        <is>
          <t>Surcharge CV</t>
        </is>
      </c>
      <c r="I68" s="112" t="n"/>
      <c r="J68" s="112" t="n"/>
      <c r="K68" s="112" t="n"/>
      <c r="L68" s="112" t="n"/>
      <c r="M68" s="112" t="n"/>
    </row>
    <row r="69" ht="36" customHeight="1">
      <c r="A69" s="115" t="n"/>
      <c r="B69" s="117" t="inlineStr">
        <is>
          <t>Vidange axe</t>
        </is>
      </c>
      <c r="C69" s="117" t="inlineStr">
        <is>
          <t>Vol câble électrique</t>
        </is>
      </c>
      <c r="D69" s="118" t="inlineStr">
        <is>
          <t>Fixation godet</t>
        </is>
      </c>
      <c r="E69" s="112" t="inlineStr">
        <is>
          <t>Surcharge</t>
        </is>
      </c>
      <c r="F69" s="112" t="n"/>
      <c r="G69" s="112" t="n"/>
      <c r="H69" s="117" t="inlineStr">
        <is>
          <t>Travaux de communication</t>
        </is>
      </c>
      <c r="I69" s="112" t="n"/>
      <c r="J69" s="112" t="n"/>
      <c r="K69" s="112" t="n"/>
      <c r="L69" s="112" t="n"/>
      <c r="M69" s="112" t="n"/>
    </row>
    <row r="70">
      <c r="A70" s="115" t="n"/>
      <c r="B70" s="117" t="inlineStr">
        <is>
          <t>Vidange trémie</t>
        </is>
      </c>
      <c r="C70" s="112" t="inlineStr">
        <is>
          <t xml:space="preserve">Défaut disj puissance </t>
        </is>
      </c>
      <c r="D70" s="118" t="inlineStr">
        <is>
          <t>Fixation moteur de translation</t>
        </is>
      </c>
      <c r="E70" s="112" t="inlineStr">
        <is>
          <t>Tension bande</t>
        </is>
      </c>
      <c r="F70" s="112" t="n"/>
      <c r="G70" s="112" t="n"/>
      <c r="H70" s="117" t="inlineStr">
        <is>
          <t>Travaux électrique</t>
        </is>
      </c>
      <c r="I70" s="112" t="n"/>
      <c r="J70" s="112" t="n"/>
      <c r="K70" s="112" t="n"/>
      <c r="L70" s="112" t="n"/>
      <c r="M70" s="112" t="n"/>
    </row>
    <row r="71">
      <c r="A71" s="115" t="n"/>
      <c r="B71" s="112" t="inlineStr">
        <is>
          <t xml:space="preserve"> nettoyage suite chute de  la flèche</t>
        </is>
      </c>
      <c r="C71" s="112" t="inlineStr">
        <is>
          <t>Déconsignation de la liaison</t>
        </is>
      </c>
      <c r="D71" s="118" t="inlineStr">
        <is>
          <t>Fixation moteur d'orientation</t>
        </is>
      </c>
      <c r="E71" s="112" t="inlineStr">
        <is>
          <t>Travaux SI</t>
        </is>
      </c>
      <c r="F71" s="112" t="n"/>
      <c r="G71" s="112" t="n"/>
      <c r="H71" s="117" t="inlineStr">
        <is>
          <t>Travaux mécaniques</t>
        </is>
      </c>
      <c r="I71" s="112" t="n"/>
      <c r="J71" s="112" t="n"/>
      <c r="K71" s="112" t="n"/>
      <c r="L71" s="112" t="n"/>
      <c r="M71" s="112" t="n"/>
    </row>
    <row r="72">
      <c r="A72" s="115" t="n"/>
      <c r="B72" s="112" t="inlineStr">
        <is>
          <t xml:space="preserve">Nettoyage de la table </t>
        </is>
      </c>
      <c r="C72" s="112" t="inlineStr">
        <is>
          <t>Carte électronique défectueuse</t>
        </is>
      </c>
      <c r="D72" s="118" t="inlineStr">
        <is>
          <t>Fixation réducteur de translation</t>
        </is>
      </c>
      <c r="E72" s="112" t="inlineStr">
        <is>
          <t>Vulcanisation</t>
        </is>
      </c>
      <c r="F72" s="112" t="n"/>
      <c r="G72" s="112" t="n"/>
      <c r="H72" s="117" t="inlineStr">
        <is>
          <t>Travaux régulation</t>
        </is>
      </c>
      <c r="I72" s="112" t="n"/>
      <c r="J72" s="112" t="n"/>
      <c r="K72" s="112" t="n"/>
      <c r="L72" s="112" t="n"/>
      <c r="M72" s="112" t="n"/>
    </row>
    <row r="73">
      <c r="A73" s="115" t="n"/>
      <c r="B73" s="410" t="inlineStr">
        <is>
          <t>Changement navette</t>
        </is>
      </c>
      <c r="C73" s="112" t="inlineStr">
        <is>
          <t>Défaut  départ disj treuil</t>
        </is>
      </c>
      <c r="D73" s="118" t="inlineStr">
        <is>
          <t>Fixation réducteur d'orientation</t>
        </is>
      </c>
      <c r="E73" s="112" t="inlineStr">
        <is>
          <t>Vulcanisation souflée</t>
        </is>
      </c>
      <c r="F73" s="112" t="n"/>
      <c r="G73" s="112" t="n"/>
      <c r="H73" s="117" t="inlineStr">
        <is>
          <t>Travaux SI</t>
        </is>
      </c>
      <c r="I73" s="112" t="n"/>
      <c r="J73" s="112" t="n"/>
      <c r="K73" s="112" t="n"/>
      <c r="L73" s="112" t="n"/>
      <c r="M73" s="112" t="n"/>
    </row>
    <row r="74">
      <c r="A74" s="115" t="n"/>
      <c r="B74" s="112" t="inlineStr">
        <is>
          <t>Changement position</t>
        </is>
      </c>
      <c r="C74" s="112" t="n"/>
      <c r="D74" s="118" t="inlineStr">
        <is>
          <t>Fuit d'huile / réducteur de translation</t>
        </is>
      </c>
      <c r="E74" s="112" t="inlineStr">
        <is>
          <t>Bande tendu</t>
        </is>
      </c>
      <c r="F74" s="112" t="n"/>
      <c r="G74" s="112" t="n"/>
      <c r="H74" s="117" t="inlineStr">
        <is>
          <t>Travaux sur déconteur</t>
        </is>
      </c>
      <c r="I74" s="112" t="n"/>
      <c r="J74" s="112" t="n"/>
      <c r="K74" s="112" t="n"/>
      <c r="L74" s="112" t="n"/>
      <c r="M74" s="112" t="n"/>
    </row>
    <row r="75">
      <c r="A75" s="115" t="n"/>
      <c r="B75" s="112" t="n"/>
      <c r="C75" s="112" t="n"/>
      <c r="D75" s="118" t="inlineStr">
        <is>
          <t>Fuit d'huile / réducteur d'orientation</t>
        </is>
      </c>
      <c r="E75" s="112" t="n"/>
      <c r="F75" s="112" t="n"/>
      <c r="G75" s="112" t="n"/>
      <c r="H75" s="117" t="inlineStr">
        <is>
          <t>défaut de bourrage</t>
        </is>
      </c>
      <c r="I75" s="112" t="n"/>
      <c r="J75" s="112" t="n"/>
      <c r="K75" s="112" t="n"/>
      <c r="L75" s="112" t="n"/>
      <c r="M75" s="112" t="n"/>
    </row>
    <row r="76">
      <c r="A76" s="115" t="n"/>
      <c r="B76" s="112" t="n"/>
      <c r="C76" s="112" t="n"/>
      <c r="D76" s="118" t="inlineStr">
        <is>
          <t>Fixation réducteur TF</t>
        </is>
      </c>
      <c r="E76" s="112" t="n"/>
      <c r="F76" s="112" t="n"/>
      <c r="G76" s="112" t="n"/>
      <c r="H76" s="112" t="inlineStr">
        <is>
          <t>Essais lavage simple</t>
        </is>
      </c>
      <c r="I76" s="112" t="n"/>
      <c r="J76" s="112" t="n"/>
      <c r="K76" s="112" t="n"/>
      <c r="L76" s="112" t="n"/>
      <c r="M76" s="112" t="n"/>
    </row>
    <row r="77">
      <c r="A77" s="115" t="n"/>
      <c r="B77" s="112" t="n"/>
      <c r="C77" s="112" t="n"/>
      <c r="D77" s="118" t="inlineStr">
        <is>
          <t>Fuit d'huile</t>
        </is>
      </c>
      <c r="E77" s="112" t="n"/>
      <c r="F77" s="112" t="n"/>
      <c r="G77" s="112" t="n"/>
      <c r="H77" s="117" t="inlineStr">
        <is>
          <t>Trémie pleine</t>
        </is>
      </c>
      <c r="I77" s="112" t="n"/>
      <c r="J77" s="112" t="n"/>
      <c r="K77" s="112" t="n"/>
      <c r="L77" s="112" t="n"/>
      <c r="M77" s="112" t="n"/>
    </row>
    <row r="78">
      <c r="A78" s="115" t="n"/>
      <c r="B78" s="112" t="n"/>
      <c r="C78" s="112" t="n"/>
      <c r="D78" s="118" t="inlineStr">
        <is>
          <t>Fuit d'huile / circuit hydraulique</t>
        </is>
      </c>
      <c r="E78" s="112" t="n"/>
      <c r="F78" s="112" t="n"/>
      <c r="G78" s="112" t="n"/>
      <c r="H78" s="117" t="inlineStr">
        <is>
          <t>Vent violent</t>
        </is>
      </c>
      <c r="I78" s="112" t="n"/>
      <c r="J78" s="112" t="n"/>
      <c r="K78" s="112" t="n"/>
      <c r="L78" s="112" t="n"/>
      <c r="M78" s="112" t="n"/>
    </row>
    <row r="79">
      <c r="A79" s="115" t="n"/>
      <c r="B79" s="112" t="n"/>
      <c r="C79" s="112" t="n"/>
      <c r="D79" s="118" t="inlineStr">
        <is>
          <t>Fuit d'huile / coupleur hydraulique</t>
        </is>
      </c>
      <c r="E79" s="112" t="n"/>
      <c r="F79" s="112" t="n"/>
      <c r="G79" s="112" t="n"/>
      <c r="H79" s="117" t="inlineStr">
        <is>
          <t>Vidange axe</t>
        </is>
      </c>
      <c r="I79" s="112" t="n"/>
      <c r="J79" s="112" t="n"/>
      <c r="K79" s="112" t="n"/>
      <c r="L79" s="112" t="n"/>
      <c r="M79" s="112" t="n"/>
    </row>
    <row r="80">
      <c r="A80" s="115" t="n"/>
      <c r="B80" s="112" t="n"/>
      <c r="C80" s="112" t="n"/>
      <c r="D80" s="118" t="inlineStr">
        <is>
          <t>Fuit d'huile / réducteur TF</t>
        </is>
      </c>
      <c r="E80" s="112" t="n"/>
      <c r="F80" s="112" t="n"/>
      <c r="G80" s="112" t="n"/>
      <c r="H80" s="117" t="inlineStr">
        <is>
          <t>Vidange trémie</t>
        </is>
      </c>
      <c r="I80" s="112" t="n"/>
      <c r="J80" s="112" t="n"/>
      <c r="K80" s="112" t="n"/>
      <c r="L80" s="112" t="n"/>
      <c r="M80" s="112" t="n"/>
    </row>
    <row r="81">
      <c r="A81" s="115" t="n"/>
      <c r="B81" s="112" t="n"/>
      <c r="C81" s="112" t="n"/>
      <c r="D81" s="118" t="inlineStr">
        <is>
          <t>Fusion fusible</t>
        </is>
      </c>
      <c r="E81" s="112" t="n"/>
      <c r="F81" s="112" t="n"/>
      <c r="G81" s="112" t="n"/>
      <c r="H81" s="112" t="inlineStr">
        <is>
          <t>lavage de BTSC  sur PIPE</t>
        </is>
      </c>
      <c r="I81" s="112" t="n"/>
      <c r="J81" s="112" t="n"/>
      <c r="K81" s="112" t="n"/>
      <c r="L81" s="112" t="n"/>
      <c r="M81" s="112" t="n"/>
    </row>
    <row r="82">
      <c r="A82" s="115" t="n"/>
      <c r="B82" s="112" t="n"/>
      <c r="C82" s="112" t="n"/>
      <c r="D82" s="118" t="inlineStr">
        <is>
          <t>Graissage</t>
        </is>
      </c>
      <c r="E82" s="112" t="n"/>
      <c r="F82" s="112" t="n"/>
      <c r="G82" s="112" t="n"/>
      <c r="H82" s="112" t="inlineStr">
        <is>
          <t>lavage de TBTSC  sur PIPE</t>
        </is>
      </c>
      <c r="I82" s="112" t="n"/>
      <c r="J82" s="112" t="n"/>
      <c r="K82" s="112" t="n"/>
      <c r="L82" s="112" t="n"/>
      <c r="M82" s="112" t="n"/>
    </row>
    <row r="83">
      <c r="A83" s="115" t="n"/>
      <c r="B83" s="112" t="n"/>
      <c r="C83" s="112" t="n"/>
      <c r="D83" s="118" t="inlineStr">
        <is>
          <t>Indisponible</t>
        </is>
      </c>
      <c r="E83" s="112" t="n"/>
      <c r="F83" s="112" t="n"/>
      <c r="G83" s="112" t="n"/>
      <c r="H83" s="112" t="inlineStr">
        <is>
          <t>lavage de TBTSC  sur H2</t>
        </is>
      </c>
      <c r="I83" s="112" t="n"/>
      <c r="J83" s="112" t="n"/>
      <c r="K83" s="112" t="n"/>
      <c r="L83" s="112" t="n"/>
      <c r="M83" s="112" t="n"/>
    </row>
    <row r="84">
      <c r="A84" s="115" t="n"/>
      <c r="B84" s="112" t="n"/>
      <c r="C84" s="112" t="n"/>
      <c r="D84" s="118" t="inlineStr">
        <is>
          <t>Joint d’accouplement cisaillé</t>
        </is>
      </c>
      <c r="E84" s="112" t="n"/>
      <c r="F84" s="112" t="n"/>
      <c r="G84" s="112" t="n"/>
      <c r="H84" s="112" t="inlineStr">
        <is>
          <t>lavage de BTSC  sur H2</t>
        </is>
      </c>
      <c r="I84" s="112" t="n"/>
      <c r="J84" s="112" t="n"/>
      <c r="K84" s="112" t="n"/>
      <c r="L84" s="112" t="n"/>
      <c r="M84" s="112" t="n"/>
    </row>
    <row r="85">
      <c r="A85" s="115" t="n"/>
      <c r="B85" s="112" t="n"/>
      <c r="C85" s="112" t="n"/>
      <c r="D85" s="118" t="inlineStr">
        <is>
          <t>Manque caisson</t>
        </is>
      </c>
      <c r="E85" s="112" t="n"/>
      <c r="F85" s="112" t="n"/>
      <c r="G85" s="112" t="n"/>
      <c r="H85" s="112" t="inlineStr">
        <is>
          <t>Tank  plein  + travaux sur les FLs</t>
        </is>
      </c>
      <c r="I85" s="112" t="n"/>
      <c r="J85" s="112" t="n"/>
      <c r="K85" s="112" t="n"/>
      <c r="L85" s="112" t="n"/>
      <c r="M85" s="112" t="n"/>
    </row>
    <row r="86">
      <c r="A86" s="115" t="n"/>
      <c r="B86" s="112" t="n"/>
      <c r="C86" s="112" t="n"/>
      <c r="D86" s="118" t="inlineStr">
        <is>
          <t>Manque Enrouleur de câble de puissance</t>
        </is>
      </c>
      <c r="E86" s="112" t="n"/>
      <c r="F86" s="112" t="n"/>
      <c r="G86" s="112" t="n"/>
      <c r="H86" s="112" t="inlineStr">
        <is>
          <t xml:space="preserve">Arrêt planifié </t>
        </is>
      </c>
      <c r="I86" s="112" t="n"/>
      <c r="J86" s="112" t="n"/>
      <c r="K86" s="112" t="n"/>
      <c r="L86" s="112" t="n"/>
      <c r="M86" s="112" t="n"/>
    </row>
    <row r="87">
      <c r="A87" s="115" t="n"/>
      <c r="B87" s="112" t="n"/>
      <c r="C87" s="112" t="n"/>
      <c r="D87" s="118" t="inlineStr">
        <is>
          <t>Montage cartère de protection</t>
        </is>
      </c>
      <c r="E87" s="112" t="n"/>
      <c r="F87" s="112" t="n"/>
      <c r="G87" s="112" t="n"/>
      <c r="H87" s="112" t="inlineStr">
        <is>
          <t xml:space="preserve">TP suite  FE sont à l'arrêt </t>
        </is>
      </c>
      <c r="I87" s="112" t="n"/>
      <c r="J87" s="112" t="n"/>
      <c r="K87" s="112" t="n"/>
      <c r="L87" s="112" t="n"/>
      <c r="M87" s="112" t="n"/>
    </row>
    <row r="88">
      <c r="A88" s="115" t="n"/>
      <c r="B88" s="112" t="n"/>
      <c r="C88" s="112" t="n"/>
      <c r="D88" s="118" t="inlineStr">
        <is>
          <t>Montage chaine de guidage</t>
        </is>
      </c>
      <c r="E88" s="112" t="n"/>
      <c r="F88" s="112" t="n"/>
      <c r="G88" s="112" t="n"/>
      <c r="H88" s="112" t="inlineStr">
        <is>
          <t>Changement bande FE2</t>
        </is>
      </c>
      <c r="I88" s="112" t="n"/>
      <c r="J88" s="112" t="n"/>
      <c r="K88" s="112" t="n"/>
      <c r="L88" s="112" t="n"/>
      <c r="M88" s="112" t="n"/>
    </row>
    <row r="89">
      <c r="A89" s="115" t="n"/>
      <c r="B89" s="112" t="n"/>
      <c r="C89" s="112" t="n"/>
      <c r="D89" s="118" t="inlineStr">
        <is>
          <t>Montage coupleur hydraulique</t>
        </is>
      </c>
      <c r="E89" s="112" t="n"/>
      <c r="F89" s="112" t="n"/>
      <c r="G89" s="112" t="n"/>
      <c r="H89" s="112" t="inlineStr">
        <is>
          <t xml:space="preserve">Arrêt fugitif </t>
        </is>
      </c>
      <c r="I89" s="112" t="n"/>
      <c r="J89" s="112" t="n"/>
      <c r="K89" s="112" t="n"/>
      <c r="L89" s="112" t="n"/>
      <c r="M89" s="112" t="n"/>
    </row>
    <row r="90">
      <c r="A90" s="115" t="n"/>
      <c r="B90" s="112" t="n"/>
      <c r="C90" s="112" t="n"/>
      <c r="D90" s="118" t="inlineStr">
        <is>
          <t>Montage électrofrein</t>
        </is>
      </c>
      <c r="E90" s="112" t="n"/>
      <c r="F90" s="112" t="n"/>
      <c r="G90" s="112" t="n"/>
      <c r="H90" s="112" t="inlineStr">
        <is>
          <t>Tank + Stock plein sur H2</t>
        </is>
      </c>
      <c r="I90" s="112" t="n"/>
      <c r="J90" s="112" t="n"/>
      <c r="K90" s="112" t="n"/>
      <c r="L90" s="112" t="n"/>
      <c r="M90" s="112" t="n"/>
    </row>
    <row r="91">
      <c r="A91" s="115" t="n"/>
      <c r="B91" s="112" t="n"/>
      <c r="C91" s="112" t="n"/>
      <c r="D91" s="118" t="inlineStr">
        <is>
          <t>Montage grille de protection</t>
        </is>
      </c>
      <c r="E91" s="112" t="n"/>
      <c r="F91" s="112" t="n"/>
      <c r="G91" s="112" t="n"/>
      <c r="H91" s="112" t="inlineStr">
        <is>
          <t xml:space="preserve">Rinçage </t>
        </is>
      </c>
      <c r="I91" s="112" t="n"/>
      <c r="J91" s="112" t="n"/>
      <c r="K91" s="112" t="n"/>
      <c r="L91" s="112" t="n"/>
      <c r="M91" s="112" t="n"/>
    </row>
    <row r="92">
      <c r="A92" s="115" t="n"/>
      <c r="B92" s="112" t="n"/>
      <c r="C92" s="112" t="n"/>
      <c r="D92" s="118" t="inlineStr">
        <is>
          <t>Montage moteur</t>
        </is>
      </c>
      <c r="E92" s="112" t="n"/>
      <c r="F92" s="112" t="n"/>
      <c r="G92" s="112" t="n"/>
      <c r="H92" s="112" t="n"/>
      <c r="I92" s="112" t="n"/>
      <c r="J92" s="112" t="n"/>
      <c r="K92" s="112" t="n"/>
      <c r="L92" s="112" t="n"/>
      <c r="M92" s="112" t="n"/>
    </row>
    <row r="93">
      <c r="A93" s="115" t="n"/>
      <c r="B93" s="112" t="n"/>
      <c r="C93" s="112" t="n"/>
      <c r="D93" s="118" t="inlineStr">
        <is>
          <t>Montage reducteur</t>
        </is>
      </c>
      <c r="E93" s="112" t="n"/>
      <c r="F93" s="112" t="n"/>
      <c r="G93" s="112" t="n"/>
      <c r="H93" s="112" t="n"/>
      <c r="I93" s="112" t="n"/>
      <c r="J93" s="112" t="n"/>
      <c r="K93" s="112" t="n"/>
      <c r="L93" s="112" t="n"/>
      <c r="M93" s="112" t="n"/>
    </row>
    <row r="94">
      <c r="A94" s="115" t="n"/>
      <c r="B94" s="112" t="n"/>
      <c r="C94" s="112" t="n"/>
      <c r="D94" s="118" t="inlineStr">
        <is>
          <t>Nombre de crible indisponible</t>
        </is>
      </c>
      <c r="E94" s="112" t="n"/>
      <c r="F94" s="112" t="n"/>
      <c r="G94" s="112" t="n"/>
      <c r="H94" s="112" t="n"/>
      <c r="I94" s="112" t="n"/>
      <c r="J94" s="112" t="n"/>
      <c r="K94" s="112" t="n"/>
      <c r="L94" s="112" t="n"/>
      <c r="M94" s="112" t="n"/>
    </row>
    <row r="95">
      <c r="A95" s="115" t="n"/>
      <c r="B95" s="112" t="n"/>
      <c r="C95" s="112" t="n"/>
      <c r="D95" s="118" t="inlineStr">
        <is>
          <t>Rafistolage golotte</t>
        </is>
      </c>
      <c r="E95" s="112" t="n"/>
      <c r="F95" s="112" t="n"/>
      <c r="G95" s="112" t="n"/>
      <c r="H95" s="112" t="n"/>
      <c r="I95" s="112" t="n"/>
      <c r="J95" s="112" t="n"/>
      <c r="K95" s="112" t="n"/>
      <c r="L95" s="112" t="n"/>
      <c r="M95" s="112" t="n"/>
    </row>
    <row r="96">
      <c r="A96" s="115" t="n"/>
      <c r="B96" s="112" t="n"/>
      <c r="C96" s="112" t="n"/>
      <c r="D96" s="118" t="inlineStr">
        <is>
          <t>Rafistolage Trémie</t>
        </is>
      </c>
      <c r="E96" s="112" t="n"/>
      <c r="F96" s="112" t="n"/>
      <c r="G96" s="112" t="n"/>
      <c r="H96" s="112" t="n"/>
      <c r="I96" s="112" t="n"/>
      <c r="J96" s="112" t="n"/>
      <c r="K96" s="112" t="n"/>
      <c r="L96" s="112" t="n"/>
      <c r="M96" s="112" t="n"/>
    </row>
    <row r="97">
      <c r="A97" s="115" t="n"/>
      <c r="B97" s="112" t="n"/>
      <c r="C97" s="112" t="n"/>
      <c r="D97" s="118" t="inlineStr">
        <is>
          <t>Remontage tête matrice</t>
        </is>
      </c>
      <c r="E97" s="112" t="n"/>
      <c r="F97" s="112" t="n"/>
      <c r="G97" s="112" t="n"/>
      <c r="H97" s="112" t="n"/>
      <c r="I97" s="112" t="n"/>
      <c r="J97" s="112" t="n"/>
      <c r="K97" s="112" t="n"/>
      <c r="L97" s="112" t="n"/>
      <c r="M97" s="112" t="n"/>
    </row>
    <row r="98">
      <c r="A98" s="115" t="n"/>
      <c r="B98" s="112" t="n"/>
      <c r="C98" s="112" t="n"/>
      <c r="D98" s="118" t="inlineStr">
        <is>
          <t>Roulement grippé</t>
        </is>
      </c>
      <c r="E98" s="112" t="n"/>
      <c r="F98" s="112" t="n"/>
      <c r="G98" s="112" t="n"/>
      <c r="H98" s="112" t="n"/>
      <c r="I98" s="112" t="n"/>
      <c r="J98" s="112" t="n"/>
      <c r="K98" s="112" t="n"/>
      <c r="L98" s="112" t="n"/>
      <c r="M98" s="112" t="n"/>
    </row>
    <row r="99">
      <c r="A99" s="115" t="n"/>
      <c r="B99" s="112" t="n"/>
      <c r="C99" s="112" t="n"/>
      <c r="D99" s="118" t="inlineStr">
        <is>
          <t>Ruptur cable de chariôt de tension</t>
        </is>
      </c>
      <c r="E99" s="112" t="n"/>
      <c r="F99" s="112" t="n"/>
      <c r="G99" s="112" t="n"/>
      <c r="H99" s="112" t="n"/>
      <c r="I99" s="112" t="n"/>
      <c r="J99" s="112" t="n"/>
      <c r="K99" s="112" t="n"/>
      <c r="L99" s="112" t="n"/>
      <c r="M99" s="112" t="n"/>
    </row>
    <row r="100">
      <c r="A100" s="115" t="n"/>
      <c r="B100" s="112" t="n"/>
      <c r="C100" s="112" t="n"/>
      <c r="D100" s="118" t="inlineStr">
        <is>
          <t>Sérrage des boulons</t>
        </is>
      </c>
      <c r="E100" s="112" t="n"/>
      <c r="F100" s="112" t="n"/>
      <c r="G100" s="112" t="n"/>
      <c r="H100" s="112" t="n"/>
      <c r="I100" s="112" t="n"/>
      <c r="J100" s="112" t="n"/>
      <c r="K100" s="112" t="n"/>
      <c r="L100" s="112" t="n"/>
      <c r="M100" s="112" t="n"/>
    </row>
    <row r="101">
      <c r="A101" s="115" t="n"/>
      <c r="B101" s="112" t="n"/>
      <c r="C101" s="112" t="n"/>
      <c r="D101" s="118" t="inlineStr">
        <is>
          <t>Sérrage électro_freins</t>
        </is>
      </c>
      <c r="E101" s="112" t="n"/>
      <c r="F101" s="112" t="n"/>
      <c r="G101" s="112" t="n"/>
      <c r="H101" s="112" t="n"/>
      <c r="I101" s="112" t="n"/>
      <c r="J101" s="112" t="n"/>
      <c r="K101" s="112" t="n"/>
      <c r="L101" s="112" t="n"/>
      <c r="M101" s="112" t="n"/>
    </row>
    <row r="102">
      <c r="A102" s="115" t="n"/>
      <c r="B102" s="112" t="n"/>
      <c r="C102" s="112" t="n"/>
      <c r="D102" s="118" t="inlineStr">
        <is>
          <t>Sérrage électro_freins de translation</t>
        </is>
      </c>
      <c r="E102" s="112" t="n"/>
      <c r="F102" s="112" t="n"/>
      <c r="G102" s="112" t="n"/>
      <c r="H102" s="112" t="n"/>
      <c r="I102" s="112" t="n"/>
      <c r="J102" s="112" t="n"/>
      <c r="K102" s="112" t="n"/>
      <c r="L102" s="112" t="n"/>
      <c r="M102" s="112" t="n"/>
    </row>
    <row r="103">
      <c r="A103" s="115" t="n"/>
      <c r="B103" s="112" t="n"/>
      <c r="C103" s="112" t="n"/>
      <c r="D103" s="118" t="inlineStr">
        <is>
          <t>Sérrage électro_freins d'orientation</t>
        </is>
      </c>
      <c r="E103" s="112" t="n"/>
      <c r="F103" s="112" t="n"/>
      <c r="G103" s="112" t="n"/>
      <c r="H103" s="112" t="n"/>
      <c r="I103" s="112" t="n"/>
      <c r="J103" s="112" t="n"/>
      <c r="K103" s="112" t="n"/>
      <c r="L103" s="112" t="n"/>
      <c r="M103" s="112" t="n"/>
    </row>
    <row r="104">
      <c r="A104" s="115" t="n"/>
      <c r="B104" s="112" t="n"/>
      <c r="C104" s="112" t="n"/>
      <c r="D104" s="118" t="inlineStr">
        <is>
          <t>Sérrage les godets de RàG</t>
        </is>
      </c>
      <c r="E104" s="112" t="n"/>
      <c r="F104" s="112" t="n"/>
      <c r="G104" s="112" t="n"/>
      <c r="H104" s="112" t="n"/>
      <c r="I104" s="112" t="n"/>
      <c r="J104" s="112" t="n"/>
      <c r="K104" s="112" t="n"/>
      <c r="L104" s="112" t="n"/>
      <c r="M104" s="112" t="n"/>
    </row>
    <row r="105">
      <c r="A105" s="115" t="n"/>
      <c r="B105" s="112" t="n"/>
      <c r="C105" s="112" t="n"/>
      <c r="D105" s="118" t="inlineStr">
        <is>
          <t>Tige de tension cisaillé</t>
        </is>
      </c>
      <c r="E105" s="112" t="n"/>
      <c r="F105" s="112" t="n"/>
      <c r="G105" s="112" t="n"/>
      <c r="H105" s="112" t="n"/>
      <c r="I105" s="112" t="n"/>
      <c r="J105" s="112" t="n"/>
      <c r="K105" s="112" t="n"/>
      <c r="L105" s="112" t="n"/>
      <c r="M105" s="112" t="n"/>
    </row>
    <row r="106">
      <c r="A106" s="115" t="n"/>
      <c r="B106" s="112" t="n"/>
      <c r="C106" s="112" t="n"/>
      <c r="D106" s="118" t="inlineStr">
        <is>
          <t>Translation tête avancable</t>
        </is>
      </c>
      <c r="E106" s="112" t="n"/>
      <c r="F106" s="112" t="n"/>
      <c r="G106" s="112" t="n"/>
      <c r="H106" s="112" t="n"/>
      <c r="I106" s="112" t="n"/>
      <c r="J106" s="112" t="n"/>
      <c r="K106" s="112" t="n"/>
      <c r="L106" s="112" t="n"/>
      <c r="M106" s="112" t="n"/>
    </row>
    <row r="107">
      <c r="A107" s="115" t="n"/>
      <c r="B107" s="112" t="n"/>
      <c r="C107" s="112" t="n"/>
      <c r="D107" s="118" t="inlineStr">
        <is>
          <t>Travaux chaudrenerie</t>
        </is>
      </c>
      <c r="E107" s="112" t="n"/>
      <c r="F107" s="112" t="n"/>
      <c r="G107" s="112" t="n"/>
      <c r="H107" s="112" t="n"/>
      <c r="I107" s="112" t="n"/>
      <c r="J107" s="112" t="n"/>
      <c r="K107" s="112" t="n"/>
      <c r="L107" s="112" t="n"/>
      <c r="M107" s="112" t="n"/>
    </row>
    <row r="108">
      <c r="A108" s="115" t="n"/>
      <c r="B108" s="112" t="n"/>
      <c r="C108" s="112" t="n"/>
      <c r="D108" s="118" t="inlineStr">
        <is>
          <t>Travaux de sécurité</t>
        </is>
      </c>
      <c r="E108" s="112" t="n"/>
      <c r="F108" s="112" t="n"/>
      <c r="G108" s="112" t="n"/>
      <c r="H108" s="112" t="n"/>
      <c r="I108" s="112" t="n"/>
      <c r="J108" s="112" t="n"/>
      <c r="K108" s="112" t="n"/>
      <c r="L108" s="112" t="n"/>
      <c r="M108" s="112" t="n"/>
    </row>
    <row r="109">
      <c r="A109" s="115" t="n"/>
      <c r="B109" s="112" t="n"/>
      <c r="C109" s="112" t="n"/>
      <c r="D109" s="118" t="inlineStr">
        <is>
          <t>Travaux mécaniques</t>
        </is>
      </c>
      <c r="E109" s="112" t="n"/>
      <c r="F109" s="112" t="n"/>
      <c r="G109" s="112" t="n"/>
      <c r="H109" s="112" t="n"/>
      <c r="I109" s="112" t="n"/>
      <c r="J109" s="112" t="n"/>
      <c r="K109" s="112" t="n"/>
      <c r="L109" s="112" t="n"/>
      <c r="M109" s="112" t="n"/>
    </row>
    <row r="110">
      <c r="A110" s="115" t="n"/>
      <c r="B110" s="112" t="n"/>
      <c r="C110" s="112" t="n"/>
      <c r="D110" s="118" t="inlineStr">
        <is>
          <t>Travaux mécaniques sur chariôt de tension"queue"</t>
        </is>
      </c>
      <c r="E110" s="112" t="n"/>
      <c r="F110" s="112" t="n"/>
      <c r="G110" s="112" t="n"/>
      <c r="H110" s="112" t="n"/>
      <c r="I110" s="112" t="n"/>
      <c r="J110" s="112" t="n"/>
      <c r="K110" s="112" t="n"/>
      <c r="L110" s="112" t="n"/>
      <c r="M110" s="112" t="n"/>
    </row>
    <row r="111">
      <c r="A111" s="115" t="n"/>
      <c r="B111" s="112" t="n"/>
      <c r="C111" s="112" t="n"/>
      <c r="D111" s="118" t="inlineStr">
        <is>
          <t>Travaux mécaniques sur chariôt de tension"tête"</t>
        </is>
      </c>
      <c r="E111" s="112" t="n"/>
      <c r="F111" s="112" t="n"/>
      <c r="G111" s="112" t="n"/>
      <c r="H111" s="112" t="n"/>
      <c r="I111" s="112" t="n"/>
      <c r="J111" s="112" t="n"/>
      <c r="K111" s="112" t="n"/>
      <c r="L111" s="112" t="n"/>
      <c r="M111" s="112" t="n"/>
    </row>
    <row r="112">
      <c r="A112" s="115" t="n"/>
      <c r="B112" s="112" t="n"/>
      <c r="C112" s="112" t="n"/>
      <c r="D112" s="118" t="inlineStr">
        <is>
          <t>Travaux mecaniques sur grille inferieur</t>
        </is>
      </c>
      <c r="E112" s="112" t="n"/>
      <c r="F112" s="112" t="n"/>
      <c r="G112" s="112" t="n"/>
      <c r="H112" s="112" t="n"/>
      <c r="I112" s="112" t="n"/>
      <c r="J112" s="112" t="n"/>
      <c r="K112" s="112" t="n"/>
      <c r="L112" s="112" t="n"/>
      <c r="M112" s="112" t="n"/>
    </row>
    <row r="113">
      <c r="A113" s="115" t="n"/>
      <c r="B113" s="112" t="n"/>
      <c r="C113" s="112" t="n"/>
      <c r="D113" s="118" t="inlineStr">
        <is>
          <t>Travaux mecaniques sur grille superieur</t>
        </is>
      </c>
      <c r="E113" s="112" t="n"/>
      <c r="F113" s="112" t="n"/>
      <c r="G113" s="112" t="n"/>
      <c r="H113" s="112" t="n"/>
      <c r="I113" s="112" t="n"/>
      <c r="J113" s="112" t="n"/>
      <c r="K113" s="112" t="n"/>
      <c r="L113" s="112" t="n"/>
      <c r="M113" s="112" t="n"/>
    </row>
    <row r="114">
      <c r="A114" s="115" t="n"/>
      <c r="B114" s="112" t="n"/>
      <c r="C114" s="112" t="n"/>
      <c r="D114" s="118" t="inlineStr">
        <is>
          <t>Travaux mécaniques sur guide câble de commande</t>
        </is>
      </c>
      <c r="E114" s="112" t="n"/>
      <c r="F114" s="112" t="n"/>
      <c r="G114" s="112" t="n"/>
      <c r="H114" s="112" t="n"/>
      <c r="I114" s="112" t="n"/>
      <c r="J114" s="112" t="n"/>
      <c r="K114" s="112" t="n"/>
      <c r="L114" s="112" t="n"/>
      <c r="M114" s="112" t="n"/>
    </row>
    <row r="115">
      <c r="A115" s="115" t="n"/>
      <c r="B115" s="112" t="n"/>
      <c r="C115" s="112" t="n"/>
      <c r="D115" s="118" t="inlineStr">
        <is>
          <t>Travaux mécaniques sur guide câble de puissance</t>
        </is>
      </c>
      <c r="E115" s="112" t="n"/>
      <c r="F115" s="112" t="n"/>
      <c r="G115" s="112" t="n"/>
      <c r="H115" s="112" t="n"/>
      <c r="I115" s="112" t="n"/>
      <c r="J115" s="112" t="n"/>
      <c r="K115" s="112" t="n"/>
      <c r="L115" s="112" t="n"/>
      <c r="M115" s="112" t="n"/>
    </row>
    <row r="116">
      <c r="A116" s="115" t="n"/>
      <c r="B116" s="112" t="n"/>
      <c r="C116" s="112" t="n"/>
      <c r="D116" s="118" t="inlineStr">
        <is>
          <t>Travaux sur enrouleur de câble</t>
        </is>
      </c>
      <c r="E116" s="112" t="n"/>
      <c r="F116" s="112" t="n"/>
      <c r="G116" s="112" t="n"/>
      <c r="H116" s="112" t="n"/>
      <c r="I116" s="112" t="n"/>
      <c r="J116" s="112" t="n"/>
      <c r="K116" s="112" t="n"/>
      <c r="L116" s="112" t="n"/>
      <c r="M116" s="112" t="n"/>
    </row>
    <row r="117">
      <c r="A117" s="115" t="n"/>
      <c r="B117" s="112" t="n"/>
      <c r="C117" s="112" t="n"/>
      <c r="D117" s="118" t="inlineStr">
        <is>
          <t>Vibration éxagérée</t>
        </is>
      </c>
      <c r="E117" s="112" t="n"/>
      <c r="F117" s="112" t="n"/>
      <c r="G117" s="112" t="n"/>
      <c r="H117" s="112" t="n"/>
      <c r="I117" s="112" t="n"/>
      <c r="J117" s="112" t="n"/>
      <c r="K117" s="112" t="n"/>
      <c r="L117" s="112" t="n"/>
      <c r="M117" s="112" t="n"/>
    </row>
    <row r="118">
      <c r="C118" s="112" t="n"/>
      <c r="D118" s="111" t="inlineStr">
        <is>
          <t>Cisaillement arbre moteur de translation N : 9</t>
        </is>
      </c>
      <c r="E118" s="112" t="n"/>
      <c r="H118" s="112" t="n"/>
      <c r="K118" s="112" t="n"/>
      <c r="M118" s="112" t="n"/>
    </row>
    <row r="119">
      <c r="C119" s="112" t="n"/>
      <c r="H119" s="112" t="n"/>
    </row>
    <row r="120">
      <c r="H120" s="112" t="n"/>
    </row>
  </sheetData>
  <pageMargins left="0.7" right="0.7" top="0.75" bottom="0.75" header="0.3" footer="0.3"/>
  <pageSetup orientation="portrait" paperSize="9" horizontalDpi="300" verticalDpi="300"/>
</worksheet>
</file>

<file path=xl/worksheets/sheet15.xml><?xml version="1.0" encoding="utf-8"?>
<worksheet xmlns="http://schemas.openxmlformats.org/spreadsheetml/2006/main">
  <sheetPr codeName="Feuil19">
    <outlinePr summaryBelow="1" summaryRight="1"/>
    <pageSetUpPr/>
  </sheetPr>
  <dimension ref="A3:B41"/>
  <sheetViews>
    <sheetView topLeftCell="A3" workbookViewId="0">
      <selection activeCell="A41" sqref="A41"/>
    </sheetView>
  </sheetViews>
  <sheetFormatPr baseColWidth="8" defaultColWidth="11" defaultRowHeight="15"/>
  <cols>
    <col width="11" customWidth="1" style="88" min="1" max="16384"/>
  </cols>
  <sheetData>
    <row r="3" ht="22.5" customHeight="1">
      <c r="A3" s="97" t="inlineStr">
        <is>
          <t>RPSC et LIAISON</t>
        </is>
      </c>
      <c r="B3" s="97" t="inlineStr">
        <is>
          <t>LS2</t>
        </is>
      </c>
    </row>
    <row r="4" ht="22.5" customHeight="1">
      <c r="A4" s="97" t="inlineStr">
        <is>
          <t>RPSC et LIAISON</t>
        </is>
      </c>
      <c r="B4" s="97" t="inlineStr">
        <is>
          <t>TF_RPSC</t>
        </is>
      </c>
    </row>
    <row r="5" ht="22.5" customHeight="1">
      <c r="A5" s="97" t="inlineStr">
        <is>
          <t>RPSC et LIAISON</t>
        </is>
      </c>
      <c r="B5" s="97" t="inlineStr">
        <is>
          <t>B3</t>
        </is>
      </c>
    </row>
    <row r="6" ht="22.5" customHeight="1">
      <c r="A6" s="97" t="inlineStr">
        <is>
          <t>RPSC et LIAISON</t>
        </is>
      </c>
      <c r="B6" s="97" t="inlineStr">
        <is>
          <t>E1</t>
        </is>
      </c>
    </row>
    <row r="7" ht="22.5" customHeight="1">
      <c r="A7" s="97" t="inlineStr">
        <is>
          <t>RPSC et LIAISON</t>
        </is>
      </c>
      <c r="B7" s="97" t="inlineStr">
        <is>
          <t>E2</t>
        </is>
      </c>
    </row>
    <row r="8" ht="22.5" customHeight="1">
      <c r="A8" s="97" t="inlineStr">
        <is>
          <t>RPSC et LIAISON</t>
        </is>
      </c>
      <c r="B8" s="97" t="inlineStr">
        <is>
          <t>H4</t>
        </is>
      </c>
    </row>
    <row r="9" ht="22.5" customHeight="1">
      <c r="A9" s="97" t="inlineStr">
        <is>
          <t>RPSC et LIAISON</t>
        </is>
      </c>
      <c r="B9" s="97" t="inlineStr">
        <is>
          <t>H6</t>
        </is>
      </c>
    </row>
    <row r="10" ht="22.5" customHeight="1">
      <c r="A10" s="97" t="inlineStr">
        <is>
          <t>RPSC et LIAISON</t>
        </is>
      </c>
      <c r="B10" s="97" t="inlineStr">
        <is>
          <t>H7</t>
        </is>
      </c>
    </row>
    <row r="11" ht="22.5" customHeight="1">
      <c r="A11" s="97" t="inlineStr">
        <is>
          <t>RPSC et LIAISON</t>
        </is>
      </c>
      <c r="B11" s="97" t="inlineStr">
        <is>
          <t>H8</t>
        </is>
      </c>
    </row>
    <row r="12" ht="22.5" customHeight="1">
      <c r="A12" s="97" t="inlineStr">
        <is>
          <t>RPSC et LIAISON</t>
        </is>
      </c>
      <c r="B12" s="97" t="inlineStr">
        <is>
          <t>LIAISON</t>
        </is>
      </c>
    </row>
    <row r="13" ht="22.5" customHeight="1">
      <c r="A13" s="97" t="inlineStr">
        <is>
          <t>RPSC et LIAISON</t>
        </is>
      </c>
      <c r="B13" s="97" t="inlineStr">
        <is>
          <t>AUTRE</t>
        </is>
      </c>
    </row>
    <row r="14" ht="22.5" customHeight="1">
      <c r="A14" s="97" t="inlineStr">
        <is>
          <t>RPSC et LIAISON</t>
        </is>
      </c>
      <c r="B14" s="97" t="inlineStr">
        <is>
          <t>LS1</t>
        </is>
      </c>
    </row>
    <row r="15" ht="22.5" customHeight="1">
      <c r="A15" s="97" t="inlineStr">
        <is>
          <t>RPSC et LIAISON</t>
        </is>
      </c>
      <c r="B15" s="97" t="inlineStr">
        <is>
          <t>TREMIE CARREAU SC</t>
        </is>
      </c>
    </row>
    <row r="16" ht="22.5" customHeight="1">
      <c r="A16" s="97" t="inlineStr">
        <is>
          <t>RPSC et LIAISON</t>
        </is>
      </c>
      <c r="B16" s="97" t="inlineStr">
        <is>
          <t>LS3</t>
        </is>
      </c>
    </row>
    <row r="17" ht="22.5" customHeight="1">
      <c r="A17" s="97" t="inlineStr">
        <is>
          <t>RPSC et LIAISON</t>
        </is>
      </c>
      <c r="B17" s="97" t="inlineStr">
        <is>
          <t>LS4</t>
        </is>
      </c>
    </row>
    <row r="18" ht="22.5" customHeight="1">
      <c r="A18" s="97" t="inlineStr">
        <is>
          <t>RPSC et LIAISON</t>
        </is>
      </c>
      <c r="B18" s="97" t="inlineStr">
        <is>
          <t>LS5</t>
        </is>
      </c>
    </row>
    <row r="19" ht="22.5" customHeight="1">
      <c r="A19" s="97" t="inlineStr">
        <is>
          <t>RPSC et LIAISON</t>
        </is>
      </c>
      <c r="B19" s="97" t="inlineStr">
        <is>
          <t>LS5A</t>
        </is>
      </c>
    </row>
    <row r="20" ht="22.5" customHeight="1">
      <c r="A20" s="97" t="inlineStr">
        <is>
          <t>RPSC et LIAISON</t>
        </is>
      </c>
      <c r="B20" s="97" t="inlineStr">
        <is>
          <t>ROUE A GODETS</t>
        </is>
      </c>
    </row>
    <row r="21" ht="22.5" customHeight="1">
      <c r="A21" s="97" t="inlineStr">
        <is>
          <t>RPSC et LIAISON</t>
        </is>
      </c>
      <c r="B21" s="97" t="inlineStr">
        <is>
          <t>RPSC</t>
        </is>
      </c>
    </row>
    <row r="22" ht="22.5" customHeight="1">
      <c r="A22" s="97" t="inlineStr">
        <is>
          <t>RPSC et LIAISON</t>
        </is>
      </c>
      <c r="B22" s="97" t="inlineStr">
        <is>
          <t>ST4</t>
        </is>
      </c>
    </row>
    <row r="23" ht="22.5" customHeight="1">
      <c r="A23" s="97" t="inlineStr">
        <is>
          <t>RPSC et LIAISON</t>
        </is>
      </c>
      <c r="B23" s="97" t="inlineStr">
        <is>
          <t>ST6</t>
        </is>
      </c>
    </row>
    <row r="24" ht="22.5" customHeight="1">
      <c r="A24" s="97" t="inlineStr">
        <is>
          <t>RPSC et LIAISON</t>
        </is>
      </c>
      <c r="B24" s="97" t="inlineStr">
        <is>
          <t>LS0</t>
        </is>
      </c>
    </row>
    <row r="25" ht="22.5" customHeight="1">
      <c r="A25" s="97" t="inlineStr">
        <is>
          <t>RPSC et LIAISON</t>
        </is>
      </c>
      <c r="B25" s="98" t="inlineStr">
        <is>
          <t>NA</t>
        </is>
      </c>
    </row>
    <row r="26" ht="22.5" customHeight="1">
      <c r="A26" s="97" t="inlineStr">
        <is>
          <t>RPSC et LIAISON</t>
        </is>
      </c>
      <c r="B26" s="98" t="inlineStr">
        <is>
          <t>BYPASS</t>
        </is>
      </c>
    </row>
    <row r="27" ht="22.5" customHeight="1">
      <c r="A27" s="97" t="inlineStr">
        <is>
          <t>RPSC et LIAISON</t>
        </is>
      </c>
      <c r="B27" s="98" t="inlineStr">
        <is>
          <t>LH0</t>
        </is>
      </c>
    </row>
    <row r="28" ht="22.5" customHeight="1">
      <c r="A28" s="97" t="inlineStr">
        <is>
          <t>RPSC et LIAISON</t>
        </is>
      </c>
      <c r="B28" s="98" t="inlineStr">
        <is>
          <t>LH1</t>
        </is>
      </c>
    </row>
    <row r="29" ht="22.5" customHeight="1">
      <c r="A29" s="97" t="inlineStr">
        <is>
          <t>RPSC et LIAISON</t>
        </is>
      </c>
      <c r="B29" s="98" t="inlineStr">
        <is>
          <t>LH2</t>
        </is>
      </c>
    </row>
    <row r="30" ht="22.5" customHeight="1">
      <c r="A30" s="97" t="inlineStr">
        <is>
          <t>RPSC et LIAISON</t>
        </is>
      </c>
      <c r="B30" s="98" t="inlineStr">
        <is>
          <t>LH3</t>
        </is>
      </c>
    </row>
    <row r="31" ht="22.5" customHeight="1">
      <c r="A31" s="97" t="inlineStr">
        <is>
          <t>RPSC et LIAISON</t>
        </is>
      </c>
      <c r="B31" s="98" t="inlineStr">
        <is>
          <t>LH4</t>
        </is>
      </c>
    </row>
    <row r="32" ht="22.5" customHeight="1">
      <c r="A32" s="97" t="inlineStr">
        <is>
          <t>RPSC et LIAISON</t>
        </is>
      </c>
      <c r="B32" s="98" t="inlineStr">
        <is>
          <t>AUTRE</t>
        </is>
      </c>
    </row>
    <row r="33" ht="22.5" customHeight="1">
      <c r="A33" s="97" t="inlineStr">
        <is>
          <t>RPSC et LIAISON</t>
        </is>
      </c>
      <c r="B33" s="98" t="inlineStr">
        <is>
          <t>LIAISON BENI AMIR</t>
        </is>
      </c>
    </row>
    <row r="34" ht="22.5" customHeight="1">
      <c r="A34" s="97" t="inlineStr">
        <is>
          <t>RPSC et LIAISON</t>
        </is>
      </c>
      <c r="B34" s="98" t="inlineStr">
        <is>
          <t>TT05</t>
        </is>
      </c>
    </row>
    <row r="35" ht="22.5" customHeight="1">
      <c r="A35" s="97" t="inlineStr">
        <is>
          <t>RPSC et LIAISON</t>
        </is>
      </c>
      <c r="B35" s="98" t="inlineStr">
        <is>
          <t>S1</t>
        </is>
      </c>
    </row>
    <row r="36" ht="22.5" customHeight="1">
      <c r="A36" s="97" t="inlineStr">
        <is>
          <t>RPSC et LIAISON</t>
        </is>
      </c>
      <c r="B36" s="98" t="inlineStr">
        <is>
          <t>STLH</t>
        </is>
      </c>
    </row>
    <row r="37" ht="22.5" customHeight="1">
      <c r="A37" s="97" t="inlineStr">
        <is>
          <t>RPSC et LIAISON</t>
        </is>
      </c>
      <c r="B37" s="98" t="inlineStr">
        <is>
          <t>TT01</t>
        </is>
      </c>
    </row>
    <row r="38" ht="22.5" customHeight="1">
      <c r="A38" s="97" t="inlineStr">
        <is>
          <t>RPSC et LIAISON</t>
        </is>
      </c>
      <c r="B38" s="98" t="inlineStr">
        <is>
          <t>TT02</t>
        </is>
      </c>
    </row>
    <row r="39" ht="22.5" customHeight="1">
      <c r="A39" s="97" t="inlineStr">
        <is>
          <t>RPSC et LIAISON</t>
        </is>
      </c>
      <c r="B39" s="98" t="inlineStr">
        <is>
          <t>TT03</t>
        </is>
      </c>
    </row>
    <row r="40" ht="22.5" customHeight="1">
      <c r="A40" s="97" t="inlineStr">
        <is>
          <t>RPSC et LIAISON</t>
        </is>
      </c>
      <c r="B40" s="98" t="inlineStr">
        <is>
          <t>TT04</t>
        </is>
      </c>
    </row>
    <row r="41" ht="22.5" customHeight="1">
      <c r="A41" s="97" t="inlineStr">
        <is>
          <t>RPSC et LIAISON</t>
        </is>
      </c>
      <c r="B41" s="98" t="inlineStr">
        <is>
          <t>LH5</t>
        </is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>
  <sheetPr codeName="Feuil20">
    <outlinePr summaryBelow="1" summaryRight="1"/>
    <pageSetUpPr/>
  </sheetPr>
  <dimension ref="C2:C43"/>
  <sheetViews>
    <sheetView topLeftCell="A3" workbookViewId="0">
      <selection activeCell="C43" sqref="C43"/>
    </sheetView>
  </sheetViews>
  <sheetFormatPr baseColWidth="8" defaultColWidth="11" defaultRowHeight="15"/>
  <cols>
    <col width="11" customWidth="1" style="88" min="1" max="16384"/>
  </cols>
  <sheetData>
    <row r="2">
      <c r="C2" s="89" t="inlineStr">
        <is>
          <t>Organe en défaut</t>
        </is>
      </c>
    </row>
    <row r="3">
      <c r="C3" s="90" t="inlineStr">
        <is>
          <t>LS5</t>
        </is>
      </c>
    </row>
    <row r="4">
      <c r="C4" s="90" t="inlineStr">
        <is>
          <t>E3</t>
        </is>
      </c>
    </row>
    <row r="5">
      <c r="C5" s="90" t="inlineStr">
        <is>
          <t>E4</t>
        </is>
      </c>
    </row>
    <row r="6">
      <c r="C6" s="90" t="inlineStr">
        <is>
          <t>H4</t>
        </is>
      </c>
    </row>
    <row r="7">
      <c r="C7" s="90" t="inlineStr">
        <is>
          <t>H6</t>
        </is>
      </c>
    </row>
    <row r="8">
      <c r="C8" s="90" t="inlineStr">
        <is>
          <t>H7</t>
        </is>
      </c>
    </row>
    <row r="9">
      <c r="C9" s="90" t="inlineStr">
        <is>
          <t>H8</t>
        </is>
      </c>
    </row>
    <row r="10">
      <c r="C10" s="90" t="inlineStr">
        <is>
          <t>LIAISON</t>
        </is>
      </c>
    </row>
    <row r="11">
      <c r="C11" s="90" t="inlineStr">
        <is>
          <t>LS1</t>
        </is>
      </c>
    </row>
    <row r="12">
      <c r="C12" s="90" t="inlineStr">
        <is>
          <t>LS2</t>
        </is>
      </c>
    </row>
    <row r="13">
      <c r="C13" s="90" t="inlineStr">
        <is>
          <t>AUTRE</t>
        </is>
      </c>
    </row>
    <row r="14">
      <c r="C14" s="90" t="inlineStr">
        <is>
          <t>LS4</t>
        </is>
      </c>
    </row>
    <row r="15" ht="24" customHeight="1">
      <c r="C15" s="90" t="inlineStr">
        <is>
          <t>TREMIE CARREAU SC2</t>
        </is>
      </c>
    </row>
    <row r="16">
      <c r="C16" s="90" t="inlineStr">
        <is>
          <t>LS5A</t>
        </is>
      </c>
    </row>
    <row r="17">
      <c r="C17" s="90" t="inlineStr">
        <is>
          <t>LT0"TF_RPSC2"</t>
        </is>
      </c>
    </row>
    <row r="18">
      <c r="C18" s="90" t="inlineStr">
        <is>
          <t>LT1</t>
        </is>
      </c>
    </row>
    <row r="19">
      <c r="C19" s="90" t="inlineStr">
        <is>
          <t>LT2</t>
        </is>
      </c>
    </row>
    <row r="20">
      <c r="C20" s="90" t="inlineStr">
        <is>
          <t>LT3</t>
        </is>
      </c>
    </row>
    <row r="21">
      <c r="C21" s="90" t="inlineStr">
        <is>
          <t>LT4</t>
        </is>
      </c>
    </row>
    <row r="22" ht="24" customHeight="1">
      <c r="C22" s="90" t="inlineStr">
        <is>
          <t>ROUE A GODETS</t>
        </is>
      </c>
    </row>
    <row r="23">
      <c r="C23" s="90" t="inlineStr">
        <is>
          <t>RPSC2</t>
        </is>
      </c>
    </row>
    <row r="24">
      <c r="C24" s="90" t="inlineStr">
        <is>
          <t>ST4</t>
        </is>
      </c>
    </row>
    <row r="25">
      <c r="C25" s="90" t="inlineStr">
        <is>
          <t>ST6</t>
        </is>
      </c>
    </row>
    <row r="26">
      <c r="C26" s="90" t="inlineStr">
        <is>
          <t>LS3</t>
        </is>
      </c>
    </row>
    <row r="27">
      <c r="C27" s="98" t="inlineStr">
        <is>
          <t>NA</t>
        </is>
      </c>
    </row>
    <row r="28">
      <c r="C28" s="98" t="inlineStr">
        <is>
          <t>BYPASS</t>
        </is>
      </c>
    </row>
    <row r="29">
      <c r="C29" s="98" t="inlineStr">
        <is>
          <t>LH0</t>
        </is>
      </c>
    </row>
    <row r="30">
      <c r="C30" s="98" t="inlineStr">
        <is>
          <t>LH1</t>
        </is>
      </c>
    </row>
    <row r="31">
      <c r="C31" s="98" t="inlineStr">
        <is>
          <t>LH2</t>
        </is>
      </c>
    </row>
    <row r="32">
      <c r="C32" s="98" t="inlineStr">
        <is>
          <t>LH3</t>
        </is>
      </c>
    </row>
    <row r="33">
      <c r="C33" s="98" t="inlineStr">
        <is>
          <t>LH4</t>
        </is>
      </c>
    </row>
    <row r="34">
      <c r="C34" s="98" t="inlineStr">
        <is>
          <t>AUTRE</t>
        </is>
      </c>
    </row>
    <row r="35" ht="22.5" customHeight="1">
      <c r="C35" s="98" t="inlineStr">
        <is>
          <t>LIAISON BENI AMIR</t>
        </is>
      </c>
    </row>
    <row r="36">
      <c r="C36" s="98" t="inlineStr">
        <is>
          <t>TT05</t>
        </is>
      </c>
    </row>
    <row r="37">
      <c r="C37" s="98" t="inlineStr">
        <is>
          <t>S1</t>
        </is>
      </c>
    </row>
    <row r="38">
      <c r="C38" s="98" t="inlineStr">
        <is>
          <t>STLH</t>
        </is>
      </c>
    </row>
    <row r="39">
      <c r="C39" s="98" t="inlineStr">
        <is>
          <t>TT01</t>
        </is>
      </c>
    </row>
    <row r="40">
      <c r="C40" s="98" t="inlineStr">
        <is>
          <t>TT02</t>
        </is>
      </c>
    </row>
    <row r="41">
      <c r="C41" s="98" t="inlineStr">
        <is>
          <t>TT03</t>
        </is>
      </c>
    </row>
    <row r="42">
      <c r="C42" s="98" t="inlineStr">
        <is>
          <t>TT04</t>
        </is>
      </c>
    </row>
    <row r="43">
      <c r="C43" s="98" t="inlineStr">
        <is>
          <t>LH5</t>
        </is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21">
    <outlinePr summaryBelow="1" summaryRight="1"/>
    <pageSetUpPr/>
  </sheetPr>
  <dimension ref="C2:C73"/>
  <sheetViews>
    <sheetView topLeftCell="A38" workbookViewId="0">
      <selection activeCell="A1" sqref="A1:XFD1048576"/>
    </sheetView>
  </sheetViews>
  <sheetFormatPr baseColWidth="8" defaultColWidth="11" defaultRowHeight="15"/>
  <cols>
    <col width="11" customWidth="1" style="88" min="1" max="2"/>
    <col width="16.375" customWidth="1" style="88" min="3" max="3"/>
    <col width="11" customWidth="1" style="88" min="4" max="16384"/>
  </cols>
  <sheetData>
    <row r="2">
      <c r="C2" s="91" t="inlineStr">
        <is>
          <t>Organe en défaut</t>
        </is>
      </c>
    </row>
    <row r="3">
      <c r="C3" s="92" t="inlineStr">
        <is>
          <t>E3</t>
        </is>
      </c>
    </row>
    <row r="4">
      <c r="C4" s="92" t="inlineStr">
        <is>
          <t>CIRCUIT DE LA RP3</t>
        </is>
      </c>
    </row>
    <row r="5">
      <c r="C5" s="92" t="inlineStr">
        <is>
          <t>H3</t>
        </is>
      </c>
    </row>
    <row r="6">
      <c r="C6" s="92" t="inlineStr">
        <is>
          <t>H'3</t>
        </is>
      </c>
    </row>
    <row r="7">
      <c r="C7" s="92" t="inlineStr">
        <is>
          <t>H3A</t>
        </is>
      </c>
    </row>
    <row r="8">
      <c r="C8" s="92" t="inlineStr">
        <is>
          <t>ROUE A GODETS</t>
        </is>
      </c>
    </row>
    <row r="9">
      <c r="C9" s="92" t="inlineStr">
        <is>
          <t>RP3</t>
        </is>
      </c>
    </row>
    <row r="10">
      <c r="C10" s="92" t="inlineStr">
        <is>
          <t>TF RP3</t>
        </is>
      </c>
    </row>
    <row r="11">
      <c r="C11" s="92" t="inlineStr">
        <is>
          <t>TREMIE H3</t>
        </is>
      </c>
    </row>
    <row r="12">
      <c r="C12" s="92" t="inlineStr">
        <is>
          <t>AUTRE</t>
        </is>
      </c>
    </row>
    <row r="13">
      <c r="C13" s="92" t="inlineStr">
        <is>
          <t>T19D</t>
        </is>
      </c>
    </row>
    <row r="14">
      <c r="C14" s="92" t="inlineStr">
        <is>
          <t>H2</t>
        </is>
      </c>
    </row>
    <row r="15">
      <c r="C15" s="92" t="inlineStr">
        <is>
          <t>H1</t>
        </is>
      </c>
    </row>
    <row r="16">
      <c r="C16" s="92" t="inlineStr">
        <is>
          <t>FE</t>
        </is>
      </c>
    </row>
    <row r="17">
      <c r="C17" s="92" t="inlineStr">
        <is>
          <t>FE'</t>
        </is>
      </c>
    </row>
    <row r="18">
      <c r="C18" s="92" t="inlineStr">
        <is>
          <t>FE1</t>
        </is>
      </c>
    </row>
    <row r="19">
      <c r="C19" s="92" t="inlineStr">
        <is>
          <t>FE2</t>
        </is>
      </c>
    </row>
    <row r="20">
      <c r="C20" s="92" t="inlineStr">
        <is>
          <t>FE3</t>
        </is>
      </c>
    </row>
    <row r="21">
      <c r="C21" s="92" t="inlineStr">
        <is>
          <t>FE4</t>
        </is>
      </c>
    </row>
    <row r="22">
      <c r="C22" s="92" t="inlineStr">
        <is>
          <t>FE5</t>
        </is>
      </c>
    </row>
    <row r="23">
      <c r="C23" s="92" t="inlineStr">
        <is>
          <t>LS6</t>
        </is>
      </c>
    </row>
    <row r="24">
      <c r="C24" s="92" t="inlineStr">
        <is>
          <t>T19C</t>
        </is>
      </c>
    </row>
    <row r="25">
      <c r="C25" s="92" t="inlineStr">
        <is>
          <t>T18</t>
        </is>
      </c>
    </row>
    <row r="26">
      <c r="C26" s="92" t="inlineStr">
        <is>
          <t>T02</t>
        </is>
      </c>
    </row>
    <row r="27">
      <c r="C27" s="92" t="inlineStr">
        <is>
          <t>ST6</t>
        </is>
      </c>
    </row>
    <row r="28">
      <c r="C28" s="92" t="inlineStr">
        <is>
          <t>ST4</t>
        </is>
      </c>
    </row>
    <row r="29">
      <c r="C29" s="92" t="inlineStr">
        <is>
          <t>ST2</t>
        </is>
      </c>
    </row>
    <row r="30">
      <c r="C30" s="92" t="inlineStr">
        <is>
          <t>ST1</t>
        </is>
      </c>
    </row>
    <row r="31">
      <c r="C31" s="92" t="inlineStr">
        <is>
          <t>LS9</t>
        </is>
      </c>
    </row>
    <row r="32">
      <c r="C32" s="92" t="inlineStr">
        <is>
          <t>F'Q'</t>
        </is>
      </c>
    </row>
    <row r="33">
      <c r="C33" s="92" t="inlineStr">
        <is>
          <t>LS7</t>
        </is>
      </c>
    </row>
    <row r="34">
      <c r="C34" s="92" t="inlineStr">
        <is>
          <t>LS12</t>
        </is>
      </c>
    </row>
    <row r="35">
      <c r="C35" s="92" t="inlineStr">
        <is>
          <t>LS10</t>
        </is>
      </c>
    </row>
    <row r="36">
      <c r="C36" s="92" t="inlineStr">
        <is>
          <t>L10</t>
        </is>
      </c>
    </row>
    <row r="37">
      <c r="C37" s="92" t="inlineStr">
        <is>
          <t>H8</t>
        </is>
      </c>
    </row>
    <row r="38">
      <c r="C38" s="92" t="inlineStr">
        <is>
          <t>H7</t>
        </is>
      </c>
    </row>
    <row r="39">
      <c r="C39" s="92" t="inlineStr">
        <is>
          <t>H6</t>
        </is>
      </c>
    </row>
    <row r="40">
      <c r="C40" s="92" t="inlineStr">
        <is>
          <t>H4</t>
        </is>
      </c>
    </row>
    <row r="41">
      <c r="C41" s="92" t="inlineStr">
        <is>
          <t>LS8</t>
        </is>
      </c>
    </row>
    <row r="42">
      <c r="C42" s="92" t="inlineStr">
        <is>
          <t>PK</t>
        </is>
      </c>
    </row>
    <row r="43">
      <c r="C43" s="92" t="inlineStr">
        <is>
          <t>AUTRE</t>
        </is>
      </c>
    </row>
    <row r="44">
      <c r="C44" s="92" t="inlineStr">
        <is>
          <t>T2</t>
        </is>
      </c>
    </row>
    <row r="45">
      <c r="C45" s="92" t="inlineStr">
        <is>
          <t>LIAISON UBI</t>
        </is>
      </c>
    </row>
    <row r="46">
      <c r="C46" s="92" t="inlineStr">
        <is>
          <t>HN</t>
        </is>
      </c>
    </row>
    <row r="47">
      <c r="C47" s="92" t="inlineStr">
        <is>
          <t>T3</t>
        </is>
      </c>
    </row>
    <row r="48">
      <c r="C48" s="92" t="inlineStr">
        <is>
          <t>ST UBI</t>
        </is>
      </c>
    </row>
    <row r="49">
      <c r="C49" s="92" t="inlineStr">
        <is>
          <t>PM2</t>
        </is>
      </c>
    </row>
    <row r="50">
      <c r="C50" s="92" t="inlineStr">
        <is>
          <t>PL</t>
        </is>
      </c>
    </row>
    <row r="51">
      <c r="C51" s="92" t="inlineStr">
        <is>
          <t>PARC HUMIDE</t>
        </is>
      </c>
    </row>
    <row r="52">
      <c r="C52" s="92" t="inlineStr">
        <is>
          <t>HY</t>
        </is>
      </c>
    </row>
    <row r="53">
      <c r="C53" s="92" t="inlineStr">
        <is>
          <t>HR</t>
        </is>
      </c>
    </row>
    <row r="54">
      <c r="C54" s="92" t="inlineStr">
        <is>
          <t>HQ</t>
        </is>
      </c>
    </row>
    <row r="55">
      <c r="C55" s="92" t="inlineStr">
        <is>
          <t>T4</t>
        </is>
      </c>
    </row>
    <row r="56">
      <c r="C56" s="92" t="inlineStr">
        <is>
          <t>CH1</t>
        </is>
      </c>
    </row>
    <row r="57">
      <c r="C57" s="92" t="inlineStr">
        <is>
          <t>FR</t>
        </is>
      </c>
    </row>
    <row r="58">
      <c r="C58" s="92" t="inlineStr">
        <is>
          <t>D1</t>
        </is>
      </c>
    </row>
    <row r="59">
      <c r="C59" s="92" t="inlineStr">
        <is>
          <t>CH2</t>
        </is>
      </c>
    </row>
    <row r="60">
      <c r="C60" s="92" t="inlineStr">
        <is>
          <t>CH3</t>
        </is>
      </c>
    </row>
    <row r="61">
      <c r="C61" s="92" t="inlineStr">
        <is>
          <t>CH4</t>
        </is>
      </c>
    </row>
    <row r="62">
      <c r="C62" s="92" t="inlineStr">
        <is>
          <t>CH5</t>
        </is>
      </c>
    </row>
    <row r="63">
      <c r="C63" s="92" t="inlineStr">
        <is>
          <t>CH6</t>
        </is>
      </c>
    </row>
    <row r="64">
      <c r="C64" s="92" t="inlineStr">
        <is>
          <t>COMMUN</t>
        </is>
      </c>
    </row>
    <row r="65">
      <c r="C65" s="92" t="inlineStr">
        <is>
          <t>D2</t>
        </is>
      </c>
    </row>
    <row r="66">
      <c r="C66" s="92" t="inlineStr">
        <is>
          <t>D3</t>
        </is>
      </c>
    </row>
    <row r="67">
      <c r="C67" s="92" t="inlineStr">
        <is>
          <t>FL0</t>
        </is>
      </c>
    </row>
    <row r="68">
      <c r="C68" s="92" t="inlineStr">
        <is>
          <t>FL1</t>
        </is>
      </c>
    </row>
    <row r="69">
      <c r="C69" s="92" t="inlineStr">
        <is>
          <t>FL2</t>
        </is>
      </c>
    </row>
    <row r="70">
      <c r="C70" s="92" t="inlineStr">
        <is>
          <t>FL4</t>
        </is>
      </c>
    </row>
    <row r="71">
      <c r="C71" s="92" t="inlineStr">
        <is>
          <t>FS</t>
        </is>
      </c>
    </row>
    <row r="72">
      <c r="C72" s="92" t="inlineStr">
        <is>
          <t>LAVERIE</t>
        </is>
      </c>
    </row>
    <row r="73">
      <c r="C73" s="92" t="inlineStr">
        <is>
          <t>FL3</t>
        </is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22">
    <outlinePr summaryBelow="1" summaryRight="1"/>
    <pageSetUpPr/>
  </sheetPr>
  <dimension ref="C2:C74"/>
  <sheetViews>
    <sheetView topLeftCell="A30" workbookViewId="0">
      <selection activeCell="A1" sqref="A1:XFD1048576"/>
    </sheetView>
  </sheetViews>
  <sheetFormatPr baseColWidth="8" defaultColWidth="11" defaultRowHeight="15"/>
  <cols>
    <col width="11" customWidth="1" style="88" min="1" max="2"/>
    <col width="17.125" customWidth="1" style="88" min="3" max="3"/>
    <col width="11" customWidth="1" style="88" min="4" max="16384"/>
  </cols>
  <sheetData>
    <row r="2">
      <c r="C2" s="93" t="inlineStr">
        <is>
          <t>Organe en défaut</t>
        </is>
      </c>
    </row>
    <row r="3">
      <c r="C3" s="94" t="inlineStr">
        <is>
          <t>E5</t>
        </is>
      </c>
    </row>
    <row r="4">
      <c r="C4" s="94" t="inlineStr">
        <is>
          <t>CIRCUIT DE LA RP5</t>
        </is>
      </c>
    </row>
    <row r="5">
      <c r="C5" s="94" t="inlineStr">
        <is>
          <t>H5</t>
        </is>
      </c>
    </row>
    <row r="6">
      <c r="C6" s="94" t="inlineStr">
        <is>
          <t>H'5</t>
        </is>
      </c>
    </row>
    <row r="7">
      <c r="C7" s="94" t="inlineStr">
        <is>
          <t>H5A</t>
        </is>
      </c>
    </row>
    <row r="8">
      <c r="C8" s="94" t="inlineStr">
        <is>
          <t>ROUE A GODETS</t>
        </is>
      </c>
    </row>
    <row r="9">
      <c r="C9" s="94" t="inlineStr">
        <is>
          <t>RP5</t>
        </is>
      </c>
    </row>
    <row r="10">
      <c r="C10" s="94" t="inlineStr">
        <is>
          <t>TF RP5</t>
        </is>
      </c>
    </row>
    <row r="11">
      <c r="C11" s="94" t="inlineStr">
        <is>
          <t>TREMIE H5</t>
        </is>
      </c>
    </row>
    <row r="12">
      <c r="C12" s="94" t="inlineStr">
        <is>
          <t>AUTRE</t>
        </is>
      </c>
    </row>
    <row r="13">
      <c r="C13" s="94" t="inlineStr">
        <is>
          <t>T19D</t>
        </is>
      </c>
    </row>
    <row r="14">
      <c r="C14" s="94" t="inlineStr">
        <is>
          <t>H2</t>
        </is>
      </c>
    </row>
    <row r="15">
      <c r="C15" s="94" t="inlineStr">
        <is>
          <t>H1</t>
        </is>
      </c>
    </row>
    <row r="16">
      <c r="C16" s="94" t="inlineStr">
        <is>
          <t>FE</t>
        </is>
      </c>
    </row>
    <row r="17">
      <c r="C17" s="94" t="inlineStr">
        <is>
          <t>FE'</t>
        </is>
      </c>
    </row>
    <row r="18">
      <c r="C18" s="94" t="inlineStr">
        <is>
          <t>FE1</t>
        </is>
      </c>
    </row>
    <row r="19">
      <c r="C19" s="94" t="inlineStr">
        <is>
          <t>FE2</t>
        </is>
      </c>
    </row>
    <row r="20">
      <c r="C20" s="94" t="inlineStr">
        <is>
          <t>FE3</t>
        </is>
      </c>
    </row>
    <row r="21">
      <c r="C21" s="94" t="inlineStr">
        <is>
          <t>FE4</t>
        </is>
      </c>
    </row>
    <row r="22">
      <c r="C22" s="94" t="inlineStr">
        <is>
          <t>FE5</t>
        </is>
      </c>
    </row>
    <row r="23">
      <c r="C23" s="94" t="inlineStr">
        <is>
          <t>LS6</t>
        </is>
      </c>
    </row>
    <row r="24">
      <c r="C24" s="94" t="inlineStr">
        <is>
          <t>T19C</t>
        </is>
      </c>
    </row>
    <row r="25">
      <c r="C25" s="94" t="inlineStr">
        <is>
          <t>T18</t>
        </is>
      </c>
    </row>
    <row r="26">
      <c r="C26" s="94" t="inlineStr">
        <is>
          <t>T02</t>
        </is>
      </c>
    </row>
    <row r="27">
      <c r="C27" s="94" t="inlineStr">
        <is>
          <t>ST6</t>
        </is>
      </c>
    </row>
    <row r="28">
      <c r="C28" s="94" t="inlineStr">
        <is>
          <t>ST4</t>
        </is>
      </c>
    </row>
    <row r="29">
      <c r="C29" s="94" t="inlineStr">
        <is>
          <t>ST2</t>
        </is>
      </c>
    </row>
    <row r="30">
      <c r="C30" s="94" t="inlineStr">
        <is>
          <t>ST1</t>
        </is>
      </c>
    </row>
    <row r="31">
      <c r="C31" s="94" t="inlineStr">
        <is>
          <t>LS9</t>
        </is>
      </c>
    </row>
    <row r="32">
      <c r="C32" s="94" t="inlineStr">
        <is>
          <t>F'Q'</t>
        </is>
      </c>
    </row>
    <row r="33">
      <c r="C33" s="94" t="inlineStr">
        <is>
          <t>LS7</t>
        </is>
      </c>
    </row>
    <row r="34">
      <c r="C34" s="94" t="inlineStr">
        <is>
          <t>LS12</t>
        </is>
      </c>
    </row>
    <row r="35">
      <c r="C35" s="94" t="inlineStr">
        <is>
          <t>LS10</t>
        </is>
      </c>
    </row>
    <row r="36">
      <c r="C36" s="94" t="inlineStr">
        <is>
          <t>L10</t>
        </is>
      </c>
    </row>
    <row r="37">
      <c r="C37" s="94" t="inlineStr">
        <is>
          <t>H8</t>
        </is>
      </c>
    </row>
    <row r="38">
      <c r="C38" s="94" t="inlineStr">
        <is>
          <t>H7</t>
        </is>
      </c>
    </row>
    <row r="39">
      <c r="C39" s="94" t="inlineStr">
        <is>
          <t>H6</t>
        </is>
      </c>
    </row>
    <row r="40">
      <c r="C40" s="94" t="inlineStr">
        <is>
          <t>H4</t>
        </is>
      </c>
    </row>
    <row r="41">
      <c r="C41" s="94" t="inlineStr">
        <is>
          <t>LS8</t>
        </is>
      </c>
    </row>
    <row r="42">
      <c r="C42" s="94" t="inlineStr">
        <is>
          <t>PK</t>
        </is>
      </c>
    </row>
    <row r="43">
      <c r="C43" s="94" t="inlineStr">
        <is>
          <t>AUTRE</t>
        </is>
      </c>
    </row>
    <row r="44">
      <c r="C44" s="94" t="inlineStr">
        <is>
          <t>T2</t>
        </is>
      </c>
    </row>
    <row r="45">
      <c r="C45" s="94" t="inlineStr">
        <is>
          <t>LIAISON UBI</t>
        </is>
      </c>
    </row>
    <row r="46">
      <c r="C46" s="94" t="inlineStr">
        <is>
          <t>HN</t>
        </is>
      </c>
    </row>
    <row r="47">
      <c r="C47" s="94" t="inlineStr">
        <is>
          <t>T3</t>
        </is>
      </c>
    </row>
    <row r="48">
      <c r="C48" s="94" t="inlineStr">
        <is>
          <t>ST UBI</t>
        </is>
      </c>
    </row>
    <row r="49">
      <c r="C49" s="94" t="inlineStr">
        <is>
          <t>PM2</t>
        </is>
      </c>
    </row>
    <row r="50">
      <c r="C50" s="94" t="inlineStr">
        <is>
          <t>PL</t>
        </is>
      </c>
    </row>
    <row r="51">
      <c r="C51" s="94" t="inlineStr">
        <is>
          <t>PARC HUMIDE</t>
        </is>
      </c>
    </row>
    <row r="52">
      <c r="C52" s="94" t="inlineStr">
        <is>
          <t>HY</t>
        </is>
      </c>
    </row>
    <row r="53">
      <c r="C53" s="94" t="inlineStr">
        <is>
          <t>HR</t>
        </is>
      </c>
    </row>
    <row r="54">
      <c r="C54" s="94" t="inlineStr">
        <is>
          <t>HQ</t>
        </is>
      </c>
    </row>
    <row r="55">
      <c r="C55" s="94" t="inlineStr">
        <is>
          <t>T4</t>
        </is>
      </c>
    </row>
    <row r="56">
      <c r="C56" s="94" t="inlineStr">
        <is>
          <t>CH1</t>
        </is>
      </c>
    </row>
    <row r="57">
      <c r="C57" s="94" t="inlineStr">
        <is>
          <t>FR</t>
        </is>
      </c>
    </row>
    <row r="58">
      <c r="C58" s="94" t="inlineStr">
        <is>
          <t>D1</t>
        </is>
      </c>
    </row>
    <row r="59">
      <c r="C59" s="94" t="inlineStr">
        <is>
          <t>CH2</t>
        </is>
      </c>
    </row>
    <row r="60">
      <c r="C60" s="94" t="inlineStr">
        <is>
          <t>CH3</t>
        </is>
      </c>
    </row>
    <row r="61">
      <c r="C61" s="94" t="inlineStr">
        <is>
          <t>CH4</t>
        </is>
      </c>
    </row>
    <row r="62">
      <c r="C62" s="94" t="inlineStr">
        <is>
          <t>CH5</t>
        </is>
      </c>
    </row>
    <row r="63">
      <c r="C63" s="94" t="inlineStr">
        <is>
          <t>CH6</t>
        </is>
      </c>
    </row>
    <row r="64">
      <c r="C64" s="94" t="inlineStr">
        <is>
          <t>COMMUN</t>
        </is>
      </c>
    </row>
    <row r="65">
      <c r="C65" s="94" t="inlineStr">
        <is>
          <t>D2</t>
        </is>
      </c>
    </row>
    <row r="66">
      <c r="C66" s="94" t="inlineStr">
        <is>
          <t>D3</t>
        </is>
      </c>
    </row>
    <row r="67">
      <c r="C67" s="94" t="inlineStr">
        <is>
          <t>FL0</t>
        </is>
      </c>
    </row>
    <row r="68">
      <c r="C68" s="94" t="inlineStr">
        <is>
          <t>FL1</t>
        </is>
      </c>
    </row>
    <row r="69">
      <c r="C69" s="94" t="inlineStr">
        <is>
          <t>FL2</t>
        </is>
      </c>
    </row>
    <row r="70">
      <c r="C70" s="94" t="inlineStr">
        <is>
          <t>FL4</t>
        </is>
      </c>
    </row>
    <row r="71">
      <c r="C71" s="94" t="inlineStr">
        <is>
          <t>FS</t>
        </is>
      </c>
    </row>
    <row r="72">
      <c r="C72" s="94" t="inlineStr">
        <is>
          <t>LAVERIE</t>
        </is>
      </c>
    </row>
    <row r="73">
      <c r="C73" s="94" t="inlineStr">
        <is>
          <t>AUTRE</t>
        </is>
      </c>
    </row>
    <row r="74">
      <c r="C74" s="94" t="inlineStr">
        <is>
          <t>FL3</t>
        </is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23">
    <outlinePr summaryBelow="1" summaryRight="1"/>
    <pageSetUpPr/>
  </sheetPr>
  <dimension ref="C2:C108"/>
  <sheetViews>
    <sheetView topLeftCell="A73" workbookViewId="0">
      <selection activeCell="C13" sqref="C13"/>
    </sheetView>
  </sheetViews>
  <sheetFormatPr baseColWidth="8" defaultColWidth="11" defaultRowHeight="15"/>
  <cols>
    <col width="11" customWidth="1" style="88" min="1" max="2"/>
    <col width="28.875" customWidth="1" style="88" min="3" max="3"/>
    <col width="11" customWidth="1" style="88" min="4" max="16384"/>
  </cols>
  <sheetData>
    <row r="2">
      <c r="C2" s="95" t="inlineStr">
        <is>
          <t>Organe en défaut</t>
        </is>
      </c>
    </row>
    <row r="3">
      <c r="C3" s="96" t="inlineStr">
        <is>
          <t>T8</t>
        </is>
      </c>
    </row>
    <row r="4">
      <c r="C4" s="96" t="inlineStr">
        <is>
          <t>AUTRE</t>
        </is>
      </c>
    </row>
    <row r="5">
      <c r="C5" s="96" t="inlineStr">
        <is>
          <t>C0</t>
        </is>
      </c>
    </row>
    <row r="6">
      <c r="C6" s="96" t="inlineStr">
        <is>
          <t>C'0</t>
        </is>
      </c>
    </row>
    <row r="7">
      <c r="C7" s="96" t="inlineStr">
        <is>
          <t>C1</t>
        </is>
      </c>
    </row>
    <row r="8">
      <c r="C8" s="96" t="inlineStr">
        <is>
          <t>CRIBLAGE</t>
        </is>
      </c>
    </row>
    <row r="9">
      <c r="C9" s="96" t="inlineStr">
        <is>
          <t>LIAISON</t>
        </is>
      </c>
    </row>
    <row r="10">
      <c r="C10" s="96" t="inlineStr">
        <is>
          <t>ROUE A GODETS</t>
        </is>
      </c>
    </row>
    <row r="11">
      <c r="C11" s="96" t="inlineStr">
        <is>
          <t>RPTS</t>
        </is>
      </c>
    </row>
    <row r="12">
      <c r="C12" s="96" t="inlineStr">
        <is>
          <t>T1</t>
        </is>
      </c>
    </row>
    <row r="13">
      <c r="C13" s="96" t="inlineStr">
        <is>
          <t>T7</t>
        </is>
      </c>
    </row>
    <row r="14">
      <c r="C14" s="96" t="inlineStr">
        <is>
          <t>TF RPTS</t>
        </is>
      </c>
    </row>
    <row r="15">
      <c r="C15" s="96" t="inlineStr">
        <is>
          <t>TREMIE CRIBLAGE"T7-T8"</t>
        </is>
      </c>
    </row>
    <row r="16">
      <c r="C16" s="96" t="inlineStr">
        <is>
          <t>T6</t>
        </is>
      </c>
    </row>
    <row r="17">
      <c r="C17" s="96" t="inlineStr">
        <is>
          <t>UNITE A</t>
        </is>
      </c>
    </row>
    <row r="18">
      <c r="C18" s="96" t="inlineStr">
        <is>
          <t>UNITE G</t>
        </is>
      </c>
    </row>
    <row r="19">
      <c r="C19" s="96" t="inlineStr">
        <is>
          <t>UNITE F</t>
        </is>
      </c>
    </row>
    <row r="20">
      <c r="C20" s="96" t="inlineStr">
        <is>
          <t>UNITE E</t>
        </is>
      </c>
    </row>
    <row r="21">
      <c r="C21" s="96" t="inlineStr">
        <is>
          <t>UNITE D</t>
        </is>
      </c>
    </row>
    <row r="22">
      <c r="C22" s="96" t="inlineStr">
        <is>
          <t>UNITE B</t>
        </is>
      </c>
    </row>
    <row r="23">
      <c r="C23" s="96" t="inlineStr">
        <is>
          <t>T9A</t>
        </is>
      </c>
    </row>
    <row r="24">
      <c r="C24" s="96" t="inlineStr">
        <is>
          <t>T9G</t>
        </is>
      </c>
    </row>
    <row r="25">
      <c r="C25" s="96" t="inlineStr">
        <is>
          <t>T9F</t>
        </is>
      </c>
    </row>
    <row r="26">
      <c r="C26" s="96" t="inlineStr">
        <is>
          <t>T9E</t>
        </is>
      </c>
    </row>
    <row r="27">
      <c r="C27" s="96" t="inlineStr">
        <is>
          <t>T9D</t>
        </is>
      </c>
    </row>
    <row r="28">
      <c r="C28" s="96" t="inlineStr">
        <is>
          <t>T9C</t>
        </is>
      </c>
    </row>
    <row r="29">
      <c r="C29" s="96" t="inlineStr">
        <is>
          <t>T9B</t>
        </is>
      </c>
    </row>
    <row r="30">
      <c r="C30" s="96" t="inlineStr">
        <is>
          <t>T10A</t>
        </is>
      </c>
    </row>
    <row r="31">
      <c r="C31" s="96" t="inlineStr">
        <is>
          <t>UNITE C</t>
        </is>
      </c>
    </row>
    <row r="32">
      <c r="C32" s="96" t="inlineStr">
        <is>
          <t>T10G</t>
        </is>
      </c>
    </row>
    <row r="33">
      <c r="C33" s="96" t="inlineStr">
        <is>
          <t>C9A</t>
        </is>
      </c>
    </row>
    <row r="34">
      <c r="C34" s="96" t="inlineStr">
        <is>
          <t>T10F</t>
        </is>
      </c>
    </row>
    <row r="35">
      <c r="C35" s="96" t="inlineStr">
        <is>
          <t>T10E</t>
        </is>
      </c>
    </row>
    <row r="36">
      <c r="C36" s="96" t="inlineStr">
        <is>
          <t>T10D</t>
        </is>
      </c>
    </row>
    <row r="37">
      <c r="C37" s="96" t="inlineStr">
        <is>
          <t>T10B</t>
        </is>
      </c>
    </row>
    <row r="38">
      <c r="C38" s="96" t="inlineStr">
        <is>
          <t>C9G</t>
        </is>
      </c>
    </row>
    <row r="39">
      <c r="C39" s="96" t="inlineStr">
        <is>
          <t>C9F</t>
        </is>
      </c>
    </row>
    <row r="40">
      <c r="C40" s="96" t="inlineStr">
        <is>
          <t>C9E</t>
        </is>
      </c>
    </row>
    <row r="41">
      <c r="C41" s="96" t="inlineStr">
        <is>
          <t>C9D</t>
        </is>
      </c>
    </row>
    <row r="42">
      <c r="C42" s="96" t="inlineStr">
        <is>
          <t>C9C</t>
        </is>
      </c>
    </row>
    <row r="43">
      <c r="C43" s="96" t="inlineStr">
        <is>
          <t>C9B</t>
        </is>
      </c>
    </row>
    <row r="44">
      <c r="C44" s="96" t="inlineStr">
        <is>
          <t>T10C</t>
        </is>
      </c>
    </row>
    <row r="45">
      <c r="C45" s="96" t="inlineStr">
        <is>
          <t>FT</t>
        </is>
      </c>
    </row>
    <row r="46">
      <c r="C46" s="96" t="inlineStr">
        <is>
          <t>T23</t>
        </is>
      </c>
    </row>
    <row r="47">
      <c r="C47" s="96" t="inlineStr">
        <is>
          <t>T26</t>
        </is>
      </c>
    </row>
    <row r="48">
      <c r="C48" s="96" t="inlineStr">
        <is>
          <t>T25</t>
        </is>
      </c>
    </row>
    <row r="49">
      <c r="C49" s="96" t="inlineStr">
        <is>
          <t>T27+JOY_T27</t>
        </is>
      </c>
    </row>
    <row r="50">
      <c r="C50" s="96" t="inlineStr">
        <is>
          <t>T22+JOY_T22</t>
        </is>
      </c>
    </row>
    <row r="51">
      <c r="C51" s="96" t="inlineStr">
        <is>
          <t>T20_T21</t>
        </is>
      </c>
    </row>
    <row r="52">
      <c r="C52" s="96" t="inlineStr">
        <is>
          <t>T16</t>
        </is>
      </c>
    </row>
    <row r="53">
      <c r="C53" s="96" t="inlineStr">
        <is>
          <t>AUTRE</t>
        </is>
      </c>
    </row>
    <row r="54">
      <c r="C54" s="96" t="inlineStr">
        <is>
          <t>T17+JOY_T17</t>
        </is>
      </c>
    </row>
    <row r="55">
      <c r="C55" s="96" t="inlineStr">
        <is>
          <t>H1</t>
        </is>
      </c>
    </row>
    <row r="56">
      <c r="C56" s="96" t="inlineStr">
        <is>
          <t>ST1</t>
        </is>
      </c>
    </row>
    <row r="57">
      <c r="C57" s="96" t="inlineStr">
        <is>
          <t>FE</t>
        </is>
      </c>
    </row>
    <row r="58">
      <c r="C58" s="96" t="inlineStr">
        <is>
          <t>FE'</t>
        </is>
      </c>
    </row>
    <row r="59">
      <c r="C59" s="96" t="inlineStr">
        <is>
          <t>FE1</t>
        </is>
      </c>
    </row>
    <row r="60">
      <c r="C60" s="96" t="inlineStr">
        <is>
          <t>FE2</t>
        </is>
      </c>
    </row>
    <row r="61">
      <c r="C61" s="96" t="inlineStr">
        <is>
          <t>FE3</t>
        </is>
      </c>
    </row>
    <row r="62">
      <c r="C62" s="96" t="inlineStr">
        <is>
          <t>FE4</t>
        </is>
      </c>
    </row>
    <row r="63">
      <c r="C63" s="96" t="inlineStr">
        <is>
          <t>FE5</t>
        </is>
      </c>
    </row>
    <row r="64">
      <c r="C64" s="96" t="inlineStr">
        <is>
          <t>F'Q'</t>
        </is>
      </c>
    </row>
    <row r="65">
      <c r="C65" s="96" t="inlineStr">
        <is>
          <t>ST4</t>
        </is>
      </c>
    </row>
    <row r="66">
      <c r="C66" s="96" t="inlineStr">
        <is>
          <t>LS8</t>
        </is>
      </c>
    </row>
    <row r="67">
      <c r="C67" s="96" t="inlineStr">
        <is>
          <t>H2</t>
        </is>
      </c>
    </row>
    <row r="68">
      <c r="C68" s="96" t="inlineStr">
        <is>
          <t>T19C</t>
        </is>
      </c>
    </row>
    <row r="69">
      <c r="C69" s="96" t="inlineStr">
        <is>
          <t>T18</t>
        </is>
      </c>
    </row>
    <row r="70">
      <c r="C70" s="96" t="inlineStr">
        <is>
          <t>ST6</t>
        </is>
      </c>
    </row>
    <row r="71">
      <c r="C71" s="96" t="inlineStr">
        <is>
          <t>T19D</t>
        </is>
      </c>
    </row>
    <row r="72">
      <c r="C72" s="96" t="inlineStr">
        <is>
          <t>ST2</t>
        </is>
      </c>
    </row>
    <row r="73">
      <c r="C73" s="96" t="inlineStr">
        <is>
          <t>LS9</t>
        </is>
      </c>
    </row>
    <row r="74">
      <c r="C74" s="96" t="inlineStr">
        <is>
          <t>H7</t>
        </is>
      </c>
    </row>
    <row r="75">
      <c r="C75" s="96" t="inlineStr">
        <is>
          <t>H4</t>
        </is>
      </c>
    </row>
    <row r="76">
      <c r="C76" s="96" t="inlineStr">
        <is>
          <t>T02</t>
        </is>
      </c>
    </row>
    <row r="77">
      <c r="C77" s="96" t="inlineStr">
        <is>
          <t>H6</t>
        </is>
      </c>
    </row>
    <row r="78">
      <c r="C78" s="96" t="inlineStr">
        <is>
          <t>LS7</t>
        </is>
      </c>
    </row>
    <row r="79">
      <c r="C79" s="96" t="inlineStr">
        <is>
          <t>H8</t>
        </is>
      </c>
    </row>
    <row r="80">
      <c r="C80" s="96" t="inlineStr">
        <is>
          <t>L10</t>
        </is>
      </c>
    </row>
    <row r="81">
      <c r="C81" s="96" t="inlineStr">
        <is>
          <t>LS10</t>
        </is>
      </c>
    </row>
    <row r="82">
      <c r="C82" s="96" t="inlineStr">
        <is>
          <t>LS12</t>
        </is>
      </c>
    </row>
    <row r="83">
      <c r="C83" s="96" t="inlineStr">
        <is>
          <t>LS6</t>
        </is>
      </c>
    </row>
    <row r="84">
      <c r="C84" s="96" t="inlineStr">
        <is>
          <t>D2</t>
        </is>
      </c>
    </row>
    <row r="85">
      <c r="C85" s="96" t="inlineStr">
        <is>
          <t>CH1</t>
        </is>
      </c>
    </row>
    <row r="86">
      <c r="C86" s="96" t="inlineStr">
        <is>
          <t>CH3</t>
        </is>
      </c>
    </row>
    <row r="87">
      <c r="C87" s="96" t="inlineStr">
        <is>
          <t>CH4</t>
        </is>
      </c>
    </row>
    <row r="88">
      <c r="C88" s="96" t="inlineStr">
        <is>
          <t>CH5</t>
        </is>
      </c>
    </row>
    <row r="89">
      <c r="C89" s="96" t="inlineStr">
        <is>
          <t>CH6</t>
        </is>
      </c>
    </row>
    <row r="90">
      <c r="C90" s="96" t="inlineStr">
        <is>
          <t>COMMUN</t>
        </is>
      </c>
    </row>
    <row r="91">
      <c r="C91" s="96" t="inlineStr">
        <is>
          <t>D1</t>
        </is>
      </c>
    </row>
    <row r="92">
      <c r="C92" s="96" t="inlineStr">
        <is>
          <t>CH2</t>
        </is>
      </c>
    </row>
    <row r="93">
      <c r="C93" s="96" t="inlineStr">
        <is>
          <t>D3</t>
        </is>
      </c>
    </row>
    <row r="94">
      <c r="C94" s="96" t="inlineStr">
        <is>
          <t>FL0</t>
        </is>
      </c>
    </row>
    <row r="95">
      <c r="C95" s="96" t="inlineStr">
        <is>
          <t>FL1</t>
        </is>
      </c>
    </row>
    <row r="96">
      <c r="C96" s="96" t="inlineStr">
        <is>
          <t>FL2</t>
        </is>
      </c>
    </row>
    <row r="97">
      <c r="C97" s="96" t="inlineStr">
        <is>
          <t>FL3</t>
        </is>
      </c>
    </row>
    <row r="98">
      <c r="C98" s="96" t="inlineStr">
        <is>
          <t>FL4</t>
        </is>
      </c>
    </row>
    <row r="99">
      <c r="C99" s="96" t="inlineStr">
        <is>
          <t>FR</t>
        </is>
      </c>
    </row>
    <row r="100">
      <c r="C100" s="96" t="inlineStr">
        <is>
          <t>LAVERIE</t>
        </is>
      </c>
    </row>
    <row r="101">
      <c r="C101" s="96" t="inlineStr">
        <is>
          <t>FS</t>
        </is>
      </c>
    </row>
    <row r="102">
      <c r="C102" s="96" t="inlineStr">
        <is>
          <t>T14</t>
        </is>
      </c>
    </row>
    <row r="103">
      <c r="C103" s="96" t="inlineStr">
        <is>
          <t>T13</t>
        </is>
      </c>
    </row>
    <row r="104">
      <c r="C104" s="96" t="inlineStr">
        <is>
          <t>T12</t>
        </is>
      </c>
    </row>
    <row r="105">
      <c r="C105" s="96" t="inlineStr">
        <is>
          <t>T11</t>
        </is>
      </c>
    </row>
    <row r="106">
      <c r="C106" s="96" t="inlineStr">
        <is>
          <t>CRIBLAGE</t>
        </is>
      </c>
    </row>
    <row r="107">
      <c r="C107" s="96" t="inlineStr">
        <is>
          <t>CIRCUIT DE STERILE</t>
        </is>
      </c>
    </row>
    <row r="108">
      <c r="C108" s="96" t="inlineStr">
        <is>
          <t>AUTRE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 codeName="Feuil24">
    <outlinePr summaryBelow="1" summaryRight="1"/>
    <pageSetUpPr/>
  </sheetPr>
  <dimension ref="C2:C108"/>
  <sheetViews>
    <sheetView topLeftCell="A72" workbookViewId="0">
      <selection activeCell="A1" sqref="A1:XFD1048576"/>
    </sheetView>
  </sheetViews>
  <sheetFormatPr baseColWidth="8" defaultColWidth="11" defaultRowHeight="15"/>
  <cols>
    <col width="11" customWidth="1" style="88" min="1" max="2"/>
    <col width="28.875" customWidth="1" style="88" min="3" max="3"/>
    <col width="11" customWidth="1" style="88" min="4" max="16384"/>
  </cols>
  <sheetData>
    <row r="2">
      <c r="C2" s="95" t="inlineStr">
        <is>
          <t>Organe en défaut</t>
        </is>
      </c>
    </row>
    <row r="3">
      <c r="C3" s="96" t="inlineStr">
        <is>
          <t>T8</t>
        </is>
      </c>
    </row>
    <row r="4">
      <c r="C4" s="96" t="inlineStr">
        <is>
          <t>AUTRE</t>
        </is>
      </c>
    </row>
    <row r="5">
      <c r="C5" s="96" t="inlineStr">
        <is>
          <t>C0</t>
        </is>
      </c>
    </row>
    <row r="6">
      <c r="C6" s="96" t="inlineStr">
        <is>
          <t>C'0</t>
        </is>
      </c>
    </row>
    <row r="7">
      <c r="C7" s="96" t="inlineStr">
        <is>
          <t>C1</t>
        </is>
      </c>
    </row>
    <row r="8">
      <c r="C8" s="96" t="inlineStr">
        <is>
          <t>CRIBLAGE</t>
        </is>
      </c>
    </row>
    <row r="9">
      <c r="C9" s="96" t="inlineStr">
        <is>
          <t>LIAISON</t>
        </is>
      </c>
    </row>
    <row r="10">
      <c r="C10" s="96" t="inlineStr">
        <is>
          <t>ROUE A GODETS</t>
        </is>
      </c>
    </row>
    <row r="11">
      <c r="C11" s="96" t="inlineStr">
        <is>
          <t>RPTS</t>
        </is>
      </c>
    </row>
    <row r="12">
      <c r="C12" s="96" t="inlineStr">
        <is>
          <t>T1</t>
        </is>
      </c>
    </row>
    <row r="13">
      <c r="C13" s="96" t="inlineStr">
        <is>
          <t>T7</t>
        </is>
      </c>
    </row>
    <row r="14">
      <c r="C14" s="96" t="inlineStr">
        <is>
          <t>TF RPTS</t>
        </is>
      </c>
    </row>
    <row r="15">
      <c r="C15" s="96" t="inlineStr">
        <is>
          <t>TREMIE CRIBLAGE"T7-T8"</t>
        </is>
      </c>
    </row>
    <row r="16">
      <c r="C16" s="96" t="inlineStr">
        <is>
          <t>T6</t>
        </is>
      </c>
    </row>
    <row r="17">
      <c r="C17" s="96" t="inlineStr">
        <is>
          <t>UNITE A</t>
        </is>
      </c>
    </row>
    <row r="18">
      <c r="C18" s="96" t="inlineStr">
        <is>
          <t>UNITE G</t>
        </is>
      </c>
    </row>
    <row r="19">
      <c r="C19" s="96" t="inlineStr">
        <is>
          <t>UNITE F</t>
        </is>
      </c>
    </row>
    <row r="20">
      <c r="C20" s="96" t="inlineStr">
        <is>
          <t>UNITE E</t>
        </is>
      </c>
    </row>
    <row r="21">
      <c r="C21" s="96" t="inlineStr">
        <is>
          <t>UNITE D</t>
        </is>
      </c>
    </row>
    <row r="22">
      <c r="C22" s="96" t="inlineStr">
        <is>
          <t>UNITE B</t>
        </is>
      </c>
    </row>
    <row r="23">
      <c r="C23" s="96" t="inlineStr">
        <is>
          <t>T9A</t>
        </is>
      </c>
    </row>
    <row r="24">
      <c r="C24" s="96" t="inlineStr">
        <is>
          <t>T9G</t>
        </is>
      </c>
    </row>
    <row r="25">
      <c r="C25" s="96" t="inlineStr">
        <is>
          <t>T9F</t>
        </is>
      </c>
    </row>
    <row r="26">
      <c r="C26" s="96" t="inlineStr">
        <is>
          <t>T9E</t>
        </is>
      </c>
    </row>
    <row r="27">
      <c r="C27" s="96" t="inlineStr">
        <is>
          <t>T9D</t>
        </is>
      </c>
    </row>
    <row r="28">
      <c r="C28" s="96" t="inlineStr">
        <is>
          <t>T9C</t>
        </is>
      </c>
    </row>
    <row r="29">
      <c r="C29" s="96" t="inlineStr">
        <is>
          <t>T9B</t>
        </is>
      </c>
    </row>
    <row r="30">
      <c r="C30" s="96" t="inlineStr">
        <is>
          <t>T10A</t>
        </is>
      </c>
    </row>
    <row r="31">
      <c r="C31" s="96" t="inlineStr">
        <is>
          <t>UNITE C</t>
        </is>
      </c>
    </row>
    <row r="32">
      <c r="C32" s="96" t="inlineStr">
        <is>
          <t>T10G</t>
        </is>
      </c>
    </row>
    <row r="33">
      <c r="C33" s="96" t="inlineStr">
        <is>
          <t>C9A</t>
        </is>
      </c>
    </row>
    <row r="34">
      <c r="C34" s="96" t="inlineStr">
        <is>
          <t>T10F</t>
        </is>
      </c>
    </row>
    <row r="35">
      <c r="C35" s="96" t="inlineStr">
        <is>
          <t>T10E</t>
        </is>
      </c>
    </row>
    <row r="36">
      <c r="C36" s="96" t="inlineStr">
        <is>
          <t>T10D</t>
        </is>
      </c>
    </row>
    <row r="37">
      <c r="C37" s="96" t="inlineStr">
        <is>
          <t>T10B</t>
        </is>
      </c>
    </row>
    <row r="38">
      <c r="C38" s="96" t="inlineStr">
        <is>
          <t>C9G</t>
        </is>
      </c>
    </row>
    <row r="39">
      <c r="C39" s="96" t="inlineStr">
        <is>
          <t>C9F</t>
        </is>
      </c>
    </row>
    <row r="40">
      <c r="C40" s="96" t="inlineStr">
        <is>
          <t>C9E</t>
        </is>
      </c>
    </row>
    <row r="41">
      <c r="C41" s="96" t="inlineStr">
        <is>
          <t>C9D</t>
        </is>
      </c>
    </row>
    <row r="42">
      <c r="C42" s="96" t="inlineStr">
        <is>
          <t>C9C</t>
        </is>
      </c>
    </row>
    <row r="43">
      <c r="C43" s="96" t="inlineStr">
        <is>
          <t>C9B</t>
        </is>
      </c>
    </row>
    <row r="44">
      <c r="C44" s="96" t="inlineStr">
        <is>
          <t>T10C</t>
        </is>
      </c>
    </row>
    <row r="45">
      <c r="C45" s="96" t="inlineStr">
        <is>
          <t>FT</t>
        </is>
      </c>
    </row>
    <row r="46">
      <c r="C46" s="96" t="inlineStr">
        <is>
          <t>T23</t>
        </is>
      </c>
    </row>
    <row r="47">
      <c r="C47" s="96" t="inlineStr">
        <is>
          <t>T26</t>
        </is>
      </c>
    </row>
    <row r="48">
      <c r="C48" s="96" t="inlineStr">
        <is>
          <t>T25</t>
        </is>
      </c>
    </row>
    <row r="49">
      <c r="C49" s="96" t="inlineStr">
        <is>
          <t>T27+JOY_T27</t>
        </is>
      </c>
    </row>
    <row r="50">
      <c r="C50" s="96" t="inlineStr">
        <is>
          <t>T22+JOY_T22</t>
        </is>
      </c>
    </row>
    <row r="51">
      <c r="C51" s="96" t="inlineStr">
        <is>
          <t>T20_T21</t>
        </is>
      </c>
    </row>
    <row r="52">
      <c r="C52" s="96" t="inlineStr">
        <is>
          <t>T16</t>
        </is>
      </c>
    </row>
    <row r="53">
      <c r="C53" s="96" t="inlineStr">
        <is>
          <t>AUTRE</t>
        </is>
      </c>
    </row>
    <row r="54">
      <c r="C54" s="96" t="inlineStr">
        <is>
          <t>T17+JOY_T17</t>
        </is>
      </c>
    </row>
    <row r="55">
      <c r="C55" s="96" t="inlineStr">
        <is>
          <t>H1</t>
        </is>
      </c>
    </row>
    <row r="56">
      <c r="C56" s="96" t="inlineStr">
        <is>
          <t>ST1</t>
        </is>
      </c>
    </row>
    <row r="57">
      <c r="C57" s="96" t="inlineStr">
        <is>
          <t>FE</t>
        </is>
      </c>
    </row>
    <row r="58">
      <c r="C58" s="96" t="inlineStr">
        <is>
          <t>FE'</t>
        </is>
      </c>
    </row>
    <row r="59">
      <c r="C59" s="96" t="inlineStr">
        <is>
          <t>FE1</t>
        </is>
      </c>
    </row>
    <row r="60">
      <c r="C60" s="96" t="inlineStr">
        <is>
          <t>FE2</t>
        </is>
      </c>
    </row>
    <row r="61">
      <c r="C61" s="96" t="inlineStr">
        <is>
          <t>FE3</t>
        </is>
      </c>
    </row>
    <row r="62">
      <c r="C62" s="96" t="inlineStr">
        <is>
          <t>FE4</t>
        </is>
      </c>
    </row>
    <row r="63">
      <c r="C63" s="96" t="inlineStr">
        <is>
          <t>FE5</t>
        </is>
      </c>
    </row>
    <row r="64">
      <c r="C64" s="96" t="inlineStr">
        <is>
          <t>F'Q'</t>
        </is>
      </c>
    </row>
    <row r="65">
      <c r="C65" s="96" t="inlineStr">
        <is>
          <t>ST4</t>
        </is>
      </c>
    </row>
    <row r="66">
      <c r="C66" s="96" t="inlineStr">
        <is>
          <t>LS8</t>
        </is>
      </c>
    </row>
    <row r="67">
      <c r="C67" s="96" t="inlineStr">
        <is>
          <t>H2</t>
        </is>
      </c>
    </row>
    <row r="68">
      <c r="C68" s="96" t="inlineStr">
        <is>
          <t>T19C</t>
        </is>
      </c>
    </row>
    <row r="69">
      <c r="C69" s="96" t="inlineStr">
        <is>
          <t>T18</t>
        </is>
      </c>
    </row>
    <row r="70">
      <c r="C70" s="96" t="inlineStr">
        <is>
          <t>ST6</t>
        </is>
      </c>
    </row>
    <row r="71">
      <c r="C71" s="96" t="inlineStr">
        <is>
          <t>T19D</t>
        </is>
      </c>
    </row>
    <row r="72">
      <c r="C72" s="96" t="inlineStr">
        <is>
          <t>ST2</t>
        </is>
      </c>
    </row>
    <row r="73">
      <c r="C73" s="96" t="inlineStr">
        <is>
          <t>LS9</t>
        </is>
      </c>
    </row>
    <row r="74">
      <c r="C74" s="96" t="inlineStr">
        <is>
          <t>H7</t>
        </is>
      </c>
    </row>
    <row r="75">
      <c r="C75" s="96" t="inlineStr">
        <is>
          <t>H4</t>
        </is>
      </c>
    </row>
    <row r="76">
      <c r="C76" s="96" t="inlineStr">
        <is>
          <t>T02</t>
        </is>
      </c>
    </row>
    <row r="77">
      <c r="C77" s="96" t="inlineStr">
        <is>
          <t>H6</t>
        </is>
      </c>
    </row>
    <row r="78">
      <c r="C78" s="96" t="inlineStr">
        <is>
          <t>LS7</t>
        </is>
      </c>
    </row>
    <row r="79">
      <c r="C79" s="96" t="inlineStr">
        <is>
          <t>H8</t>
        </is>
      </c>
    </row>
    <row r="80">
      <c r="C80" s="96" t="inlineStr">
        <is>
          <t>L10</t>
        </is>
      </c>
    </row>
    <row r="81">
      <c r="C81" s="96" t="inlineStr">
        <is>
          <t>LS10</t>
        </is>
      </c>
    </row>
    <row r="82">
      <c r="C82" s="96" t="inlineStr">
        <is>
          <t>LS12</t>
        </is>
      </c>
    </row>
    <row r="83">
      <c r="C83" s="96" t="inlineStr">
        <is>
          <t>LS6</t>
        </is>
      </c>
    </row>
    <row r="84">
      <c r="C84" s="96" t="inlineStr">
        <is>
          <t>D2</t>
        </is>
      </c>
    </row>
    <row r="85">
      <c r="C85" s="96" t="inlineStr">
        <is>
          <t>CH1</t>
        </is>
      </c>
    </row>
    <row r="86">
      <c r="C86" s="96" t="inlineStr">
        <is>
          <t>CH3</t>
        </is>
      </c>
    </row>
    <row r="87">
      <c r="C87" s="96" t="inlineStr">
        <is>
          <t>CH4</t>
        </is>
      </c>
    </row>
    <row r="88">
      <c r="C88" s="96" t="inlineStr">
        <is>
          <t>CH5</t>
        </is>
      </c>
    </row>
    <row r="89">
      <c r="C89" s="96" t="inlineStr">
        <is>
          <t>CH6</t>
        </is>
      </c>
    </row>
    <row r="90">
      <c r="C90" s="96" t="inlineStr">
        <is>
          <t>COMMUN</t>
        </is>
      </c>
    </row>
    <row r="91">
      <c r="C91" s="96" t="inlineStr">
        <is>
          <t>D1</t>
        </is>
      </c>
    </row>
    <row r="92">
      <c r="C92" s="96" t="inlineStr">
        <is>
          <t>CH2</t>
        </is>
      </c>
    </row>
    <row r="93">
      <c r="C93" s="96" t="inlineStr">
        <is>
          <t>D3</t>
        </is>
      </c>
    </row>
    <row r="94">
      <c r="C94" s="96" t="inlineStr">
        <is>
          <t>FL0</t>
        </is>
      </c>
    </row>
    <row r="95">
      <c r="C95" s="96" t="inlineStr">
        <is>
          <t>FL1</t>
        </is>
      </c>
    </row>
    <row r="96">
      <c r="C96" s="96" t="inlineStr">
        <is>
          <t>FL2</t>
        </is>
      </c>
    </row>
    <row r="97">
      <c r="C97" s="96" t="inlineStr">
        <is>
          <t>FL3</t>
        </is>
      </c>
    </row>
    <row r="98">
      <c r="C98" s="96" t="inlineStr">
        <is>
          <t>FL4</t>
        </is>
      </c>
    </row>
    <row r="99">
      <c r="C99" s="96" t="inlineStr">
        <is>
          <t>FR</t>
        </is>
      </c>
    </row>
    <row r="100">
      <c r="C100" s="96" t="inlineStr">
        <is>
          <t>LAVERIE</t>
        </is>
      </c>
    </row>
    <row r="101">
      <c r="C101" s="96" t="inlineStr">
        <is>
          <t>FS</t>
        </is>
      </c>
    </row>
    <row r="102">
      <c r="C102" s="96" t="inlineStr">
        <is>
          <t>T14</t>
        </is>
      </c>
    </row>
    <row r="103">
      <c r="C103" s="96" t="inlineStr">
        <is>
          <t>T13</t>
        </is>
      </c>
    </row>
    <row r="104">
      <c r="C104" s="96" t="inlineStr">
        <is>
          <t>T12</t>
        </is>
      </c>
    </row>
    <row r="105">
      <c r="C105" s="96" t="inlineStr">
        <is>
          <t>T11</t>
        </is>
      </c>
    </row>
    <row r="106">
      <c r="C106" s="96" t="inlineStr">
        <is>
          <t>CRIBLAGE</t>
        </is>
      </c>
    </row>
    <row r="107">
      <c r="C107" s="96" t="inlineStr">
        <is>
          <t>CIRCUIT DE STERILE</t>
        </is>
      </c>
    </row>
    <row r="108">
      <c r="C108" s="96" t="inlineStr">
        <is>
          <t>AUTRE</t>
        </is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>
  <sheetPr codeName="Feuil15">
    <outlinePr summaryBelow="1" summaryRight="1"/>
    <pageSetUpPr/>
  </sheetPr>
  <dimension ref="B2:I9"/>
  <sheetViews>
    <sheetView workbookViewId="0">
      <selection activeCell="H3" sqref="H3"/>
    </sheetView>
  </sheetViews>
  <sheetFormatPr baseColWidth="8" defaultColWidth="11" defaultRowHeight="15"/>
  <sheetData>
    <row r="2">
      <c r="B2" s="1" t="inlineStr">
        <is>
          <t xml:space="preserve">Déstinataire </t>
        </is>
      </c>
      <c r="C2" s="1" t="inlineStr">
        <is>
          <t xml:space="preserve">Bascule </t>
        </is>
      </c>
    </row>
    <row r="3">
      <c r="B3" s="1" t="inlineStr">
        <is>
          <t>PW</t>
        </is>
      </c>
      <c r="C3" s="1" t="inlineStr">
        <is>
          <t>H4</t>
        </is>
      </c>
      <c r="E3" s="1" t="inlineStr">
        <is>
          <t>PW</t>
        </is>
      </c>
      <c r="F3" s="1" t="inlineStr">
        <is>
          <t>LS6</t>
        </is>
      </c>
      <c r="H3" s="1" t="inlineStr">
        <is>
          <t>TS</t>
        </is>
      </c>
      <c r="I3" s="1" t="inlineStr">
        <is>
          <t>T1</t>
        </is>
      </c>
    </row>
    <row r="4">
      <c r="B4" s="1" t="inlineStr">
        <is>
          <t>PW-H4N</t>
        </is>
      </c>
      <c r="C4" s="1" t="inlineStr">
        <is>
          <t>H6</t>
        </is>
      </c>
      <c r="E4" s="44" t="inlineStr">
        <is>
          <t>PW</t>
        </is>
      </c>
      <c r="F4" s="1" t="inlineStr">
        <is>
          <t>LS7</t>
        </is>
      </c>
      <c r="H4" s="1" t="inlineStr">
        <is>
          <t>CRIBLAGE</t>
        </is>
      </c>
      <c r="I4" s="1" t="inlineStr">
        <is>
          <t>T11</t>
        </is>
      </c>
    </row>
    <row r="5">
      <c r="B5" s="1" t="inlineStr">
        <is>
          <t>PW-H4S</t>
        </is>
      </c>
      <c r="C5" s="1" t="inlineStr">
        <is>
          <t>LS0</t>
        </is>
      </c>
      <c r="E5" s="1" t="inlineStr">
        <is>
          <t>PW</t>
        </is>
      </c>
      <c r="F5" s="1" t="inlineStr">
        <is>
          <t>H6</t>
        </is>
      </c>
    </row>
    <row r="6">
      <c r="B6" s="1" t="inlineStr">
        <is>
          <t>BA</t>
        </is>
      </c>
      <c r="C6" s="1" t="inlineStr">
        <is>
          <t>LT3</t>
        </is>
      </c>
    </row>
    <row r="9">
      <c r="I9" s="129" t="n"/>
    </row>
  </sheetData>
  <pageMargins left="0.7" right="0.7" top="0.75" bottom="0.75" header="0.3" footer="0.3"/>
  <pageSetup orientation="portrait" paperSize="9" horizontalDpi="300" verticalDpi="300"/>
</worksheet>
</file>

<file path=xl/worksheets/sheet22.xml><?xml version="1.0" encoding="utf-8"?>
<worksheet xmlns="http://schemas.openxmlformats.org/spreadsheetml/2006/main">
  <sheetPr codeName="Feuil16">
    <outlinePr summaryBelow="1" summaryRight="1"/>
    <pageSetUpPr/>
  </sheetPr>
  <dimension ref="A3:AT26"/>
  <sheetViews>
    <sheetView workbookViewId="0">
      <selection activeCell="I15" sqref="I15"/>
    </sheetView>
  </sheetViews>
  <sheetFormatPr baseColWidth="8" defaultColWidth="11" defaultRowHeight="15"/>
  <sheetData>
    <row r="3" ht="24" customHeight="1" thickBot="1">
      <c r="B3" s="2" t="inlineStr">
        <is>
          <t>Destinations</t>
        </is>
      </c>
      <c r="D3" s="2" t="inlineStr">
        <is>
          <t>Qualité</t>
        </is>
      </c>
      <c r="F3" s="2" t="inlineStr">
        <is>
          <t>Etat de marche</t>
        </is>
      </c>
      <c r="H3" s="2" t="inlineStr">
        <is>
          <t>Heure</t>
        </is>
      </c>
      <c r="J3" s="2" t="inlineStr">
        <is>
          <t>Bascule</t>
        </is>
      </c>
      <c r="L3" s="2" t="inlineStr">
        <is>
          <t>Stock</t>
        </is>
      </c>
      <c r="N3" s="2" t="inlineStr">
        <is>
          <t>axe-installation</t>
        </is>
      </c>
      <c r="P3" s="1" t="inlineStr">
        <is>
          <t>00 H 06</t>
        </is>
      </c>
      <c r="Q3" t="n">
        <v>1</v>
      </c>
      <c r="S3" t="inlineStr">
        <is>
          <t>Bascule</t>
        </is>
      </c>
    </row>
    <row r="4" ht="21" customHeight="1">
      <c r="A4" s="3" t="n"/>
      <c r="B4" s="3" t="inlineStr">
        <is>
          <t>BA</t>
        </is>
      </c>
      <c r="C4" s="3" t="n"/>
      <c r="D4" s="3" t="inlineStr">
        <is>
          <t>THT</t>
        </is>
      </c>
      <c r="E4" s="3" t="n"/>
      <c r="F4" s="3" t="inlineStr">
        <is>
          <t>En service</t>
        </is>
      </c>
      <c r="G4" s="3" t="n"/>
      <c r="H4" s="3" t="inlineStr">
        <is>
          <t>06h00</t>
        </is>
      </c>
      <c r="I4" s="3" t="n"/>
      <c r="J4" s="3" t="inlineStr">
        <is>
          <t>H4</t>
        </is>
      </c>
      <c r="K4" s="3" t="n"/>
      <c r="L4" s="3" t="inlineStr">
        <is>
          <t>EST</t>
        </is>
      </c>
      <c r="M4" s="3" t="n"/>
      <c r="N4" s="3" t="inlineStr">
        <is>
          <t>RP5</t>
        </is>
      </c>
      <c r="O4" s="3" t="n"/>
      <c r="P4" s="3" t="inlineStr">
        <is>
          <t>00 H 12</t>
        </is>
      </c>
      <c r="Q4" s="3" t="n">
        <v>1.2</v>
      </c>
      <c r="R4" s="3" t="n"/>
      <c r="S4" s="3" t="inlineStr">
        <is>
          <t>LS6</t>
        </is>
      </c>
      <c r="T4" s="3" t="n"/>
      <c r="U4" s="3" t="n"/>
      <c r="V4" s="3" t="n"/>
      <c r="W4" s="3" t="n"/>
      <c r="X4" s="3" t="n"/>
      <c r="Y4" s="3" t="n"/>
      <c r="Z4" s="3" t="n"/>
      <c r="AA4" s="3" t="n"/>
      <c r="AB4" s="3" t="n"/>
      <c r="AC4" s="3" t="n"/>
      <c r="AD4" s="3" t="n"/>
      <c r="AE4" s="3" t="n"/>
      <c r="AF4" s="3" t="n"/>
      <c r="AG4" s="3" t="n"/>
      <c r="AH4" s="3" t="n"/>
      <c r="AI4" s="3" t="n"/>
      <c r="AJ4" s="3" t="n"/>
      <c r="AK4" s="3" t="n"/>
      <c r="AL4" s="3" t="n"/>
      <c r="AM4" s="3" t="n"/>
      <c r="AN4" s="3" t="n"/>
      <c r="AO4" s="3" t="n"/>
      <c r="AP4" s="3" t="n"/>
      <c r="AQ4" s="3" t="n"/>
      <c r="AR4" s="3" t="n"/>
      <c r="AS4" s="3" t="n"/>
      <c r="AT4" s="3" t="n"/>
    </row>
    <row r="5" ht="21" customHeight="1">
      <c r="A5" s="3" t="n"/>
      <c r="B5" s="3" t="inlineStr">
        <is>
          <t>PW</t>
        </is>
      </c>
      <c r="C5" s="3" t="n"/>
      <c r="D5" s="3" t="inlineStr">
        <is>
          <t>HTN</t>
        </is>
      </c>
      <c r="E5" s="3" t="n"/>
      <c r="F5" s="3" t="inlineStr">
        <is>
          <t>A l'arrêt</t>
        </is>
      </c>
      <c r="G5" s="3" t="n"/>
      <c r="H5" s="3" t="inlineStr">
        <is>
          <t>14h00</t>
        </is>
      </c>
      <c r="I5" s="3" t="n"/>
      <c r="J5" s="3" t="inlineStr">
        <is>
          <t>H6</t>
        </is>
      </c>
      <c r="K5" s="3" t="n"/>
      <c r="L5" s="3" t="inlineStr">
        <is>
          <t>OUEST</t>
        </is>
      </c>
      <c r="M5" s="3" t="n"/>
      <c r="N5" s="3" t="inlineStr">
        <is>
          <t>RP3</t>
        </is>
      </c>
      <c r="O5" s="3" t="n"/>
      <c r="P5" s="3" t="inlineStr">
        <is>
          <t>1 H 06</t>
        </is>
      </c>
      <c r="Q5" s="3" t="n">
        <v>2.3</v>
      </c>
      <c r="R5" s="3" t="n"/>
      <c r="S5" s="3" t="inlineStr">
        <is>
          <t>LS7</t>
        </is>
      </c>
      <c r="T5" s="3" t="n"/>
      <c r="U5" s="3" t="n"/>
      <c r="V5" s="3" t="n"/>
      <c r="W5" s="3" t="n"/>
      <c r="X5" s="3" t="n"/>
      <c r="Y5" s="3" t="n"/>
      <c r="Z5" s="3" t="n"/>
      <c r="AA5" s="3" t="n"/>
      <c r="AB5" s="3" t="n"/>
      <c r="AC5" s="3" t="n"/>
      <c r="AD5" s="3" t="n"/>
      <c r="AE5" s="3" t="n"/>
      <c r="AF5" s="3" t="n"/>
      <c r="AG5" s="3" t="n"/>
      <c r="AH5" s="3" t="n"/>
      <c r="AI5" s="3" t="n"/>
      <c r="AJ5" s="3" t="n"/>
      <c r="AK5" s="3" t="n"/>
      <c r="AL5" s="3" t="n"/>
      <c r="AM5" s="3" t="n"/>
      <c r="AN5" s="3" t="n"/>
      <c r="AO5" s="3" t="n"/>
      <c r="AP5" s="3" t="n"/>
      <c r="AQ5" s="3" t="n"/>
      <c r="AR5" s="3" t="n"/>
      <c r="AS5" s="3" t="n"/>
      <c r="AT5" s="3" t="n"/>
    </row>
    <row r="6" ht="21" customHeight="1">
      <c r="A6" s="3" t="n"/>
      <c r="B6" s="3" t="inlineStr">
        <is>
          <t>UD</t>
        </is>
      </c>
      <c r="C6" s="3" t="n"/>
      <c r="D6" s="3" t="inlineStr">
        <is>
          <t>HTM</t>
        </is>
      </c>
      <c r="E6" s="3" t="n"/>
      <c r="F6" s="3" t="n"/>
      <c r="G6" s="3" t="n"/>
      <c r="H6" s="3" t="inlineStr">
        <is>
          <t>22h00</t>
        </is>
      </c>
      <c r="I6" s="3" t="n"/>
      <c r="J6" s="3" t="n"/>
      <c r="K6" s="3" t="n"/>
      <c r="L6" s="3" t="inlineStr">
        <is>
          <t>NORD</t>
        </is>
      </c>
      <c r="M6" s="3" t="n"/>
      <c r="N6" s="3" t="inlineStr">
        <is>
          <t>RP T1 SC</t>
        </is>
      </c>
      <c r="O6" s="3" t="n"/>
      <c r="P6" s="3" t="inlineStr">
        <is>
          <t>1 H 12</t>
        </is>
      </c>
      <c r="Q6" s="3" t="n"/>
      <c r="R6" s="3" t="n"/>
      <c r="S6" s="3" t="n"/>
      <c r="T6" s="3" t="n"/>
      <c r="U6" s="3" t="n"/>
      <c r="V6" s="3" t="n"/>
      <c r="W6" s="3" t="n"/>
      <c r="X6" s="3" t="n"/>
      <c r="Y6" s="3" t="n"/>
      <c r="Z6" s="3" t="n"/>
      <c r="AA6" s="3" t="n"/>
      <c r="AB6" s="3" t="n"/>
      <c r="AC6" s="3" t="n"/>
      <c r="AD6" s="3" t="n"/>
      <c r="AE6" s="3" t="n"/>
      <c r="AF6" s="3" t="n"/>
      <c r="AG6" s="3" t="n"/>
      <c r="AH6" s="3" t="n"/>
      <c r="AI6" s="3" t="n"/>
      <c r="AJ6" s="3" t="n"/>
      <c r="AK6" s="3" t="n"/>
      <c r="AL6" s="3" t="n"/>
      <c r="AM6" s="3" t="n"/>
      <c r="AN6" s="3" t="n"/>
      <c r="AO6" s="3" t="n"/>
      <c r="AP6" s="3" t="n"/>
      <c r="AQ6" s="3" t="n"/>
      <c r="AR6" s="3" t="n"/>
      <c r="AS6" s="3" t="n"/>
      <c r="AT6" s="3" t="n"/>
    </row>
    <row r="7" ht="21" customHeight="1">
      <c r="A7" s="3" t="n"/>
      <c r="B7" s="3" t="inlineStr">
        <is>
          <t>UB</t>
        </is>
      </c>
      <c r="C7" s="3" t="n"/>
      <c r="D7" s="3" t="inlineStr">
        <is>
          <t>MT</t>
        </is>
      </c>
      <c r="E7" s="3" t="n"/>
      <c r="F7" s="3" t="n"/>
      <c r="G7" s="3" t="n"/>
      <c r="H7" s="3" t="n"/>
      <c r="I7" s="3" t="n"/>
      <c r="J7" s="3" t="n"/>
      <c r="K7" s="3" t="n"/>
      <c r="L7" s="3" t="inlineStr">
        <is>
          <t>SUD</t>
        </is>
      </c>
      <c r="M7" s="3" t="n"/>
      <c r="N7" s="3" t="inlineStr">
        <is>
          <t>RP T1 SC</t>
        </is>
      </c>
      <c r="O7" s="3" t="n"/>
      <c r="P7" s="3" t="inlineStr">
        <is>
          <t>2 H 06</t>
        </is>
      </c>
      <c r="Q7" s="3" t="n"/>
      <c r="R7" s="3" t="n"/>
      <c r="S7" s="3" t="n"/>
      <c r="T7" s="3" t="n"/>
      <c r="U7" s="3" t="n"/>
      <c r="V7" s="3" t="n"/>
      <c r="W7" s="3" t="n"/>
      <c r="X7" s="3" t="n"/>
      <c r="Y7" s="3" t="n"/>
      <c r="Z7" s="3" t="n"/>
      <c r="AA7" s="3" t="n"/>
      <c r="AB7" s="3" t="n"/>
      <c r="AC7" s="3" t="n"/>
      <c r="AD7" s="3" t="n"/>
      <c r="AE7" s="3" t="n"/>
      <c r="AF7" s="3" t="n"/>
      <c r="AG7" s="3" t="n"/>
      <c r="AH7" s="3" t="n"/>
      <c r="AI7" s="3" t="n"/>
      <c r="AJ7" s="3" t="n"/>
      <c r="AK7" s="3" t="n"/>
      <c r="AL7" s="3" t="n"/>
      <c r="AM7" s="3" t="n"/>
      <c r="AN7" s="3" t="n"/>
      <c r="AO7" s="3" t="n"/>
      <c r="AP7" s="3" t="n"/>
      <c r="AQ7" s="3" t="n"/>
      <c r="AR7" s="3" t="n"/>
      <c r="AS7" s="3" t="n"/>
      <c r="AT7" s="3" t="n"/>
    </row>
    <row r="8" ht="21" customHeight="1">
      <c r="A8" s="3" t="n"/>
      <c r="B8" s="3" t="n"/>
      <c r="C8" s="3" t="n"/>
      <c r="D8" s="3" t="inlineStr">
        <is>
          <t>BTR</t>
        </is>
      </c>
      <c r="E8" s="3" t="n"/>
      <c r="F8" s="3" t="n"/>
      <c r="G8" s="3" t="n"/>
      <c r="H8" s="3" t="n"/>
      <c r="I8" s="3" t="n"/>
      <c r="J8" s="3" t="n"/>
      <c r="K8" s="3" t="n"/>
      <c r="L8" s="3" t="n"/>
      <c r="M8" s="3" t="n"/>
      <c r="N8" s="3" t="inlineStr">
        <is>
          <t>TS-C1</t>
        </is>
      </c>
      <c r="O8" s="3" t="n"/>
      <c r="P8" s="3" t="inlineStr">
        <is>
          <t>2 H 12</t>
        </is>
      </c>
      <c r="Q8" s="3" t="n"/>
      <c r="R8" s="3" t="n"/>
      <c r="S8" s="3" t="n"/>
      <c r="T8" s="3" t="n"/>
      <c r="U8" s="3" t="n"/>
      <c r="V8" s="3" t="n"/>
      <c r="W8" s="3" t="n"/>
      <c r="X8" s="3" t="n"/>
      <c r="Y8" s="3" t="n"/>
      <c r="Z8" s="3" t="n"/>
      <c r="AA8" s="3" t="n"/>
      <c r="AB8" s="3" t="n"/>
      <c r="AC8" s="3" t="n"/>
      <c r="AD8" s="3" t="n"/>
      <c r="AE8" s="3" t="n"/>
      <c r="AF8" s="3" t="n"/>
      <c r="AG8" s="3" t="n"/>
      <c r="AH8" s="3" t="n"/>
      <c r="AI8" s="3" t="n"/>
      <c r="AJ8" s="3" t="n"/>
      <c r="AK8" s="3" t="n"/>
      <c r="AL8" s="3" t="n"/>
      <c r="AM8" s="3" t="n"/>
      <c r="AN8" s="3" t="n"/>
      <c r="AO8" s="3" t="n"/>
      <c r="AP8" s="3" t="n"/>
      <c r="AQ8" s="3" t="n"/>
      <c r="AR8" s="3" t="n"/>
      <c r="AS8" s="3" t="n"/>
      <c r="AT8" s="3" t="n"/>
    </row>
    <row r="9" ht="21" customHeight="1">
      <c r="A9" s="3" t="n"/>
      <c r="B9" s="3" t="n"/>
      <c r="C9" s="3" t="n"/>
      <c r="D9" s="3" t="inlineStr">
        <is>
          <t>BT</t>
        </is>
      </c>
      <c r="E9" s="3" t="n"/>
      <c r="F9" s="3" t="n"/>
      <c r="G9" s="3" t="n"/>
      <c r="H9" s="3" t="n"/>
      <c r="I9" s="3" t="n"/>
      <c r="J9" s="3" t="n"/>
      <c r="K9" s="3" t="n"/>
      <c r="L9" s="3" t="n"/>
      <c r="M9" s="3" t="n"/>
      <c r="N9" s="3" t="inlineStr">
        <is>
          <t>T11</t>
        </is>
      </c>
      <c r="O9" s="3" t="n"/>
      <c r="P9" s="3" t="n"/>
      <c r="Q9" s="3" t="n"/>
      <c r="R9" s="3" t="n"/>
      <c r="S9" s="3" t="n"/>
      <c r="T9" s="3" t="n"/>
      <c r="U9" s="3" t="n"/>
      <c r="V9" s="3" t="n"/>
      <c r="W9" s="3" t="n"/>
      <c r="X9" s="3" t="n"/>
      <c r="Y9" s="3" t="n"/>
      <c r="Z9" s="3" t="n"/>
      <c r="AA9" s="3" t="n"/>
      <c r="AB9" s="3" t="n"/>
      <c r="AC9" s="3" t="n"/>
      <c r="AD9" s="3" t="n"/>
      <c r="AE9" s="3" t="n"/>
      <c r="AF9" s="3" t="n"/>
      <c r="AG9" s="3" t="n"/>
      <c r="AH9" s="3" t="n"/>
      <c r="AI9" s="3" t="n"/>
      <c r="AJ9" s="3" t="n"/>
      <c r="AK9" s="3" t="n"/>
      <c r="AL9" s="3" t="n"/>
      <c r="AM9" s="3" t="n"/>
      <c r="AN9" s="3" t="n"/>
      <c r="AO9" s="3" t="n"/>
      <c r="AP9" s="3" t="n"/>
      <c r="AQ9" s="3" t="n"/>
      <c r="AR9" s="3" t="n"/>
      <c r="AS9" s="3" t="n"/>
      <c r="AT9" s="3" t="n"/>
    </row>
    <row r="10" ht="21" customHeight="1">
      <c r="A10" s="3" t="n"/>
      <c r="B10" s="3" t="n"/>
      <c r="C10" s="3" t="n"/>
      <c r="D10" s="3" t="inlineStr">
        <is>
          <t>TBT</t>
        </is>
      </c>
      <c r="E10" s="3" t="n"/>
      <c r="F10" s="3" t="n"/>
      <c r="G10" s="3" t="n"/>
      <c r="H10" s="3" t="n"/>
      <c r="I10" s="3" t="n"/>
      <c r="J10" s="3" t="n"/>
      <c r="K10" s="3" t="n"/>
      <c r="L10" s="3" t="n"/>
      <c r="M10" s="3" t="n"/>
      <c r="N10" s="3" t="n"/>
      <c r="O10" s="3" t="n"/>
      <c r="P10" s="3" t="n"/>
      <c r="Q10" s="3" t="n"/>
      <c r="R10" s="3" t="n"/>
      <c r="S10" s="3" t="n"/>
      <c r="T10" s="3" t="n"/>
      <c r="U10" s="3" t="n"/>
      <c r="V10" s="3" t="n"/>
      <c r="W10" s="3" t="n"/>
      <c r="X10" s="3" t="n"/>
      <c r="Y10" s="3" t="n"/>
      <c r="Z10" s="3" t="n"/>
      <c r="AA10" s="3" t="n"/>
      <c r="AB10" s="3" t="n"/>
      <c r="AC10" s="3" t="n"/>
      <c r="AD10" s="3" t="n"/>
      <c r="AE10" s="3" t="n"/>
      <c r="AF10" s="3" t="n"/>
      <c r="AG10" s="3" t="n"/>
      <c r="AH10" s="3" t="n"/>
      <c r="AI10" s="3" t="n"/>
      <c r="AJ10" s="3" t="n"/>
      <c r="AK10" s="3" t="n"/>
      <c r="AL10" s="3" t="n"/>
      <c r="AM10" s="3" t="n"/>
      <c r="AN10" s="3" t="n"/>
      <c r="AO10" s="3" t="n"/>
      <c r="AP10" s="3" t="n"/>
      <c r="AQ10" s="3" t="n"/>
      <c r="AR10" s="3" t="n"/>
      <c r="AS10" s="3" t="n"/>
      <c r="AT10" s="3" t="n"/>
    </row>
    <row r="11" ht="21" customHeight="1">
      <c r="A11" s="3" t="n"/>
      <c r="B11" s="3" t="n"/>
      <c r="C11" s="3" t="n"/>
      <c r="D11" s="3" t="inlineStr">
        <is>
          <t>TBT TS</t>
        </is>
      </c>
      <c r="E11" s="3" t="n"/>
      <c r="F11" s="3" t="n"/>
      <c r="G11" s="3" t="n"/>
      <c r="H11" s="3" t="n"/>
      <c r="I11" s="3" t="n"/>
      <c r="J11" s="3" t="n"/>
      <c r="K11" s="3" t="n"/>
      <c r="L11" s="3" t="n"/>
      <c r="M11" s="3" t="n"/>
      <c r="N11" s="3" t="n"/>
      <c r="O11" s="3" t="n"/>
      <c r="P11" s="3" t="n"/>
      <c r="Q11" s="3" t="n"/>
      <c r="R11" s="3" t="n"/>
      <c r="S11" s="3" t="n"/>
      <c r="T11" s="3" t="n"/>
      <c r="U11" s="3" t="n"/>
      <c r="V11" s="3" t="n"/>
      <c r="W11" s="3" t="n"/>
      <c r="X11" s="3" t="n"/>
      <c r="Y11" s="3" t="n"/>
      <c r="Z11" s="3" t="n"/>
      <c r="AA11" s="3" t="n"/>
      <c r="AB11" s="3" t="n"/>
      <c r="AC11" s="3" t="n"/>
      <c r="AD11" s="3" t="n"/>
      <c r="AE11" s="3" t="n"/>
      <c r="AF11" s="3" t="n"/>
      <c r="AG11" s="3" t="n"/>
      <c r="AH11" s="3" t="n"/>
      <c r="AI11" s="3" t="n"/>
      <c r="AJ11" s="3" t="n"/>
      <c r="AK11" s="3" t="n"/>
      <c r="AL11" s="3" t="n"/>
      <c r="AM11" s="3" t="n"/>
      <c r="AN11" s="3" t="n"/>
      <c r="AO11" s="3" t="n"/>
      <c r="AP11" s="3" t="n"/>
      <c r="AQ11" s="3" t="n"/>
      <c r="AR11" s="3" t="n"/>
      <c r="AS11" s="3" t="n"/>
      <c r="AT11" s="3" t="n"/>
    </row>
    <row r="12" ht="21" customHeight="1">
      <c r="A12" s="3" t="n"/>
      <c r="B12" s="3" t="n"/>
      <c r="C12" s="3" t="n"/>
      <c r="D12" s="3" t="inlineStr">
        <is>
          <t>HTN Lavé</t>
        </is>
      </c>
      <c r="E12" s="3" t="n"/>
      <c r="F12" s="3" t="n"/>
      <c r="G12" s="3" t="n"/>
      <c r="H12" s="3" t="n"/>
      <c r="I12" s="3" t="n"/>
      <c r="J12" s="3" t="n"/>
      <c r="K12" s="3" t="n"/>
      <c r="L12" s="3" t="n"/>
      <c r="M12" s="3" t="n"/>
      <c r="N12" s="3" t="n"/>
      <c r="O12" s="3" t="n"/>
      <c r="P12" s="3" t="n"/>
      <c r="Q12" s="3" t="n"/>
      <c r="R12" s="3" t="n"/>
      <c r="S12" s="3" t="n"/>
      <c r="T12" s="3" t="n"/>
      <c r="U12" s="3" t="n"/>
      <c r="V12" s="3" t="n"/>
      <c r="W12" s="3" t="n"/>
      <c r="X12" s="3" t="n"/>
      <c r="Y12" s="3" t="n"/>
      <c r="Z12" s="3" t="n"/>
      <c r="AA12" s="3" t="n"/>
      <c r="AB12" s="3" t="n"/>
      <c r="AC12" s="3" t="n"/>
      <c r="AD12" s="3" t="n"/>
      <c r="AE12" s="3" t="n"/>
      <c r="AF12" s="3" t="n"/>
      <c r="AG12" s="3" t="n"/>
      <c r="AH12" s="3" t="n"/>
      <c r="AI12" s="3" t="n"/>
      <c r="AJ12" s="3" t="n"/>
      <c r="AK12" s="3" t="n"/>
      <c r="AL12" s="3" t="n"/>
      <c r="AM12" s="3" t="n"/>
      <c r="AN12" s="3" t="n"/>
      <c r="AO12" s="3" t="n"/>
      <c r="AP12" s="3" t="n"/>
      <c r="AQ12" s="3" t="n"/>
      <c r="AR12" s="3" t="n"/>
      <c r="AS12" s="3" t="n"/>
      <c r="AT12" s="3" t="n"/>
    </row>
    <row r="13" ht="21" customHeight="1">
      <c r="A13" s="3" t="n"/>
      <c r="B13" s="3" t="n"/>
      <c r="C13" s="3" t="n"/>
      <c r="D13" s="3" t="inlineStr">
        <is>
          <t>HTM Lavé</t>
        </is>
      </c>
      <c r="E13" s="3" t="n"/>
      <c r="F13" s="3" t="n"/>
      <c r="G13" s="3" t="n"/>
      <c r="H13" s="3" t="n"/>
      <c r="I13" s="3" t="n"/>
      <c r="J13" s="3" t="n"/>
      <c r="K13" s="3" t="n"/>
      <c r="L13" s="3" t="n"/>
      <c r="M13" s="3" t="n"/>
      <c r="N13" s="3" t="n"/>
      <c r="O13" s="3" t="n"/>
      <c r="P13" s="3" t="n"/>
      <c r="Q13" s="3" t="n"/>
      <c r="R13" s="3" t="n"/>
      <c r="S13" s="3" t="n"/>
      <c r="T13" s="3" t="n"/>
      <c r="U13" s="3" t="n"/>
      <c r="V13" s="3" t="n"/>
      <c r="W13" s="3" t="n"/>
      <c r="X13" s="3" t="n"/>
      <c r="Y13" s="3" t="n"/>
      <c r="Z13" s="3" t="n"/>
      <c r="AA13" s="3" t="n"/>
      <c r="AB13" s="3" t="n"/>
      <c r="AC13" s="3" t="n"/>
      <c r="AD13" s="3" t="n"/>
      <c r="AE13" s="3" t="n"/>
      <c r="AF13" s="3" t="n"/>
      <c r="AG13" s="3" t="n"/>
      <c r="AH13" s="3" t="n"/>
      <c r="AI13" s="3" t="n"/>
      <c r="AJ13" s="3" t="n"/>
      <c r="AK13" s="3" t="n"/>
      <c r="AL13" s="3" t="n"/>
      <c r="AM13" s="3" t="n"/>
      <c r="AN13" s="3" t="n"/>
      <c r="AO13" s="3" t="n"/>
      <c r="AP13" s="3" t="n"/>
      <c r="AQ13" s="3" t="n"/>
      <c r="AR13" s="3" t="n"/>
      <c r="AS13" s="3" t="n"/>
      <c r="AT13" s="3" t="n"/>
    </row>
    <row r="14" ht="21" customHeight="1">
      <c r="A14" s="3" t="n"/>
      <c r="B14" s="3" t="n"/>
      <c r="C14" s="3" t="n"/>
      <c r="D14" s="3" t="inlineStr">
        <is>
          <t>MT Lavé</t>
        </is>
      </c>
      <c r="E14" s="3" t="n"/>
      <c r="F14" s="3" t="n"/>
      <c r="G14" s="3" t="n"/>
      <c r="H14" s="3" t="n"/>
      <c r="I14" s="3" t="n"/>
      <c r="J14" s="3" t="n"/>
      <c r="K14" s="3" t="n"/>
      <c r="L14" s="3" t="n"/>
      <c r="M14" s="3" t="n"/>
      <c r="N14" s="3" t="n"/>
      <c r="O14" s="3" t="n"/>
      <c r="P14" s="3" t="n"/>
      <c r="Q14" s="3" t="n"/>
      <c r="R14" s="3" t="n"/>
      <c r="S14" s="3" t="n"/>
      <c r="T14" s="3" t="n"/>
      <c r="U14" s="3" t="n"/>
      <c r="V14" s="3" t="n"/>
      <c r="W14" s="3" t="n"/>
      <c r="X14" s="3" t="n"/>
      <c r="Y14" s="3" t="n"/>
      <c r="Z14" s="3" t="n"/>
      <c r="AA14" s="3" t="n"/>
      <c r="AB14" s="3" t="n"/>
      <c r="AC14" s="3" t="n"/>
      <c r="AD14" s="3" t="n"/>
      <c r="AE14" s="3" t="n"/>
      <c r="AF14" s="3" t="n"/>
      <c r="AG14" s="3" t="n"/>
      <c r="AH14" s="3" t="n"/>
      <c r="AI14" s="3" t="n"/>
      <c r="AJ14" s="3" t="n"/>
      <c r="AK14" s="3" t="n"/>
      <c r="AL14" s="3" t="n"/>
      <c r="AM14" s="3" t="n"/>
      <c r="AN14" s="3" t="n"/>
      <c r="AO14" s="3" t="n"/>
      <c r="AP14" s="3" t="n"/>
      <c r="AQ14" s="3" t="n"/>
      <c r="AR14" s="3" t="n"/>
      <c r="AS14" s="3" t="n"/>
      <c r="AT14" s="3" t="n"/>
    </row>
    <row r="15" ht="21" customHeight="1">
      <c r="A15" s="3" t="n"/>
      <c r="B15" s="3" t="n"/>
      <c r="C15" s="3" t="n"/>
      <c r="D15" s="3" t="inlineStr">
        <is>
          <t>BTR Lavé</t>
        </is>
      </c>
      <c r="E15" s="3" t="n"/>
      <c r="F15" s="3" t="n"/>
      <c r="G15" s="3" t="n"/>
      <c r="H15" s="3" t="n"/>
      <c r="I15" s="3" t="n"/>
      <c r="J15" s="3" t="n"/>
      <c r="K15" s="3" t="n"/>
      <c r="L15" s="3" t="n"/>
      <c r="M15" s="3" t="n"/>
      <c r="N15" s="3" t="n"/>
      <c r="O15" s="3" t="n"/>
      <c r="P15" s="3" t="n"/>
      <c r="Q15" s="3" t="n"/>
      <c r="R15" s="3" t="n"/>
      <c r="S15" s="3" t="n"/>
      <c r="T15" s="3" t="n"/>
      <c r="U15" s="3" t="n"/>
      <c r="V15" s="3" t="n"/>
      <c r="W15" s="3" t="n"/>
      <c r="X15" s="3" t="n"/>
      <c r="Y15" s="3" t="n"/>
      <c r="Z15" s="3" t="n"/>
      <c r="AA15" s="3" t="n"/>
      <c r="AB15" s="3" t="n"/>
      <c r="AC15" s="3" t="n"/>
      <c r="AD15" s="3" t="n"/>
      <c r="AE15" s="3" t="n"/>
      <c r="AF15" s="3" t="n"/>
      <c r="AG15" s="3" t="n"/>
      <c r="AH15" s="3" t="n"/>
      <c r="AI15" s="3" t="n"/>
      <c r="AJ15" s="3" t="n"/>
      <c r="AK15" s="3" t="n"/>
      <c r="AL15" s="3" t="n"/>
      <c r="AM15" s="3" t="n"/>
      <c r="AN15" s="3" t="n"/>
      <c r="AO15" s="3" t="n"/>
      <c r="AP15" s="3" t="n"/>
      <c r="AQ15" s="3" t="n"/>
      <c r="AR15" s="3" t="n"/>
      <c r="AS15" s="3" t="n"/>
      <c r="AT15" s="3" t="n"/>
    </row>
    <row r="16" ht="21" customHeight="1">
      <c r="A16" s="3" t="n"/>
      <c r="B16" s="3" t="n"/>
      <c r="C16" s="3" t="n"/>
      <c r="D16" s="3" t="inlineStr">
        <is>
          <t>BT Lavé</t>
        </is>
      </c>
      <c r="E16" s="3" t="n"/>
      <c r="F16" s="3" t="n"/>
      <c r="G16" s="3" t="n"/>
      <c r="H16" s="3" t="n"/>
      <c r="I16" s="3" t="n"/>
      <c r="J16" s="3" t="n"/>
      <c r="K16" s="3" t="n"/>
      <c r="L16" s="3" t="n"/>
      <c r="M16" s="3" t="n"/>
      <c r="N16" s="3" t="n"/>
      <c r="O16" s="3" t="n"/>
      <c r="P16" s="3" t="n"/>
      <c r="Q16" s="3" t="n"/>
      <c r="R16" s="3" t="n"/>
      <c r="S16" s="3" t="n"/>
      <c r="T16" s="3" t="n"/>
      <c r="U16" s="3" t="n"/>
      <c r="V16" s="3" t="n"/>
      <c r="W16" s="3" t="n"/>
      <c r="X16" s="3" t="n"/>
      <c r="Y16" s="3" t="n"/>
      <c r="Z16" s="3" t="n"/>
      <c r="AA16" s="3" t="n"/>
      <c r="AB16" s="3" t="n"/>
      <c r="AC16" s="3" t="n"/>
      <c r="AD16" s="3" t="n"/>
      <c r="AE16" s="3" t="n"/>
      <c r="AF16" s="3" t="n"/>
      <c r="AG16" s="3" t="n"/>
      <c r="AH16" s="3" t="n"/>
      <c r="AI16" s="3" t="n"/>
      <c r="AJ16" s="3" t="n"/>
      <c r="AK16" s="3" t="n"/>
      <c r="AL16" s="3" t="n"/>
      <c r="AM16" s="3" t="n"/>
      <c r="AN16" s="3" t="n"/>
      <c r="AO16" s="3" t="n"/>
      <c r="AP16" s="3" t="n"/>
      <c r="AQ16" s="3" t="n"/>
      <c r="AR16" s="3" t="n"/>
      <c r="AS16" s="3" t="n"/>
      <c r="AT16" s="3" t="n"/>
    </row>
    <row r="17" ht="21" customHeight="1">
      <c r="A17" s="3" t="n"/>
      <c r="B17" s="3" t="n"/>
      <c r="C17" s="3" t="n"/>
      <c r="D17" s="3" t="inlineStr">
        <is>
          <t>TBT Lavé</t>
        </is>
      </c>
      <c r="E17" s="3" t="n"/>
      <c r="F17" s="3" t="n"/>
      <c r="G17" s="3" t="n"/>
      <c r="H17" s="3" t="n"/>
      <c r="I17" s="3" t="n"/>
      <c r="J17" s="3" t="n"/>
      <c r="K17" s="3" t="n"/>
      <c r="L17" s="3" t="n"/>
      <c r="M17" s="3" t="n"/>
      <c r="N17" s="3" t="n"/>
      <c r="O17" s="3" t="n"/>
      <c r="P17" s="3" t="n"/>
      <c r="Q17" s="3" t="n"/>
      <c r="R17" s="3" t="n"/>
      <c r="S17" s="3" t="n"/>
      <c r="T17" s="3" t="n"/>
      <c r="U17" s="3" t="n"/>
      <c r="V17" s="3" t="n"/>
      <c r="W17" s="3" t="n"/>
      <c r="X17" s="3" t="n"/>
      <c r="Y17" s="3" t="n"/>
      <c r="Z17" s="3" t="n"/>
      <c r="AA17" s="3" t="n"/>
      <c r="AB17" s="3" t="n"/>
      <c r="AC17" s="3" t="n"/>
      <c r="AD17" s="3" t="n"/>
      <c r="AE17" s="3" t="n"/>
      <c r="AF17" s="3" t="n"/>
      <c r="AG17" s="3" t="n"/>
      <c r="AH17" s="3" t="n"/>
      <c r="AI17" s="3" t="n"/>
      <c r="AJ17" s="3" t="n"/>
      <c r="AK17" s="3" t="n"/>
      <c r="AL17" s="3" t="n"/>
      <c r="AM17" s="3" t="n"/>
      <c r="AN17" s="3" t="n"/>
      <c r="AO17" s="3" t="n"/>
      <c r="AP17" s="3" t="n"/>
      <c r="AQ17" s="3" t="n"/>
      <c r="AR17" s="3" t="n"/>
      <c r="AS17" s="3" t="n"/>
      <c r="AT17" s="3" t="n"/>
    </row>
    <row r="18" ht="21" customHeight="1">
      <c r="A18" s="3" t="n"/>
      <c r="B18" s="3" t="n"/>
      <c r="C18" s="3" t="n"/>
      <c r="D18" s="3" t="inlineStr">
        <is>
          <t>TBT TS lavé</t>
        </is>
      </c>
      <c r="E18" s="3" t="n"/>
      <c r="F18" s="3" t="n"/>
      <c r="G18" s="3" t="n"/>
      <c r="H18" s="3" t="n"/>
      <c r="I18" s="3" t="n"/>
      <c r="J18" s="3" t="n"/>
      <c r="K18" s="3" t="n"/>
      <c r="L18" s="3" t="n"/>
      <c r="M18" s="3" t="n"/>
      <c r="N18" s="3" t="n"/>
      <c r="O18" s="3" t="n"/>
      <c r="P18" s="3" t="n"/>
      <c r="Q18" s="3" t="n"/>
      <c r="R18" s="3" t="n"/>
      <c r="S18" s="3" t="n"/>
      <c r="T18" s="3" t="n"/>
      <c r="U18" s="3" t="n"/>
      <c r="V18" s="3" t="n"/>
      <c r="W18" s="3" t="n"/>
      <c r="X18" s="3" t="n"/>
      <c r="Y18" s="3" t="n"/>
      <c r="Z18" s="3" t="n"/>
      <c r="AA18" s="3" t="n"/>
      <c r="AB18" s="3" t="n"/>
      <c r="AC18" s="3" t="n"/>
      <c r="AD18" s="3" t="n"/>
      <c r="AE18" s="3" t="n"/>
      <c r="AF18" s="3" t="n"/>
      <c r="AG18" s="3" t="n"/>
      <c r="AH18" s="3" t="n"/>
      <c r="AI18" s="3" t="n"/>
      <c r="AJ18" s="3" t="n"/>
      <c r="AK18" s="3" t="n"/>
      <c r="AL18" s="3" t="n"/>
      <c r="AM18" s="3" t="n"/>
      <c r="AN18" s="3" t="n"/>
      <c r="AO18" s="3" t="n"/>
      <c r="AP18" s="3" t="n"/>
      <c r="AQ18" s="3" t="n"/>
      <c r="AR18" s="3" t="n"/>
      <c r="AS18" s="3" t="n"/>
      <c r="AT18" s="3" t="n"/>
    </row>
    <row r="19" ht="21" customHeight="1">
      <c r="A19" s="3" t="n"/>
      <c r="B19" s="3" t="n"/>
      <c r="C19" s="3" t="n"/>
      <c r="D19" s="3" t="n"/>
      <c r="E19" s="3" t="n"/>
      <c r="F19" s="3" t="n"/>
      <c r="G19" s="3" t="n"/>
      <c r="H19" s="3" t="n"/>
      <c r="I19" s="3" t="n"/>
      <c r="J19" s="3" t="n"/>
      <c r="K19" s="3" t="n"/>
      <c r="L19" s="3" t="n"/>
      <c r="M19" s="3" t="n"/>
      <c r="N19" s="3" t="n"/>
      <c r="O19" s="3" t="n"/>
      <c r="P19" s="3" t="n"/>
      <c r="Q19" s="3" t="n"/>
      <c r="R19" s="3" t="n"/>
      <c r="S19" s="3" t="n"/>
      <c r="T19" s="3" t="n"/>
      <c r="U19" s="3" t="n"/>
      <c r="V19" s="3" t="n"/>
      <c r="W19" s="3" t="n"/>
      <c r="X19" s="3" t="n"/>
      <c r="Y19" s="3" t="n"/>
      <c r="Z19" s="3" t="n"/>
      <c r="AA19" s="3" t="n"/>
      <c r="AB19" s="3" t="n"/>
      <c r="AC19" s="3" t="n"/>
      <c r="AD19" s="3" t="n"/>
      <c r="AE19" s="3" t="n"/>
      <c r="AF19" s="3" t="n"/>
      <c r="AG19" s="3" t="n"/>
      <c r="AH19" s="3" t="n"/>
      <c r="AI19" s="3" t="n"/>
      <c r="AJ19" s="3" t="n"/>
      <c r="AK19" s="3" t="n"/>
      <c r="AL19" s="3" t="n"/>
      <c r="AM19" s="3" t="n"/>
      <c r="AN19" s="3" t="n"/>
      <c r="AO19" s="3" t="n"/>
      <c r="AP19" s="3" t="n"/>
      <c r="AQ19" s="3" t="n"/>
      <c r="AR19" s="3" t="n"/>
      <c r="AS19" s="3" t="n"/>
      <c r="AT19" s="3" t="n"/>
    </row>
    <row r="20" ht="21" customHeight="1">
      <c r="A20" s="3" t="n"/>
      <c r="B20" s="3" t="n"/>
      <c r="C20" s="3" t="n"/>
      <c r="D20" s="3" t="n"/>
      <c r="E20" s="3" t="n"/>
      <c r="F20" s="3" t="n"/>
      <c r="G20" s="3" t="n"/>
      <c r="H20" s="3" t="n"/>
      <c r="I20" s="3" t="n"/>
      <c r="J20" s="3" t="n"/>
      <c r="K20" s="3" t="n"/>
      <c r="L20" s="3" t="n"/>
      <c r="M20" s="3" t="n"/>
      <c r="N20" s="3" t="n"/>
      <c r="O20" s="3" t="n"/>
      <c r="P20" s="3" t="n"/>
      <c r="Q20" s="3" t="n"/>
      <c r="R20" s="3" t="n"/>
      <c r="S20" s="3" t="n"/>
      <c r="T20" s="3" t="n"/>
      <c r="U20" s="3" t="n"/>
      <c r="V20" s="3" t="n"/>
      <c r="W20" s="3" t="n"/>
      <c r="X20" s="3" t="n"/>
      <c r="Y20" s="3" t="n"/>
      <c r="Z20" s="3" t="n"/>
      <c r="AA20" s="3" t="n"/>
      <c r="AB20" s="3" t="n"/>
      <c r="AC20" s="3" t="n"/>
      <c r="AD20" s="3" t="n"/>
      <c r="AE20" s="3" t="n"/>
      <c r="AF20" s="3" t="n"/>
      <c r="AG20" s="3" t="n"/>
      <c r="AH20" s="3" t="n"/>
      <c r="AI20" s="3" t="n"/>
      <c r="AJ20" s="3" t="n"/>
      <c r="AK20" s="3" t="n"/>
      <c r="AL20" s="3" t="n"/>
      <c r="AM20" s="3" t="n"/>
      <c r="AN20" s="3" t="n"/>
      <c r="AO20" s="3" t="n"/>
      <c r="AP20" s="3" t="n"/>
      <c r="AQ20" s="3" t="n"/>
      <c r="AR20" s="3" t="n"/>
      <c r="AS20" s="3" t="n"/>
      <c r="AT20" s="3" t="n"/>
    </row>
    <row r="21" ht="21" customHeight="1">
      <c r="A21" s="3" t="n"/>
      <c r="B21" s="3" t="n"/>
      <c r="C21" s="3" t="n"/>
      <c r="D21" s="3" t="n"/>
      <c r="E21" s="3" t="n"/>
      <c r="F21" s="3" t="n"/>
      <c r="G21" s="3" t="n"/>
      <c r="H21" s="3" t="n"/>
      <c r="I21" s="3" t="n"/>
      <c r="J21" s="3" t="n"/>
      <c r="K21" s="3" t="n"/>
      <c r="L21" s="3" t="n"/>
      <c r="M21" s="3" t="n"/>
      <c r="N21" s="3" t="n"/>
      <c r="O21" s="3" t="n"/>
      <c r="P21" s="3" t="n"/>
      <c r="Q21" s="3" t="n"/>
      <c r="R21" s="3" t="n"/>
      <c r="S21" s="3" t="n"/>
      <c r="T21" s="3" t="n"/>
      <c r="U21" s="3" t="n"/>
      <c r="V21" s="3" t="n"/>
      <c r="W21" s="3" t="n"/>
      <c r="X21" s="3" t="n"/>
      <c r="Y21" s="3" t="n"/>
      <c r="Z21" s="3" t="n"/>
      <c r="AA21" s="3" t="n"/>
      <c r="AB21" s="3" t="n"/>
      <c r="AC21" s="3" t="n"/>
      <c r="AD21" s="3" t="n"/>
      <c r="AE21" s="3" t="n"/>
      <c r="AF21" s="3" t="n"/>
      <c r="AG21" s="3" t="n"/>
      <c r="AH21" s="3" t="n"/>
      <c r="AI21" s="3" t="n"/>
      <c r="AJ21" s="3" t="n"/>
      <c r="AK21" s="3" t="n"/>
      <c r="AL21" s="3" t="n"/>
      <c r="AM21" s="3" t="n"/>
      <c r="AN21" s="3" t="n"/>
      <c r="AO21" s="3" t="n"/>
      <c r="AP21" s="3" t="n"/>
      <c r="AQ21" s="3" t="n"/>
      <c r="AR21" s="3" t="n"/>
      <c r="AS21" s="3" t="n"/>
      <c r="AT21" s="3" t="n"/>
    </row>
    <row r="22" ht="21" customHeight="1">
      <c r="A22" s="3" t="n"/>
      <c r="B22" s="3" t="n"/>
      <c r="C22" s="3" t="n"/>
      <c r="D22" s="3" t="n"/>
      <c r="E22" s="3" t="n"/>
      <c r="F22" s="3" t="n"/>
      <c r="G22" s="3" t="n"/>
      <c r="H22" s="3" t="n"/>
      <c r="I22" s="3" t="n"/>
      <c r="J22" s="3" t="n"/>
      <c r="K22" s="3" t="n"/>
      <c r="L22" s="3" t="n"/>
      <c r="M22" s="3" t="n"/>
      <c r="N22" s="3" t="n"/>
      <c r="O22" s="3" t="n"/>
      <c r="P22" s="3" t="n"/>
      <c r="Q22" s="3" t="n"/>
      <c r="R22" s="3" t="n"/>
      <c r="S22" s="3" t="n"/>
      <c r="T22" s="3" t="n"/>
      <c r="U22" s="3" t="n"/>
      <c r="V22" s="3" t="n"/>
      <c r="W22" s="3" t="n"/>
      <c r="X22" s="3" t="n"/>
      <c r="Y22" s="3" t="n"/>
      <c r="Z22" s="3" t="n"/>
      <c r="AA22" s="3" t="n"/>
      <c r="AB22" s="3" t="n"/>
      <c r="AC22" s="3" t="n"/>
      <c r="AD22" s="3" t="n"/>
      <c r="AE22" s="3" t="n"/>
      <c r="AF22" s="3" t="n"/>
      <c r="AG22" s="3" t="n"/>
      <c r="AH22" s="3" t="n"/>
      <c r="AI22" s="3" t="n"/>
      <c r="AJ22" s="3" t="n"/>
      <c r="AK22" s="3" t="n"/>
      <c r="AL22" s="3" t="n"/>
      <c r="AM22" s="3" t="n"/>
      <c r="AN22" s="3" t="n"/>
      <c r="AO22" s="3" t="n"/>
      <c r="AP22" s="3" t="n"/>
      <c r="AQ22" s="3" t="n"/>
      <c r="AR22" s="3" t="n"/>
      <c r="AS22" s="3" t="n"/>
      <c r="AT22" s="3" t="n"/>
    </row>
    <row r="23" ht="21" customHeight="1">
      <c r="A23" s="3" t="n"/>
      <c r="B23" s="3" t="n"/>
      <c r="C23" s="3" t="n"/>
      <c r="D23" s="3" t="n"/>
      <c r="E23" s="3" t="n"/>
      <c r="F23" s="3" t="n"/>
      <c r="G23" s="3" t="n"/>
      <c r="H23" s="3" t="n"/>
      <c r="I23" s="3" t="n"/>
      <c r="J23" s="3" t="n"/>
      <c r="K23" s="3" t="n"/>
      <c r="L23" s="3" t="n"/>
      <c r="M23" s="3" t="n"/>
      <c r="N23" s="3" t="n"/>
      <c r="O23" s="3" t="n"/>
      <c r="P23" s="3" t="n"/>
      <c r="Q23" s="3" t="n"/>
      <c r="R23" s="3" t="n"/>
      <c r="S23" s="3" t="n"/>
      <c r="T23" s="3" t="n"/>
      <c r="U23" s="3" t="n"/>
      <c r="V23" s="3" t="n"/>
      <c r="W23" s="3" t="n"/>
      <c r="X23" s="3" t="n"/>
      <c r="Y23" s="3" t="n"/>
      <c r="Z23" s="3" t="n"/>
      <c r="AA23" s="3" t="n"/>
      <c r="AB23" s="3" t="n"/>
      <c r="AC23" s="3" t="n"/>
      <c r="AD23" s="3" t="n"/>
      <c r="AE23" s="3" t="n"/>
      <c r="AF23" s="3" t="n"/>
      <c r="AG23" s="3" t="n"/>
      <c r="AH23" s="3" t="n"/>
      <c r="AI23" s="3" t="n"/>
      <c r="AJ23" s="3" t="n"/>
      <c r="AK23" s="3" t="n"/>
      <c r="AL23" s="3" t="n"/>
      <c r="AM23" s="3" t="n"/>
      <c r="AN23" s="3" t="n"/>
      <c r="AO23" s="3" t="n"/>
      <c r="AP23" s="3" t="n"/>
      <c r="AQ23" s="3" t="n"/>
      <c r="AR23" s="3" t="n"/>
      <c r="AS23" s="3" t="n"/>
      <c r="AT23" s="3" t="n"/>
    </row>
    <row r="24" ht="21" customHeight="1">
      <c r="A24" s="3" t="n"/>
      <c r="B24" s="3" t="n"/>
      <c r="C24" s="3" t="n"/>
      <c r="D24" s="3" t="n"/>
      <c r="E24" s="3" t="n"/>
      <c r="F24" s="3" t="n"/>
      <c r="G24" s="3" t="n"/>
      <c r="H24" s="3" t="n"/>
      <c r="I24" s="3" t="n"/>
      <c r="J24" s="3" t="n"/>
      <c r="K24" s="3" t="n"/>
      <c r="L24" s="3" t="n"/>
      <c r="M24" s="3" t="n"/>
      <c r="N24" s="3" t="n"/>
      <c r="O24" s="3" t="n"/>
      <c r="P24" s="3" t="n"/>
      <c r="Q24" s="3" t="n"/>
      <c r="R24" s="3" t="n"/>
      <c r="S24" s="3" t="n"/>
      <c r="T24" s="3" t="n"/>
      <c r="U24" s="3" t="n"/>
      <c r="V24" s="3" t="n"/>
      <c r="W24" s="3" t="n"/>
      <c r="X24" s="3" t="n"/>
      <c r="Y24" s="3" t="n"/>
      <c r="Z24" s="3" t="n"/>
      <c r="AA24" s="3" t="n"/>
      <c r="AB24" s="3" t="n"/>
      <c r="AC24" s="3" t="n"/>
      <c r="AD24" s="3" t="n"/>
      <c r="AE24" s="3" t="n"/>
      <c r="AF24" s="3" t="n"/>
      <c r="AG24" s="3" t="n"/>
      <c r="AH24" s="3" t="n"/>
      <c r="AI24" s="3" t="n"/>
      <c r="AJ24" s="3" t="n"/>
      <c r="AK24" s="3" t="n"/>
      <c r="AL24" s="3" t="n"/>
      <c r="AM24" s="3" t="n"/>
      <c r="AN24" s="3" t="n"/>
      <c r="AO24" s="3" t="n"/>
      <c r="AP24" s="3" t="n"/>
      <c r="AQ24" s="3" t="n"/>
      <c r="AR24" s="3" t="n"/>
      <c r="AS24" s="3" t="n"/>
      <c r="AT24" s="3" t="n"/>
    </row>
    <row r="25" ht="21" customHeight="1">
      <c r="A25" s="3" t="n"/>
      <c r="B25" s="3" t="n"/>
      <c r="C25" s="3" t="n"/>
      <c r="D25" s="3" t="n"/>
      <c r="E25" s="3" t="n"/>
      <c r="F25" s="3" t="n"/>
      <c r="G25" s="3" t="n"/>
      <c r="H25" s="3" t="n"/>
      <c r="I25" s="3" t="n"/>
      <c r="J25" s="3" t="n"/>
      <c r="K25" s="3" t="n"/>
      <c r="L25" s="3" t="n"/>
      <c r="M25" s="3" t="n"/>
      <c r="N25" s="3" t="n"/>
      <c r="O25" s="3" t="n"/>
      <c r="P25" s="3" t="n"/>
      <c r="Q25" s="3" t="n"/>
      <c r="R25" s="3" t="n"/>
      <c r="S25" s="3" t="n"/>
      <c r="T25" s="3" t="n"/>
      <c r="U25" s="3" t="n"/>
      <c r="V25" s="3" t="n"/>
      <c r="W25" s="3" t="n"/>
      <c r="X25" s="3" t="n"/>
      <c r="Y25" s="3" t="n"/>
      <c r="Z25" s="3" t="n"/>
      <c r="AA25" s="3" t="n"/>
      <c r="AB25" s="3" t="n"/>
      <c r="AC25" s="3" t="n"/>
      <c r="AD25" s="3" t="n"/>
      <c r="AE25" s="3" t="n"/>
      <c r="AF25" s="3" t="n"/>
      <c r="AG25" s="3" t="n"/>
      <c r="AH25" s="3" t="n"/>
      <c r="AI25" s="3" t="n"/>
      <c r="AJ25" s="3" t="n"/>
      <c r="AK25" s="3" t="n"/>
      <c r="AL25" s="3" t="n"/>
      <c r="AM25" s="3" t="n"/>
      <c r="AN25" s="3" t="n"/>
      <c r="AO25" s="3" t="n"/>
      <c r="AP25" s="3" t="n"/>
      <c r="AQ25" s="3" t="n"/>
      <c r="AR25" s="3" t="n"/>
      <c r="AS25" s="3" t="n"/>
      <c r="AT25" s="3" t="n"/>
    </row>
    <row r="26" ht="21" customHeight="1">
      <c r="A26" s="3" t="n"/>
      <c r="B26" s="3" t="n"/>
      <c r="C26" s="3" t="n"/>
      <c r="D26" s="3" t="n"/>
      <c r="E26" s="3" t="n"/>
      <c r="F26" s="3" t="n"/>
      <c r="G26" s="3" t="n"/>
      <c r="H26" s="3" t="n"/>
      <c r="I26" s="3" t="n"/>
      <c r="J26" s="3" t="n"/>
      <c r="K26" s="3" t="n"/>
      <c r="L26" s="3" t="n"/>
      <c r="M26" s="3" t="n"/>
      <c r="N26" s="3" t="n"/>
      <c r="O26" s="3" t="n"/>
      <c r="P26" s="3" t="n"/>
      <c r="Q26" s="3" t="n"/>
      <c r="R26" s="3" t="n"/>
      <c r="S26" s="3" t="n"/>
      <c r="T26" s="3" t="n"/>
      <c r="U26" s="3" t="n"/>
      <c r="V26" s="3" t="n"/>
      <c r="W26" s="3" t="n"/>
      <c r="X26" s="3" t="n"/>
      <c r="Y26" s="3" t="n"/>
      <c r="Z26" s="3" t="n"/>
      <c r="AA26" s="3" t="n"/>
      <c r="AB26" s="3" t="n"/>
      <c r="AC26" s="3" t="n"/>
      <c r="AD26" s="3" t="n"/>
      <c r="AE26" s="3" t="n"/>
      <c r="AF26" s="3" t="n"/>
      <c r="AG26" s="3" t="n"/>
      <c r="AH26" s="3" t="n"/>
      <c r="AI26" s="3" t="n"/>
      <c r="AJ26" s="3" t="n"/>
      <c r="AK26" s="3" t="n"/>
      <c r="AL26" s="3" t="n"/>
      <c r="AM26" s="3" t="n"/>
      <c r="AN26" s="3" t="n"/>
      <c r="AO26" s="3" t="n"/>
      <c r="AP26" s="3" t="n"/>
      <c r="AQ26" s="3" t="n"/>
      <c r="AR26" s="3" t="n"/>
      <c r="AS26" s="3" t="n"/>
      <c r="AT26" s="3" t="n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>
  <sheetPr codeName="Feuil17">
    <tabColor theme="9" tint="0.3999755851924192"/>
    <outlinePr summaryBelow="1" summaryRight="1"/>
    <pageSetUpPr/>
  </sheetPr>
  <dimension ref="A1:E18"/>
  <sheetViews>
    <sheetView workbookViewId="0">
      <selection activeCell="F20" sqref="F20"/>
    </sheetView>
  </sheetViews>
  <sheetFormatPr baseColWidth="8" defaultColWidth="11" defaultRowHeight="15"/>
  <sheetData>
    <row r="1">
      <c r="A1" s="1" t="inlineStr">
        <is>
          <t>qualité</t>
        </is>
      </c>
    </row>
    <row r="2">
      <c r="A2" s="52" t="inlineStr">
        <is>
          <t>BTR</t>
        </is>
      </c>
      <c r="D2" s="52" t="inlineStr">
        <is>
          <t>BTR</t>
        </is>
      </c>
      <c r="E2" s="52" t="inlineStr">
        <is>
          <t>BT</t>
        </is>
      </c>
    </row>
    <row r="3">
      <c r="A3" s="52" t="inlineStr">
        <is>
          <t>BT</t>
        </is>
      </c>
      <c r="D3" s="52" t="inlineStr">
        <is>
          <t>BT</t>
        </is>
      </c>
      <c r="E3" s="52" t="inlineStr">
        <is>
          <t>TBTTS</t>
        </is>
      </c>
    </row>
    <row r="4">
      <c r="A4" s="52" t="inlineStr">
        <is>
          <t>HTN</t>
        </is>
      </c>
      <c r="D4" s="52" t="inlineStr">
        <is>
          <t>HTN</t>
        </is>
      </c>
    </row>
    <row r="5">
      <c r="A5" s="52" t="inlineStr">
        <is>
          <t>HTM</t>
        </is>
      </c>
      <c r="D5" s="52" t="inlineStr">
        <is>
          <t>HTM</t>
        </is>
      </c>
    </row>
    <row r="6">
      <c r="A6" s="52" t="inlineStr">
        <is>
          <t>MT</t>
        </is>
      </c>
      <c r="D6" s="52" t="inlineStr">
        <is>
          <t>MT</t>
        </is>
      </c>
    </row>
    <row r="7">
      <c r="A7" s="52" t="inlineStr">
        <is>
          <t>TBT</t>
        </is>
      </c>
      <c r="D7" s="52" t="inlineStr">
        <is>
          <t>TBT</t>
        </is>
      </c>
    </row>
    <row r="8">
      <c r="A8" s="52" t="inlineStr">
        <is>
          <t>THT</t>
        </is>
      </c>
      <c r="D8" s="52" t="inlineStr">
        <is>
          <t>THT</t>
        </is>
      </c>
    </row>
    <row r="9">
      <c r="A9" s="52" t="inlineStr">
        <is>
          <t>TBTTS</t>
        </is>
      </c>
    </row>
    <row r="10">
      <c r="A10" s="52" t="inlineStr">
        <is>
          <t>BTLSC</t>
        </is>
      </c>
    </row>
    <row r="11">
      <c r="A11" s="52" t="inlineStr">
        <is>
          <t>BTRLSC</t>
        </is>
      </c>
    </row>
    <row r="12">
      <c r="A12" s="52" t="inlineStr">
        <is>
          <t>MTLSC</t>
        </is>
      </c>
    </row>
    <row r="13">
      <c r="A13" s="52" t="inlineStr">
        <is>
          <t>HTMLSC</t>
        </is>
      </c>
    </row>
    <row r="14">
      <c r="A14" s="52" t="inlineStr">
        <is>
          <t>HTNLSC</t>
        </is>
      </c>
    </row>
    <row r="15">
      <c r="A15" s="52" t="inlineStr">
        <is>
          <t>TBTLSC</t>
        </is>
      </c>
    </row>
    <row r="16">
      <c r="A16" s="52" t="inlineStr">
        <is>
          <t>TBTLTS</t>
        </is>
      </c>
    </row>
    <row r="17">
      <c r="A17" s="52" t="inlineStr">
        <is>
          <t>BTLTS</t>
        </is>
      </c>
    </row>
    <row r="18">
      <c r="A18" s="52" t="inlineStr">
        <is>
          <t>HTMLTS</t>
        </is>
      </c>
    </row>
  </sheetData>
  <dataValidations count="1">
    <dataValidation sqref="D3:D8" showDropDown="0" showInputMessage="1" showErrorMessage="1" allowBlank="0" type="list">
      <formula1>$D$2:$D$8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>
  <sheetPr codeName="Feuil18">
    <tabColor theme="9" tint="0.3999755851924192"/>
    <outlinePr summaryBelow="1" summaryRight="1"/>
    <pageSetUpPr/>
  </sheetPr>
  <dimension ref="A1:B17"/>
  <sheetViews>
    <sheetView workbookViewId="0">
      <selection activeCell="A6" sqref="A6"/>
    </sheetView>
  </sheetViews>
  <sheetFormatPr baseColWidth="8" defaultColWidth="11" defaultRowHeight="15"/>
  <cols>
    <col width="13.25" customWidth="1" min="1" max="1"/>
  </cols>
  <sheetData>
    <row r="1">
      <c r="A1" s="1" t="inlineStr">
        <is>
          <t>secteur</t>
        </is>
      </c>
    </row>
    <row r="2" ht="21" customHeight="1">
      <c r="A2" s="3" t="inlineStr">
        <is>
          <t>SC-PW</t>
        </is>
      </c>
      <c r="B2" s="1" t="n"/>
    </row>
    <row r="3" ht="21" customHeight="1">
      <c r="A3" s="3" t="inlineStr">
        <is>
          <t>SC-BA</t>
        </is>
      </c>
    </row>
    <row r="4" ht="21" customHeight="1">
      <c r="A4" s="3" t="inlineStr">
        <is>
          <t>PW-UB</t>
        </is>
      </c>
    </row>
    <row r="5" ht="21" customHeight="1">
      <c r="A5" s="3" t="inlineStr">
        <is>
          <t>PW-UD</t>
        </is>
      </c>
    </row>
    <row r="6" ht="21" customHeight="1">
      <c r="A6" s="3" t="inlineStr">
        <is>
          <t>H2-H6</t>
        </is>
      </c>
    </row>
    <row r="7" ht="21" customHeight="1">
      <c r="A7" s="3" t="inlineStr">
        <is>
          <t>H4S-H6</t>
        </is>
      </c>
    </row>
    <row r="8" ht="21" customHeight="1">
      <c r="A8" s="3" t="inlineStr">
        <is>
          <t>H4N-H6</t>
        </is>
      </c>
    </row>
    <row r="9" ht="21" customHeight="1">
      <c r="A9" s="3" t="inlineStr">
        <is>
          <t>TS-CRIBLAGE</t>
        </is>
      </c>
    </row>
    <row r="10" ht="21" customHeight="1">
      <c r="A10" s="3" t="inlineStr">
        <is>
          <t>CRIBLAGE-UD</t>
        </is>
      </c>
    </row>
    <row r="11">
      <c r="A11" s="1" t="n"/>
    </row>
    <row r="12">
      <c r="A12" s="1" t="n"/>
    </row>
    <row r="13">
      <c r="A13" s="1" t="n"/>
    </row>
    <row r="14">
      <c r="A14" s="1" t="n"/>
    </row>
    <row r="15">
      <c r="A15" s="1" t="n"/>
    </row>
    <row r="16">
      <c r="A16" s="1" t="n"/>
    </row>
    <row r="17">
      <c r="A17" s="1" t="n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el machi</dc:creator>
  <dcterms:created xmlns:dcterms="http://purl.org/dc/terms/" xmlns:xsi="http://www.w3.org/2001/XMLSchema-instance" xsi:type="dcterms:W3CDTF">2015-05-07T11:49:12Z</dcterms:created>
  <dcterms:modified xmlns:dcterms="http://purl.org/dc/terms/" xmlns:xsi="http://www.w3.org/2001/XMLSchema-instance" xsi:type="dcterms:W3CDTF">2023-08-08T08:50:55Z</dcterms:modified>
  <cp:lastModifiedBy>Yasser Mimouni</cp:lastModifiedBy>
  <cp:lastPrinted>2021-08-28T07:52:18Z</cp:lastPrinted>
</cp:coreProperties>
</file>