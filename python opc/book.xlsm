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er Mimouni\Desktop\pfa me\python opc\"/>
    </mc:Choice>
  </mc:AlternateContent>
  <bookViews>
    <workbookView xWindow="-120" yWindow="-120" windowWidth="20730" windowHeight="11160" tabRatio="851" activeTab="5"/>
  </bookViews>
  <sheets>
    <sheet name="RPT1" sheetId="33" r:id="rId1"/>
    <sheet name="RPT2 " sheetId="49" r:id="rId2"/>
    <sheet name="RP3 " sheetId="50" r:id="rId3"/>
    <sheet name="RP5 " sheetId="51" r:id="rId4"/>
    <sheet name="RPTS " sheetId="52" r:id="rId5"/>
    <sheet name="CRIBLAGE " sheetId="53" r:id="rId6"/>
    <sheet name="Arrêt RPT1" sheetId="10" r:id="rId7"/>
    <sheet name="Arrêt RPT2" sheetId="40" r:id="rId8"/>
    <sheet name="Arrêt RP3" sheetId="41" r:id="rId9"/>
    <sheet name="Arrêt RP5" sheetId="42" r:id="rId10"/>
    <sheet name="Arrêt RPTS" sheetId="43" r:id="rId11"/>
    <sheet name="Arrêt CRIBLAGE" sheetId="44" r:id="rId12"/>
    <sheet name="organges" sheetId="62" state="hidden" r:id="rId13"/>
    <sheet name="arrêts" sheetId="61" r:id="rId14"/>
    <sheet name="RPSC1" sheetId="54" state="hidden" r:id="rId15"/>
    <sheet name="RPSC2" sheetId="55" state="hidden" r:id="rId16"/>
    <sheet name="RP3" sheetId="56" state="hidden" r:id="rId17"/>
    <sheet name="RP5" sheetId="57" state="hidden" r:id="rId18"/>
    <sheet name="RPTS" sheetId="58" state="hidden" r:id="rId19"/>
    <sheet name="CRIBLAGE" sheetId="59" state="hidden" r:id="rId20"/>
    <sheet name="Parametre" sheetId="17" state="hidden" r:id="rId21"/>
    <sheet name="base" sheetId="4" state="hidden" r:id="rId22"/>
    <sheet name="QUALITE" sheetId="27" state="hidden" r:id="rId23"/>
    <sheet name="destination" sheetId="29" state="hidden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xlnm._FilterDatabase" localSheetId="5" hidden="1">'CRIBLAGE '!$B$13:$R$40</definedName>
    <definedName name="_xlnm._FilterDatabase" localSheetId="2" hidden="1">'RP3 '!$B$13:$R$40</definedName>
    <definedName name="_xlnm._FilterDatabase" localSheetId="3" hidden="1">'RP5 '!$B$13:$R$42</definedName>
    <definedName name="_xlnm._FilterDatabase" localSheetId="14" hidden="1">RPSC1!#REF!</definedName>
    <definedName name="_xlnm._FilterDatabase" localSheetId="0" hidden="1">'RPT1'!$B$13:$R$46</definedName>
    <definedName name="_xlnm._FilterDatabase" localSheetId="1" hidden="1">'RPT2 '!$B$13:$R$50</definedName>
    <definedName name="_xlnm._FilterDatabase" localSheetId="4" hidden="1">'RPTS '!$B$13:$R$40</definedName>
    <definedName name="AXE_BENI_AMIR">organges!$J$2:$J$19</definedName>
    <definedName name="AXE_CRIBLAGE">organges!$H$2:$H$35</definedName>
    <definedName name="AXE_Laverie_UD">organges!$F$2:$F$40</definedName>
    <definedName name="AXE_RP3">organges!$C$2:$C$20</definedName>
    <definedName name="AXE_RP5">organges!$D$2:$D$20</definedName>
    <definedName name="AXE_UBI">organges!$E$2:$E$15</definedName>
    <definedName name="bascules">Parametre!$C$3:$C$5</definedName>
    <definedName name="combin_ad">[1]Base!$M$5:$M$200</definedName>
    <definedName name="déstinataire">Parametre!$B$3:$B$10</definedName>
    <definedName name="E_LAV">arrêts!$H$4:$H$201</definedName>
    <definedName name="E_MAN">arrêts!$B$4:$B$200</definedName>
    <definedName name="Equipements_ad">[1]Base!$T$22:$T$27</definedName>
    <definedName name="heure" localSheetId="20">Parametre!#REF!</definedName>
    <definedName name="Heure">Parametre!#REF!</definedName>
    <definedName name="M_BDM">arrêts!$G$4:$G$10</definedName>
    <definedName name="M_ELE">arrêts!$C$5:$C$202</definedName>
    <definedName name="M_ELEC">arrêts!$C$5:$C$202</definedName>
    <definedName name="M_INS">arrêts!$E$4:$E$201</definedName>
    <definedName name="M_MEC">arrêts!$D$4:$D$200</definedName>
    <definedName name="M_REG">arrêts!$F$4:$F$50</definedName>
    <definedName name="Nature_d_arrêt_Ad">[1]Base!$L$4</definedName>
    <definedName name="OLE_LINK1" localSheetId="11">'Arrêt CRIBLAGE'!#REF!</definedName>
    <definedName name="OLE_LINK1" localSheetId="8">'Arrêt RP3'!#REF!</definedName>
    <definedName name="OLE_LINK1" localSheetId="9">'Arrêt RP5'!#REF!</definedName>
    <definedName name="OLE_LINK1" localSheetId="6">'Arrêt RPT1'!#REF!</definedName>
    <definedName name="OLE_LINK1" localSheetId="7">'Arrêt RPT2'!#REF!</definedName>
    <definedName name="OLE_LINK1" localSheetId="10">'Arrêt RPTS'!#REF!</definedName>
    <definedName name="OLE_LINK1" localSheetId="5">'CRIBLAGE '!#REF!</definedName>
    <definedName name="OLE_LINK1" localSheetId="2">'RP3 '!#REF!</definedName>
    <definedName name="OLE_LINK1" localSheetId="3">'RP5 '!#REF!</definedName>
    <definedName name="OLE_LINK1" localSheetId="0">'RPT1'!#REF!</definedName>
    <definedName name="OLE_LINK1" localSheetId="1">'RPT2 '!#REF!</definedName>
    <definedName name="OLE_LINK1" localSheetId="4">'RPTS '!#REF!</definedName>
    <definedName name="_xlnm.Print_Area" localSheetId="11">'Arrêt CRIBLAGE'!$A$1:$I$62</definedName>
    <definedName name="_xlnm.Print_Area" localSheetId="8">'Arrêt RP3'!$A$1:$I$60</definedName>
    <definedName name="_xlnm.Print_Area" localSheetId="9">'Arrêt RP5'!$A$1:$I$61</definedName>
    <definedName name="_xlnm.Print_Area" localSheetId="6">'Arrêt RPT1'!$A$1:$I$61</definedName>
    <definedName name="_xlnm.Print_Area" localSheetId="7">'Arrêt RPT2'!$A$1:$I$61</definedName>
    <definedName name="_xlnm.Print_Area" localSheetId="10">'Arrêt RPTS'!$A$1:$I$60</definedName>
    <definedName name="_xlnm.Print_Area" localSheetId="5">'CRIBLAGE '!$A$8:$R$56</definedName>
    <definedName name="_xlnm.Print_Area" localSheetId="2">'RP3 '!$A$8:$R$58</definedName>
    <definedName name="_xlnm.Print_Area" localSheetId="3">'RP5 '!$A$8:$R$60</definedName>
    <definedName name="_xlnm.Print_Area" localSheetId="0">'RPT1'!$A$8:$R$66</definedName>
    <definedName name="_xlnm.Print_Area" localSheetId="1">'RPT2 '!$A$8:$R$71</definedName>
    <definedName name="_xlnm.Print_Area" localSheetId="4">'RPTS '!$A$8:$R$56</definedName>
    <definedName name="RPSC1_LIAISON">organges!$B$2:$B$25</definedName>
    <definedName name="RPSC2_LIAISON">organges!$I$2:$I$29</definedName>
    <definedName name="RPTS_LIAISON">organges!$G$2:$G$15</definedName>
    <definedName name="ser">#REF!</definedName>
    <definedName name="SERVICE">arrêts!$B$3:$G$3</definedName>
    <definedName name="Services">[1]Base!$B$22:$B$30</definedName>
    <definedName name="Type_d_arrêt">[1]Base!$A$18:$A$19</definedName>
    <definedName name="X_EXT">arrêts!$K$4:$K$100</definedName>
    <definedName name="x_LBA">arrêts!$M$4:$M$100</definedName>
    <definedName name="X_LME">arrêts!$L$4:$L$10</definedName>
    <definedName name="X_UBI">arrêts!$J$4:$J$100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3" i="40" l="1"/>
  <c r="G24" i="42" l="1"/>
  <c r="K19" i="50"/>
  <c r="G23" i="42"/>
  <c r="M22" i="49" l="1"/>
  <c r="M23" i="49"/>
  <c r="M24" i="49"/>
  <c r="M25" i="49"/>
  <c r="M26" i="49"/>
  <c r="G22" i="40"/>
  <c r="O17" i="33"/>
  <c r="M21" i="50" l="1"/>
  <c r="K21" i="50"/>
  <c r="O21" i="50" s="1"/>
  <c r="M18" i="53" l="1"/>
  <c r="M19" i="53"/>
  <c r="M20" i="53"/>
  <c r="M21" i="53"/>
  <c r="M22" i="53"/>
  <c r="M23" i="53"/>
  <c r="M24" i="53"/>
  <c r="M25" i="53"/>
  <c r="M26" i="53"/>
  <c r="M27" i="53"/>
  <c r="M28" i="53"/>
  <c r="M29" i="53"/>
  <c r="M30" i="53"/>
  <c r="M31" i="53"/>
  <c r="M20" i="49"/>
  <c r="M21" i="49"/>
  <c r="M40" i="49"/>
  <c r="M41" i="49"/>
  <c r="M42" i="49"/>
  <c r="K40" i="49"/>
  <c r="K41" i="49"/>
  <c r="K42" i="49"/>
  <c r="M26" i="33"/>
  <c r="M27" i="33"/>
  <c r="K26" i="33"/>
  <c r="K27" i="33"/>
  <c r="G27" i="42" l="1"/>
  <c r="G25" i="42"/>
  <c r="K54" i="49"/>
  <c r="K35" i="50"/>
  <c r="K28" i="51"/>
  <c r="G24" i="41"/>
  <c r="G23" i="41"/>
  <c r="K43" i="50"/>
  <c r="M43" i="50"/>
  <c r="K28" i="50"/>
  <c r="G21" i="44" l="1"/>
  <c r="K20" i="49" l="1"/>
  <c r="G19" i="42" l="1"/>
  <c r="K18" i="53" l="1"/>
  <c r="P52" i="49"/>
  <c r="M52" i="49"/>
  <c r="K52" i="49"/>
  <c r="O52" i="49" s="1"/>
  <c r="G18" i="10"/>
  <c r="G18" i="41" l="1"/>
  <c r="Q15" i="49"/>
  <c r="G18" i="42" l="1"/>
  <c r="G19" i="41"/>
  <c r="G20" i="41"/>
  <c r="G21" i="41"/>
  <c r="G22" i="41"/>
  <c r="G25" i="41"/>
  <c r="G26" i="41"/>
  <c r="G27" i="41"/>
  <c r="G18" i="40"/>
  <c r="G19" i="40"/>
  <c r="G20" i="40"/>
  <c r="G21" i="40"/>
  <c r="G23" i="40"/>
  <c r="G24" i="40"/>
  <c r="G25" i="40"/>
  <c r="G26" i="40"/>
  <c r="G27" i="40"/>
  <c r="G28" i="40"/>
  <c r="G19" i="10"/>
  <c r="G20" i="10"/>
  <c r="G21" i="10"/>
  <c r="G22" i="10"/>
  <c r="G23" i="10"/>
  <c r="K28" i="33" l="1"/>
  <c r="K29" i="33"/>
  <c r="K30" i="33"/>
  <c r="K31" i="33"/>
  <c r="K32" i="33"/>
  <c r="K33" i="33"/>
  <c r="K34" i="33"/>
  <c r="K24" i="33"/>
  <c r="O24" i="33" s="1"/>
  <c r="K25" i="33"/>
  <c r="K23" i="33"/>
  <c r="I16" i="41"/>
  <c r="G24" i="10" l="1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K49" i="33" l="1"/>
  <c r="K50" i="33"/>
  <c r="Q15" i="51" l="1"/>
  <c r="G30" i="42" l="1"/>
  <c r="K27" i="50"/>
  <c r="K29" i="50"/>
  <c r="K30" i="50"/>
  <c r="M30" i="51" l="1"/>
  <c r="M31" i="51"/>
  <c r="M32" i="51"/>
  <c r="M33" i="51"/>
  <c r="K30" i="51"/>
  <c r="K31" i="51"/>
  <c r="K32" i="51"/>
  <c r="K33" i="51"/>
  <c r="A1" i="51" l="1"/>
  <c r="M23" i="51" l="1"/>
  <c r="K23" i="51"/>
  <c r="O23" i="51" l="1"/>
  <c r="K31" i="52" l="1"/>
  <c r="K29" i="52"/>
  <c r="K28" i="52"/>
  <c r="K34" i="51"/>
  <c r="M33" i="50" l="1"/>
  <c r="K25" i="49"/>
  <c r="O25" i="49" s="1"/>
  <c r="G22" i="44"/>
  <c r="G22" i="42"/>
  <c r="G23" i="43"/>
  <c r="K21" i="52"/>
  <c r="G28" i="41"/>
  <c r="G29" i="41"/>
  <c r="G20" i="42"/>
  <c r="G21" i="42"/>
  <c r="G26" i="42"/>
  <c r="G28" i="42"/>
  <c r="G21" i="43"/>
  <c r="G22" i="43"/>
  <c r="G24" i="43"/>
  <c r="G25" i="43"/>
  <c r="G26" i="43"/>
  <c r="G27" i="43"/>
  <c r="G28" i="43"/>
  <c r="G29" i="43"/>
  <c r="G23" i="44"/>
  <c r="G24" i="44"/>
  <c r="G25" i="44"/>
  <c r="G29" i="40"/>
  <c r="K18" i="51"/>
  <c r="J49" i="52" l="1"/>
  <c r="J52" i="50" l="1"/>
  <c r="J53" i="50"/>
  <c r="J54" i="50"/>
  <c r="J55" i="50"/>
  <c r="J56" i="50"/>
  <c r="J57" i="50"/>
  <c r="E52" i="50"/>
  <c r="G52" i="50" s="1"/>
  <c r="E53" i="50"/>
  <c r="G53" i="50" s="1"/>
  <c r="E54" i="50"/>
  <c r="G54" i="50" s="1"/>
  <c r="E55" i="50"/>
  <c r="G55" i="50" s="1"/>
  <c r="E56" i="50"/>
  <c r="G56" i="50" s="1"/>
  <c r="E57" i="50"/>
  <c r="G57" i="50" s="1"/>
  <c r="K54" i="50" l="1"/>
  <c r="K57" i="50"/>
  <c r="K53" i="50"/>
  <c r="K56" i="50"/>
  <c r="K52" i="50"/>
  <c r="K55" i="50"/>
  <c r="G29" i="42" l="1"/>
  <c r="G31" i="42"/>
  <c r="O17" i="53"/>
  <c r="O17" i="52"/>
  <c r="O18" i="53" l="1"/>
  <c r="K19" i="53"/>
  <c r="O19" i="53" s="1"/>
  <c r="K20" i="53"/>
  <c r="K21" i="53"/>
  <c r="O21" i="53" s="1"/>
  <c r="K22" i="53"/>
  <c r="O22" i="53" s="1"/>
  <c r="K23" i="53"/>
  <c r="O23" i="53" s="1"/>
  <c r="K24" i="53"/>
  <c r="K25" i="53"/>
  <c r="K26" i="53"/>
  <c r="M18" i="49"/>
  <c r="M27" i="49"/>
  <c r="M28" i="49"/>
  <c r="K18" i="49"/>
  <c r="K21" i="49"/>
  <c r="O21" i="49" s="1"/>
  <c r="K22" i="49"/>
  <c r="O22" i="49" s="1"/>
  <c r="K23" i="49"/>
  <c r="O23" i="49" s="1"/>
  <c r="K24" i="49"/>
  <c r="O24" i="49" s="1"/>
  <c r="K26" i="49"/>
  <c r="O26" i="49" s="1"/>
  <c r="K27" i="49"/>
  <c r="K28" i="49"/>
  <c r="O28" i="49" s="1"/>
  <c r="K18" i="33"/>
  <c r="M18" i="33"/>
  <c r="O19" i="33"/>
  <c r="K20" i="33"/>
  <c r="M20" i="33"/>
  <c r="K21" i="33"/>
  <c r="M21" i="33"/>
  <c r="K22" i="33"/>
  <c r="M22" i="33"/>
  <c r="M23" i="33"/>
  <c r="O23" i="33" s="1"/>
  <c r="M24" i="33"/>
  <c r="M25" i="33"/>
  <c r="M28" i="33"/>
  <c r="O28" i="33" s="1"/>
  <c r="M29" i="33"/>
  <c r="M30" i="33"/>
  <c r="O30" i="33" s="1"/>
  <c r="M31" i="33"/>
  <c r="M32" i="33"/>
  <c r="M33" i="33"/>
  <c r="O27" i="49" l="1"/>
  <c r="O33" i="33"/>
  <c r="O32" i="33"/>
  <c r="O31" i="33"/>
  <c r="O26" i="33"/>
  <c r="O18" i="49"/>
  <c r="O29" i="33"/>
  <c r="O26" i="53"/>
  <c r="O25" i="53"/>
  <c r="O27" i="33"/>
  <c r="O24" i="53"/>
  <c r="O25" i="33"/>
  <c r="O22" i="33"/>
  <c r="O20" i="53"/>
  <c r="O20" i="49"/>
  <c r="O19" i="49"/>
  <c r="O21" i="33"/>
  <c r="O18" i="33"/>
  <c r="O20" i="33"/>
  <c r="J50" i="53" l="1"/>
  <c r="J51" i="53"/>
  <c r="M32" i="53"/>
  <c r="M33" i="53"/>
  <c r="M34" i="53"/>
  <c r="M35" i="53"/>
  <c r="M36" i="53"/>
  <c r="M37" i="53"/>
  <c r="M38" i="53"/>
  <c r="M39" i="53"/>
  <c r="M40" i="53"/>
  <c r="M41" i="53"/>
  <c r="M42" i="53"/>
  <c r="M43" i="53"/>
  <c r="M44" i="53"/>
  <c r="M45" i="53"/>
  <c r="M29" i="52"/>
  <c r="M30" i="52"/>
  <c r="M31" i="52"/>
  <c r="M32" i="52"/>
  <c r="M33" i="52"/>
  <c r="M34" i="52"/>
  <c r="M35" i="52"/>
  <c r="M36" i="52"/>
  <c r="M37" i="52"/>
  <c r="M38" i="52"/>
  <c r="M39" i="52"/>
  <c r="M40" i="52"/>
  <c r="M41" i="52"/>
  <c r="M42" i="52"/>
  <c r="M20" i="52"/>
  <c r="M21" i="52"/>
  <c r="M22" i="52"/>
  <c r="M23" i="52"/>
  <c r="M24" i="52"/>
  <c r="M25" i="52"/>
  <c r="M26" i="52"/>
  <c r="M27" i="52"/>
  <c r="M28" i="52"/>
  <c r="M29" i="49"/>
  <c r="M30" i="49"/>
  <c r="M31" i="49"/>
  <c r="M32" i="49"/>
  <c r="M33" i="49"/>
  <c r="M34" i="49"/>
  <c r="M35" i="49"/>
  <c r="M36" i="49"/>
  <c r="M37" i="49"/>
  <c r="M38" i="49"/>
  <c r="M39" i="49"/>
  <c r="M43" i="49"/>
  <c r="M44" i="49"/>
  <c r="M45" i="49"/>
  <c r="M46" i="49"/>
  <c r="M47" i="49"/>
  <c r="M48" i="49"/>
  <c r="M49" i="49"/>
  <c r="M50" i="49"/>
  <c r="M20" i="50"/>
  <c r="M22" i="50"/>
  <c r="M23" i="50"/>
  <c r="M24" i="50"/>
  <c r="M25" i="50"/>
  <c r="M26" i="50"/>
  <c r="M27" i="50"/>
  <c r="M28" i="50"/>
  <c r="M29" i="50"/>
  <c r="M30" i="50"/>
  <c r="M31" i="50"/>
  <c r="M32" i="50"/>
  <c r="M34" i="50"/>
  <c r="M35" i="50"/>
  <c r="M36" i="50"/>
  <c r="M37" i="50"/>
  <c r="M38" i="50"/>
  <c r="M39" i="50"/>
  <c r="M40" i="50"/>
  <c r="M41" i="50"/>
  <c r="M42" i="50"/>
  <c r="M44" i="50"/>
  <c r="M45" i="50"/>
  <c r="M46" i="50"/>
  <c r="M20" i="51"/>
  <c r="M21" i="51"/>
  <c r="M22" i="51"/>
  <c r="M24" i="51"/>
  <c r="M25" i="51"/>
  <c r="M26" i="51"/>
  <c r="M27" i="51"/>
  <c r="M28" i="51"/>
  <c r="M29" i="51"/>
  <c r="M34" i="51"/>
  <c r="M35" i="51"/>
  <c r="M36" i="51"/>
  <c r="M37" i="51"/>
  <c r="M38" i="51"/>
  <c r="M39" i="51"/>
  <c r="M40" i="51"/>
  <c r="M41" i="51"/>
  <c r="M42" i="51"/>
  <c r="M43" i="51"/>
  <c r="K20" i="51"/>
  <c r="K21" i="51"/>
  <c r="K22" i="51"/>
  <c r="K24" i="51"/>
  <c r="K25" i="51"/>
  <c r="K26" i="51"/>
  <c r="K27" i="51"/>
  <c r="K29" i="51"/>
  <c r="K35" i="51"/>
  <c r="K36" i="51"/>
  <c r="K37" i="51"/>
  <c r="K38" i="51"/>
  <c r="K39" i="51"/>
  <c r="K40" i="51"/>
  <c r="K41" i="51"/>
  <c r="K42" i="51"/>
  <c r="K43" i="51"/>
  <c r="K44" i="51"/>
  <c r="K45" i="51"/>
  <c r="K46" i="51"/>
  <c r="K47" i="51"/>
  <c r="K48" i="51"/>
  <c r="O25" i="51" l="1"/>
  <c r="O24" i="51"/>
  <c r="O27" i="51"/>
  <c r="O26" i="51"/>
  <c r="O30" i="51"/>
  <c r="O29" i="51"/>
  <c r="O28" i="51"/>
  <c r="J49" i="53"/>
  <c r="E50" i="53"/>
  <c r="E51" i="53"/>
  <c r="E52" i="53"/>
  <c r="E53" i="53"/>
  <c r="E54" i="53"/>
  <c r="E55" i="53"/>
  <c r="K34" i="49"/>
  <c r="K33" i="49"/>
  <c r="K32" i="49"/>
  <c r="K31" i="49"/>
  <c r="O17" i="50" l="1"/>
  <c r="K20" i="50" l="1"/>
  <c r="I16" i="40" l="1"/>
  <c r="G47" i="40"/>
  <c r="G46" i="40"/>
  <c r="G45" i="40"/>
  <c r="G44" i="40"/>
  <c r="G43" i="40"/>
  <c r="G42" i="40"/>
  <c r="G41" i="40"/>
  <c r="G40" i="40"/>
  <c r="G39" i="40"/>
  <c r="G38" i="40"/>
  <c r="G37" i="40"/>
  <c r="G36" i="40"/>
  <c r="G35" i="40"/>
  <c r="G34" i="40"/>
  <c r="G32" i="40"/>
  <c r="G31" i="40"/>
  <c r="G30" i="40"/>
  <c r="G46" i="10"/>
  <c r="K22" i="52" l="1"/>
  <c r="O22" i="52" s="1"/>
  <c r="M45" i="51" l="1"/>
  <c r="G26" i="44" l="1"/>
  <c r="K52" i="33" l="1"/>
  <c r="O52" i="33" s="1"/>
  <c r="M52" i="33"/>
  <c r="G30" i="43"/>
  <c r="G31" i="43"/>
  <c r="G32" i="43"/>
  <c r="G33" i="43"/>
  <c r="G34" i="43"/>
  <c r="G35" i="43"/>
  <c r="G36" i="43"/>
  <c r="G37" i="43"/>
  <c r="G38" i="43"/>
  <c r="G27" i="44"/>
  <c r="G28" i="44"/>
  <c r="G29" i="44"/>
  <c r="G30" i="44"/>
  <c r="G31" i="44"/>
  <c r="G32" i="44"/>
  <c r="G33" i="44"/>
  <c r="G32" i="42" l="1"/>
  <c r="G33" i="42"/>
  <c r="G34" i="42"/>
  <c r="G35" i="42"/>
  <c r="G36" i="42"/>
  <c r="G37" i="42"/>
  <c r="G38" i="42"/>
  <c r="G39" i="42"/>
  <c r="G40" i="42"/>
  <c r="G41" i="42"/>
  <c r="G42" i="42"/>
  <c r="G30" i="41" l="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K36" i="33" l="1"/>
  <c r="K35" i="33" l="1"/>
  <c r="K39" i="50"/>
  <c r="M34" i="33" l="1"/>
  <c r="O34" i="33" s="1"/>
  <c r="M35" i="33"/>
  <c r="O35" i="33" s="1"/>
  <c r="M36" i="33"/>
  <c r="O36" i="33" s="1"/>
  <c r="M37" i="33"/>
  <c r="K37" i="33"/>
  <c r="M18" i="50"/>
  <c r="J50" i="50" s="1"/>
  <c r="M19" i="50"/>
  <c r="J51" i="50" s="1"/>
  <c r="K18" i="50"/>
  <c r="K22" i="50"/>
  <c r="K23" i="50"/>
  <c r="K24" i="50"/>
  <c r="K25" i="50"/>
  <c r="O25" i="50" s="1"/>
  <c r="K26" i="50"/>
  <c r="O28" i="50"/>
  <c r="K31" i="50"/>
  <c r="M18" i="51"/>
  <c r="M19" i="51"/>
  <c r="O22" i="51"/>
  <c r="K19" i="51"/>
  <c r="O38" i="51"/>
  <c r="P69" i="49"/>
  <c r="J58" i="50" l="1"/>
  <c r="O37" i="33"/>
  <c r="O20" i="51"/>
  <c r="O39" i="51"/>
  <c r="O36" i="51"/>
  <c r="O31" i="51"/>
  <c r="O37" i="51"/>
  <c r="O30" i="50"/>
  <c r="O29" i="50"/>
  <c r="O27" i="50"/>
  <c r="O26" i="50"/>
  <c r="O22" i="50"/>
  <c r="O19" i="50"/>
  <c r="O18" i="50"/>
  <c r="O21" i="51"/>
  <c r="O19" i="51"/>
  <c r="O18" i="51"/>
  <c r="O40" i="51"/>
  <c r="O35" i="51"/>
  <c r="O34" i="51"/>
  <c r="O33" i="51"/>
  <c r="O32" i="51"/>
  <c r="O24" i="50"/>
  <c r="O23" i="50"/>
  <c r="O20" i="50"/>
  <c r="K38" i="49"/>
  <c r="K36" i="49"/>
  <c r="O36" i="49" s="1"/>
  <c r="K37" i="49"/>
  <c r="M53" i="33" l="1"/>
  <c r="K47" i="49" l="1"/>
  <c r="K48" i="49"/>
  <c r="K49" i="49"/>
  <c r="O49" i="49" s="1"/>
  <c r="K46" i="49"/>
  <c r="O46" i="49" s="1"/>
  <c r="K50" i="49"/>
  <c r="K45" i="49"/>
  <c r="K43" i="49"/>
  <c r="O43" i="49" s="1"/>
  <c r="K44" i="49"/>
  <c r="O48" i="33"/>
  <c r="G47" i="10"/>
  <c r="G44" i="41"/>
  <c r="G45" i="41"/>
  <c r="G46" i="41"/>
  <c r="G43" i="42"/>
  <c r="G44" i="42"/>
  <c r="G45" i="42"/>
  <c r="G46" i="42"/>
  <c r="G47" i="42"/>
  <c r="G39" i="43"/>
  <c r="G40" i="43"/>
  <c r="G41" i="43"/>
  <c r="G42" i="43"/>
  <c r="G43" i="43"/>
  <c r="G44" i="43"/>
  <c r="G45" i="43"/>
  <c r="G46" i="43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O45" i="49" l="1"/>
  <c r="O44" i="49"/>
  <c r="O42" i="49"/>
  <c r="K27" i="52" l="1"/>
  <c r="K40" i="33" l="1"/>
  <c r="K32" i="50" l="1"/>
  <c r="K33" i="50"/>
  <c r="E51" i="50" s="1"/>
  <c r="K34" i="50"/>
  <c r="K36" i="50"/>
  <c r="K37" i="50"/>
  <c r="K38" i="50"/>
  <c r="K40" i="50"/>
  <c r="K41" i="50"/>
  <c r="K42" i="50"/>
  <c r="K44" i="50"/>
  <c r="K45" i="50"/>
  <c r="K46" i="50"/>
  <c r="E50" i="50" l="1"/>
  <c r="K50" i="50" s="1"/>
  <c r="G51" i="50"/>
  <c r="K51" i="50"/>
  <c r="K53" i="49"/>
  <c r="M53" i="49"/>
  <c r="G50" i="50" l="1"/>
  <c r="G58" i="50" s="1"/>
  <c r="E58" i="50"/>
  <c r="K58" i="50" s="1"/>
  <c r="K43" i="33"/>
  <c r="O43" i="33" s="1"/>
  <c r="K44" i="33"/>
  <c r="O44" i="33" s="1"/>
  <c r="K45" i="33"/>
  <c r="O45" i="33" s="1"/>
  <c r="K46" i="33"/>
  <c r="O46" i="33" s="1"/>
  <c r="M43" i="33" l="1"/>
  <c r="M44" i="33"/>
  <c r="M45" i="33"/>
  <c r="M46" i="33"/>
  <c r="M38" i="33" l="1"/>
  <c r="J58" i="33" s="1"/>
  <c r="M39" i="33"/>
  <c r="M40" i="33"/>
  <c r="O40" i="33" s="1"/>
  <c r="M41" i="33"/>
  <c r="M42" i="33"/>
  <c r="M47" i="33"/>
  <c r="M49" i="33"/>
  <c r="M50" i="33"/>
  <c r="P65" i="33" s="1"/>
  <c r="Q69" i="49" s="1"/>
  <c r="M51" i="33"/>
  <c r="M54" i="33"/>
  <c r="M55" i="33"/>
  <c r="K38" i="33"/>
  <c r="E59" i="33" s="1"/>
  <c r="G59" i="33" s="1"/>
  <c r="K39" i="33"/>
  <c r="K41" i="33"/>
  <c r="O41" i="33" s="1"/>
  <c r="K42" i="33"/>
  <c r="O42" i="33" s="1"/>
  <c r="K47" i="33"/>
  <c r="O47" i="33" s="1"/>
  <c r="K51" i="33"/>
  <c r="O51" i="33" s="1"/>
  <c r="K53" i="33"/>
  <c r="O53" i="33" s="1"/>
  <c r="K54" i="33"/>
  <c r="O54" i="33" s="1"/>
  <c r="K29" i="49"/>
  <c r="K30" i="49"/>
  <c r="K35" i="49"/>
  <c r="K39" i="49"/>
  <c r="O51" i="49"/>
  <c r="O53" i="49"/>
  <c r="K55" i="49"/>
  <c r="O55" i="49" s="1"/>
  <c r="K56" i="49"/>
  <c r="K57" i="49"/>
  <c r="O57" i="49" s="1"/>
  <c r="K58" i="49"/>
  <c r="O58" i="49" s="1"/>
  <c r="K59" i="49"/>
  <c r="O59" i="49" s="1"/>
  <c r="K60" i="49"/>
  <c r="O60" i="49" s="1"/>
  <c r="M54" i="49"/>
  <c r="M55" i="49"/>
  <c r="M56" i="49"/>
  <c r="M57" i="49"/>
  <c r="M58" i="49"/>
  <c r="M59" i="49"/>
  <c r="M60" i="49"/>
  <c r="P29" i="49"/>
  <c r="P30" i="49"/>
  <c r="P32" i="49"/>
  <c r="P35" i="49"/>
  <c r="P36" i="49"/>
  <c r="P37" i="49"/>
  <c r="P38" i="49"/>
  <c r="P39" i="49"/>
  <c r="P40" i="49"/>
  <c r="P41" i="49"/>
  <c r="P50" i="49"/>
  <c r="O39" i="33" l="1"/>
  <c r="O56" i="49"/>
  <c r="J59" i="33"/>
  <c r="P64" i="33"/>
  <c r="P66" i="33" s="1"/>
  <c r="O38" i="33"/>
  <c r="P68" i="49"/>
  <c r="E58" i="33"/>
  <c r="G58" i="33" s="1"/>
  <c r="O38" i="49"/>
  <c r="O33" i="49"/>
  <c r="O50" i="33"/>
  <c r="O49" i="33"/>
  <c r="O54" i="49"/>
  <c r="O32" i="49"/>
  <c r="O29" i="49"/>
  <c r="O50" i="49"/>
  <c r="O41" i="49"/>
  <c r="O40" i="49"/>
  <c r="O39" i="49"/>
  <c r="O37" i="49"/>
  <c r="O35" i="49"/>
  <c r="O34" i="49"/>
  <c r="O31" i="49"/>
  <c r="O30" i="49"/>
  <c r="O37" i="50"/>
  <c r="Q68" i="49" l="1"/>
  <c r="Q70" i="49" s="1"/>
  <c r="P70" i="49"/>
  <c r="Q15" i="53"/>
  <c r="Q15" i="52" l="1"/>
  <c r="P51" i="49"/>
  <c r="P53" i="49"/>
  <c r="P59" i="49"/>
  <c r="P60" i="49"/>
  <c r="P54" i="33" l="1"/>
  <c r="P55" i="33"/>
  <c r="D57" i="44" l="1"/>
  <c r="E57" i="44"/>
  <c r="F57" i="44"/>
  <c r="G57" i="44"/>
  <c r="C57" i="44"/>
  <c r="D51" i="44"/>
  <c r="E51" i="44"/>
  <c r="F51" i="44"/>
  <c r="G51" i="44"/>
  <c r="H51" i="44"/>
  <c r="C51" i="44"/>
  <c r="D57" i="43"/>
  <c r="E57" i="43"/>
  <c r="F57" i="43"/>
  <c r="G57" i="43"/>
  <c r="C57" i="43"/>
  <c r="D51" i="43"/>
  <c r="E51" i="43"/>
  <c r="F51" i="43"/>
  <c r="G51" i="43"/>
  <c r="H51" i="43"/>
  <c r="C51" i="43"/>
  <c r="D58" i="42"/>
  <c r="E58" i="42"/>
  <c r="F58" i="42"/>
  <c r="G58" i="42"/>
  <c r="C58" i="42"/>
  <c r="D52" i="42"/>
  <c r="E52" i="42"/>
  <c r="F52" i="42"/>
  <c r="G52" i="42"/>
  <c r="H52" i="42"/>
  <c r="C52" i="42"/>
  <c r="D57" i="41"/>
  <c r="E57" i="41"/>
  <c r="F57" i="41"/>
  <c r="G57" i="41"/>
  <c r="C57" i="41"/>
  <c r="D51" i="41"/>
  <c r="E51" i="41"/>
  <c r="F51" i="41"/>
  <c r="G51" i="41"/>
  <c r="H51" i="41"/>
  <c r="C51" i="41"/>
  <c r="D58" i="40"/>
  <c r="E58" i="40"/>
  <c r="F58" i="40"/>
  <c r="G58" i="40"/>
  <c r="C58" i="40"/>
  <c r="D52" i="40"/>
  <c r="E52" i="40"/>
  <c r="F52" i="40"/>
  <c r="G52" i="40"/>
  <c r="H52" i="40"/>
  <c r="C52" i="40"/>
  <c r="I16" i="44" l="1"/>
  <c r="D58" i="10" l="1"/>
  <c r="E58" i="10"/>
  <c r="F58" i="10"/>
  <c r="G58" i="10"/>
  <c r="C58" i="10"/>
  <c r="D52" i="10"/>
  <c r="E52" i="10"/>
  <c r="F52" i="10"/>
  <c r="G52" i="10"/>
  <c r="H52" i="10"/>
  <c r="C52" i="10"/>
  <c r="I16" i="42" l="1"/>
  <c r="C56" i="44" l="1"/>
  <c r="C56" i="43"/>
  <c r="C57" i="42"/>
  <c r="M46" i="53"/>
  <c r="M19" i="52"/>
  <c r="M43" i="52"/>
  <c r="M44" i="52"/>
  <c r="M45" i="52"/>
  <c r="M46" i="52"/>
  <c r="M18" i="52"/>
  <c r="M49" i="51"/>
  <c r="M48" i="51"/>
  <c r="M47" i="51"/>
  <c r="M46" i="51"/>
  <c r="M44" i="51"/>
  <c r="O35" i="50"/>
  <c r="O38" i="50"/>
  <c r="O39" i="50"/>
  <c r="O40" i="50"/>
  <c r="O42" i="50"/>
  <c r="O43" i="50"/>
  <c r="M47" i="50"/>
  <c r="K55" i="33"/>
  <c r="O55" i="33" s="1"/>
  <c r="O47" i="51"/>
  <c r="K49" i="51"/>
  <c r="O49" i="51" s="1"/>
  <c r="O45" i="50"/>
  <c r="O46" i="50"/>
  <c r="O47" i="50"/>
  <c r="O46" i="51" l="1"/>
  <c r="O45" i="51"/>
  <c r="O48" i="51"/>
  <c r="O42" i="51"/>
  <c r="O44" i="51"/>
  <c r="O41" i="51"/>
  <c r="O44" i="50"/>
  <c r="O41" i="50"/>
  <c r="O36" i="50"/>
  <c r="O34" i="50"/>
  <c r="O33" i="50"/>
  <c r="O32" i="50"/>
  <c r="O31" i="50"/>
  <c r="O43" i="51"/>
  <c r="E72" i="33"/>
  <c r="E83" i="49"/>
  <c r="H51" i="40" l="1"/>
  <c r="C51" i="40"/>
  <c r="D51" i="40"/>
  <c r="E51" i="40"/>
  <c r="F51" i="40"/>
  <c r="G51" i="40"/>
  <c r="E54" i="51"/>
  <c r="K19" i="52" l="1"/>
  <c r="O19" i="52" s="1"/>
  <c r="K20" i="52"/>
  <c r="O20" i="52" s="1"/>
  <c r="O21" i="52"/>
  <c r="K23" i="52"/>
  <c r="O23" i="52" s="1"/>
  <c r="K24" i="52"/>
  <c r="O24" i="52" s="1"/>
  <c r="K25" i="52"/>
  <c r="O25" i="52" s="1"/>
  <c r="K26" i="52"/>
  <c r="O26" i="52" s="1"/>
  <c r="O27" i="52"/>
  <c r="O28" i="52"/>
  <c r="O29" i="52"/>
  <c r="K30" i="52"/>
  <c r="O30" i="52" s="1"/>
  <c r="O31" i="52"/>
  <c r="K32" i="52"/>
  <c r="O32" i="52" s="1"/>
  <c r="K33" i="52"/>
  <c r="O33" i="52" s="1"/>
  <c r="K34" i="52"/>
  <c r="O34" i="52" s="1"/>
  <c r="K35" i="52"/>
  <c r="O35" i="52" s="1"/>
  <c r="K36" i="52"/>
  <c r="O36" i="52" s="1"/>
  <c r="K37" i="52"/>
  <c r="O37" i="52" s="1"/>
  <c r="K38" i="52"/>
  <c r="O38" i="52" s="1"/>
  <c r="K39" i="52"/>
  <c r="O39" i="52" s="1"/>
  <c r="K40" i="52"/>
  <c r="O40" i="52" s="1"/>
  <c r="K41" i="52"/>
  <c r="O41" i="52" s="1"/>
  <c r="K42" i="52"/>
  <c r="O42" i="52" s="1"/>
  <c r="K43" i="52"/>
  <c r="O43" i="52" s="1"/>
  <c r="K44" i="52"/>
  <c r="O44" i="52" s="1"/>
  <c r="K45" i="52"/>
  <c r="O45" i="52" s="1"/>
  <c r="K18" i="52"/>
  <c r="O18" i="52" s="1"/>
  <c r="G57" i="40" l="1"/>
  <c r="G56" i="43"/>
  <c r="G57" i="10"/>
  <c r="G56" i="44"/>
  <c r="D56" i="44"/>
  <c r="E56" i="44"/>
  <c r="F56" i="44"/>
  <c r="D50" i="44"/>
  <c r="E50" i="44"/>
  <c r="F50" i="44"/>
  <c r="G50" i="44"/>
  <c r="H50" i="44"/>
  <c r="C50" i="44"/>
  <c r="D50" i="43"/>
  <c r="E50" i="43"/>
  <c r="D56" i="43"/>
  <c r="E56" i="43"/>
  <c r="F56" i="43"/>
  <c r="F50" i="43"/>
  <c r="G50" i="43"/>
  <c r="H50" i="43"/>
  <c r="C50" i="43"/>
  <c r="D57" i="42"/>
  <c r="E57" i="42"/>
  <c r="F57" i="42"/>
  <c r="G57" i="42"/>
  <c r="F51" i="42"/>
  <c r="C51" i="42"/>
  <c r="D51" i="42"/>
  <c r="E51" i="42"/>
  <c r="G51" i="42"/>
  <c r="H51" i="42"/>
  <c r="C50" i="41"/>
  <c r="G56" i="41"/>
  <c r="E56" i="41"/>
  <c r="D56" i="41"/>
  <c r="C56" i="41"/>
  <c r="F56" i="41"/>
  <c r="H50" i="41"/>
  <c r="G50" i="41"/>
  <c r="F50" i="41"/>
  <c r="E50" i="41"/>
  <c r="D50" i="41"/>
  <c r="E57" i="40"/>
  <c r="F57" i="40"/>
  <c r="C57" i="40"/>
  <c r="F57" i="10"/>
  <c r="E57" i="10"/>
  <c r="C57" i="10"/>
  <c r="H51" i="10"/>
  <c r="E51" i="10"/>
  <c r="G51" i="10"/>
  <c r="D51" i="10"/>
  <c r="E52" i="51"/>
  <c r="K27" i="53"/>
  <c r="O27" i="53" s="1"/>
  <c r="K28" i="53"/>
  <c r="O28" i="53" s="1"/>
  <c r="K29" i="53"/>
  <c r="O29" i="53" s="1"/>
  <c r="K30" i="53"/>
  <c r="O30" i="53" s="1"/>
  <c r="C60" i="44" l="1"/>
  <c r="E60" i="44" s="1"/>
  <c r="F51" i="10"/>
  <c r="D61" i="10" s="1"/>
  <c r="C51" i="10"/>
  <c r="D57" i="10"/>
  <c r="D57" i="40"/>
  <c r="C61" i="40" s="1"/>
  <c r="E61" i="40" s="1"/>
  <c r="H61" i="40" s="1"/>
  <c r="D61" i="40"/>
  <c r="F61" i="40" s="1"/>
  <c r="D60" i="44"/>
  <c r="F60" i="44" s="1"/>
  <c r="D60" i="43"/>
  <c r="F60" i="43" s="1"/>
  <c r="D61" i="42"/>
  <c r="F61" i="42" s="1"/>
  <c r="C61" i="42"/>
  <c r="E61" i="42" s="1"/>
  <c r="D60" i="41"/>
  <c r="F60" i="41" s="1"/>
  <c r="C60" i="41"/>
  <c r="C61" i="10" l="1"/>
  <c r="E61" i="10" s="1"/>
  <c r="H61" i="10" s="1"/>
  <c r="G60" i="44"/>
  <c r="H60" i="44"/>
  <c r="G61" i="42"/>
  <c r="H61" i="42"/>
  <c r="E60" i="41"/>
  <c r="G60" i="41" s="1"/>
  <c r="F61" i="10"/>
  <c r="G61" i="40"/>
  <c r="G61" i="10" l="1"/>
  <c r="H60" i="41"/>
  <c r="K46" i="53" l="1"/>
  <c r="O46" i="53" s="1"/>
  <c r="K45" i="53"/>
  <c r="O45" i="53" s="1"/>
  <c r="K44" i="53"/>
  <c r="O44" i="53" s="1"/>
  <c r="K43" i="53"/>
  <c r="O43" i="53" s="1"/>
  <c r="K42" i="53"/>
  <c r="O42" i="53" s="1"/>
  <c r="K41" i="53"/>
  <c r="O41" i="53" s="1"/>
  <c r="K40" i="53"/>
  <c r="O40" i="53" s="1"/>
  <c r="K39" i="53"/>
  <c r="O39" i="53" s="1"/>
  <c r="K38" i="53"/>
  <c r="O38" i="53" s="1"/>
  <c r="K37" i="53"/>
  <c r="O37" i="53" s="1"/>
  <c r="K36" i="53"/>
  <c r="O36" i="53" s="1"/>
  <c r="K35" i="53"/>
  <c r="O35" i="53" s="1"/>
  <c r="K34" i="53"/>
  <c r="O34" i="53" s="1"/>
  <c r="K33" i="53"/>
  <c r="O33" i="53" s="1"/>
  <c r="K32" i="53"/>
  <c r="O32" i="53" s="1"/>
  <c r="K31" i="53"/>
  <c r="K46" i="52"/>
  <c r="O46" i="52" s="1"/>
  <c r="O31" i="53" l="1"/>
  <c r="E49" i="53"/>
  <c r="I16" i="43"/>
  <c r="J56" i="53" l="1"/>
  <c r="E56" i="53"/>
  <c r="J55" i="53"/>
  <c r="J54" i="53"/>
  <c r="G52" i="53"/>
  <c r="G50" i="53"/>
  <c r="J60" i="53"/>
  <c r="Q51" i="53"/>
  <c r="Q50" i="53"/>
  <c r="J53" i="53"/>
  <c r="C4" i="53"/>
  <c r="C2" i="53"/>
  <c r="J56" i="52"/>
  <c r="E56" i="52"/>
  <c r="J55" i="52"/>
  <c r="E55" i="52"/>
  <c r="J54" i="52"/>
  <c r="E54" i="52"/>
  <c r="J50" i="52"/>
  <c r="E49" i="52"/>
  <c r="G49" i="52" s="1"/>
  <c r="Q51" i="52"/>
  <c r="E51" i="52"/>
  <c r="G51" i="52" s="1"/>
  <c r="E52" i="52"/>
  <c r="G52" i="52" s="1"/>
  <c r="J52" i="52"/>
  <c r="Q50" i="52"/>
  <c r="E53" i="52"/>
  <c r="G53" i="52" s="1"/>
  <c r="C4" i="52"/>
  <c r="C2" i="52"/>
  <c r="J59" i="51"/>
  <c r="E59" i="51"/>
  <c r="K59" i="51" s="1"/>
  <c r="J58" i="51"/>
  <c r="E58" i="51"/>
  <c r="K58" i="51" s="1"/>
  <c r="J57" i="51"/>
  <c r="E57" i="51"/>
  <c r="K57" i="51" s="1"/>
  <c r="J56" i="51"/>
  <c r="E56" i="51"/>
  <c r="J53" i="51"/>
  <c r="E53" i="51"/>
  <c r="J52" i="51"/>
  <c r="Q54" i="51"/>
  <c r="J54" i="51"/>
  <c r="J55" i="51"/>
  <c r="E55" i="51"/>
  <c r="Q53" i="51"/>
  <c r="C4" i="51"/>
  <c r="C2" i="51"/>
  <c r="Q51" i="50"/>
  <c r="P51" i="50"/>
  <c r="Q50" i="50"/>
  <c r="C4" i="50"/>
  <c r="C2" i="50"/>
  <c r="J70" i="49"/>
  <c r="E70" i="49"/>
  <c r="J69" i="49"/>
  <c r="E69" i="49"/>
  <c r="J68" i="49"/>
  <c r="E68" i="49"/>
  <c r="J67" i="49"/>
  <c r="J63" i="49"/>
  <c r="E63" i="49"/>
  <c r="Q65" i="49"/>
  <c r="J65" i="49"/>
  <c r="E65" i="49"/>
  <c r="J66" i="49"/>
  <c r="Q64" i="49"/>
  <c r="E67" i="49"/>
  <c r="G67" i="49" s="1"/>
  <c r="E64" i="49"/>
  <c r="G64" i="49" s="1"/>
  <c r="C4" i="49"/>
  <c r="C2" i="49"/>
  <c r="E71" i="51" l="1"/>
  <c r="E64" i="51"/>
  <c r="J64" i="51"/>
  <c r="G65" i="49"/>
  <c r="J60" i="51"/>
  <c r="G53" i="51"/>
  <c r="E60" i="51"/>
  <c r="G63" i="49"/>
  <c r="E60" i="53"/>
  <c r="K60" i="53" s="1"/>
  <c r="G49" i="53"/>
  <c r="G60" i="53" s="1"/>
  <c r="K54" i="53"/>
  <c r="G54" i="53"/>
  <c r="K56" i="53"/>
  <c r="G56" i="53"/>
  <c r="K55" i="53"/>
  <c r="G55" i="53"/>
  <c r="K54" i="52"/>
  <c r="G54" i="52"/>
  <c r="K56" i="52"/>
  <c r="G56" i="52"/>
  <c r="K55" i="52"/>
  <c r="G55" i="52"/>
  <c r="K69" i="49"/>
  <c r="G69" i="49"/>
  <c r="K68" i="49"/>
  <c r="G68" i="49"/>
  <c r="K70" i="49"/>
  <c r="G70" i="49"/>
  <c r="K49" i="53"/>
  <c r="K49" i="52"/>
  <c r="J60" i="52"/>
  <c r="K63" i="49"/>
  <c r="K52" i="51"/>
  <c r="R51" i="50"/>
  <c r="P50" i="53"/>
  <c r="R50" i="53" s="1"/>
  <c r="P49" i="53"/>
  <c r="P52" i="51"/>
  <c r="P53" i="51"/>
  <c r="R53" i="51" s="1"/>
  <c r="P52" i="50"/>
  <c r="P63" i="49"/>
  <c r="G52" i="51"/>
  <c r="J63" i="51"/>
  <c r="K50" i="53"/>
  <c r="G51" i="53"/>
  <c r="Q49" i="53"/>
  <c r="J52" i="53"/>
  <c r="K52" i="53" s="1"/>
  <c r="G53" i="53"/>
  <c r="P51" i="53"/>
  <c r="R51" i="53" s="1"/>
  <c r="J53" i="52"/>
  <c r="P49" i="52"/>
  <c r="J51" i="52"/>
  <c r="E50" i="52"/>
  <c r="G50" i="52" s="1"/>
  <c r="K52" i="52"/>
  <c r="K51" i="52"/>
  <c r="E60" i="52"/>
  <c r="K60" i="52" s="1"/>
  <c r="P51" i="52"/>
  <c r="R51" i="52" s="1"/>
  <c r="K53" i="52"/>
  <c r="P50" i="52"/>
  <c r="R50" i="52" s="1"/>
  <c r="Q49" i="52"/>
  <c r="K55" i="51"/>
  <c r="G55" i="51"/>
  <c r="G54" i="51"/>
  <c r="K54" i="51"/>
  <c r="E63" i="51"/>
  <c r="K53" i="51"/>
  <c r="P54" i="51"/>
  <c r="R54" i="51" s="1"/>
  <c r="G56" i="51"/>
  <c r="G58" i="51"/>
  <c r="K56" i="51"/>
  <c r="Q52" i="51"/>
  <c r="G57" i="51"/>
  <c r="G59" i="51"/>
  <c r="Q52" i="50"/>
  <c r="P50" i="50"/>
  <c r="R50" i="50" s="1"/>
  <c r="K67" i="49"/>
  <c r="K65" i="49"/>
  <c r="J64" i="49"/>
  <c r="K64" i="49" s="1"/>
  <c r="P65" i="49"/>
  <c r="R65" i="49" s="1"/>
  <c r="Q63" i="49"/>
  <c r="E66" i="49"/>
  <c r="G66" i="49" s="1"/>
  <c r="P64" i="49"/>
  <c r="R64" i="49" s="1"/>
  <c r="E74" i="49" l="1"/>
  <c r="J71" i="51"/>
  <c r="K71" i="51" s="1"/>
  <c r="K64" i="51"/>
  <c r="G64" i="51"/>
  <c r="J75" i="49"/>
  <c r="J70" i="51"/>
  <c r="G70" i="51"/>
  <c r="E61" i="50"/>
  <c r="E70" i="51"/>
  <c r="E75" i="49"/>
  <c r="J74" i="49"/>
  <c r="K60" i="51"/>
  <c r="G60" i="51"/>
  <c r="E71" i="49"/>
  <c r="G71" i="49"/>
  <c r="J71" i="49"/>
  <c r="G60" i="52"/>
  <c r="K50" i="52"/>
  <c r="R49" i="53"/>
  <c r="R49" i="52"/>
  <c r="R52" i="51"/>
  <c r="R52" i="50"/>
  <c r="R63" i="49"/>
  <c r="G63" i="51"/>
  <c r="K63" i="51"/>
  <c r="K53" i="53"/>
  <c r="K51" i="53"/>
  <c r="J62" i="50"/>
  <c r="J61" i="50"/>
  <c r="E62" i="50"/>
  <c r="K66" i="49"/>
  <c r="G75" i="49"/>
  <c r="G74" i="49"/>
  <c r="C4" i="44"/>
  <c r="C2" i="44"/>
  <c r="C60" i="43"/>
  <c r="E60" i="43" s="1"/>
  <c r="C4" i="43"/>
  <c r="C2" i="43"/>
  <c r="C4" i="42"/>
  <c r="C2" i="42"/>
  <c r="C4" i="41"/>
  <c r="C2" i="41"/>
  <c r="C4" i="40"/>
  <c r="C2" i="40"/>
  <c r="J65" i="33"/>
  <c r="E65" i="33"/>
  <c r="J64" i="33"/>
  <c r="E64" i="33"/>
  <c r="J63" i="33"/>
  <c r="E63" i="33"/>
  <c r="E62" i="33"/>
  <c r="G62" i="33" s="1"/>
  <c r="J61" i="33"/>
  <c r="P60" i="33"/>
  <c r="J60" i="33"/>
  <c r="E60" i="33"/>
  <c r="G60" i="33" s="1"/>
  <c r="E61" i="33"/>
  <c r="G61" i="33" s="1"/>
  <c r="P59" i="33"/>
  <c r="Q59" i="33"/>
  <c r="P58" i="33"/>
  <c r="K74" i="49" l="1"/>
  <c r="G71" i="51"/>
  <c r="K75" i="49"/>
  <c r="K70" i="51"/>
  <c r="J81" i="49"/>
  <c r="E81" i="49"/>
  <c r="E80" i="49"/>
  <c r="K71" i="49"/>
  <c r="G80" i="49"/>
  <c r="E66" i="33"/>
  <c r="J80" i="49"/>
  <c r="G60" i="43"/>
  <c r="H60" i="43"/>
  <c r="K63" i="33"/>
  <c r="G63" i="33"/>
  <c r="K65" i="33"/>
  <c r="G65" i="33"/>
  <c r="K64" i="33"/>
  <c r="G64" i="33"/>
  <c r="G62" i="50"/>
  <c r="G61" i="50"/>
  <c r="K61" i="50"/>
  <c r="K62" i="50"/>
  <c r="R59" i="33"/>
  <c r="K59" i="33"/>
  <c r="K60" i="33"/>
  <c r="K61" i="33"/>
  <c r="Q60" i="33"/>
  <c r="R60" i="33" s="1"/>
  <c r="J62" i="33"/>
  <c r="J70" i="33" s="1"/>
  <c r="Q58" i="33"/>
  <c r="R58" i="33" s="1"/>
  <c r="E70" i="33"/>
  <c r="G81" i="49" l="1"/>
  <c r="K81" i="49"/>
  <c r="K80" i="49"/>
  <c r="J66" i="33"/>
  <c r="K66" i="33" s="1"/>
  <c r="G66" i="33"/>
  <c r="J69" i="33"/>
  <c r="K70" i="33"/>
  <c r="G69" i="33"/>
  <c r="K58" i="33"/>
  <c r="E69" i="33"/>
  <c r="K62" i="33"/>
  <c r="K69" i="33" l="1"/>
  <c r="G70" i="33"/>
  <c r="C4" i="10"/>
  <c r="C2" i="10"/>
</calcChain>
</file>

<file path=xl/sharedStrings.xml><?xml version="1.0" encoding="utf-8"?>
<sst xmlns="http://schemas.openxmlformats.org/spreadsheetml/2006/main" count="2606" uniqueCount="807">
  <si>
    <t>Formulaire</t>
  </si>
  <si>
    <t>Titre: Rapport de tonnage</t>
  </si>
  <si>
    <t>Heures</t>
  </si>
  <si>
    <t>Destination</t>
  </si>
  <si>
    <t>Tonnage</t>
  </si>
  <si>
    <t>H.M</t>
  </si>
  <si>
    <t>T/H</t>
  </si>
  <si>
    <t>Tge S/M</t>
  </si>
  <si>
    <t>Entité</t>
  </si>
  <si>
    <t>Version</t>
  </si>
  <si>
    <t>Code</t>
  </si>
  <si>
    <t>Début</t>
  </si>
  <si>
    <t>Fin</t>
  </si>
  <si>
    <t>Qualité</t>
  </si>
  <si>
    <t>Repère déstockage</t>
  </si>
  <si>
    <t>Tonnage brut</t>
  </si>
  <si>
    <t>HM</t>
  </si>
  <si>
    <t>Sous vitesses/Causes marche à vide</t>
  </si>
  <si>
    <t>Destinations</t>
  </si>
  <si>
    <t>Etat de marche</t>
  </si>
  <si>
    <t>Heure</t>
  </si>
  <si>
    <t>BA</t>
  </si>
  <si>
    <t>THT</t>
  </si>
  <si>
    <t>En service</t>
  </si>
  <si>
    <t>06h00</t>
  </si>
  <si>
    <t>PW</t>
  </si>
  <si>
    <t>HTN</t>
  </si>
  <si>
    <t>A l'arrêt</t>
  </si>
  <si>
    <t>14h00</t>
  </si>
  <si>
    <t>UD</t>
  </si>
  <si>
    <t>HTM</t>
  </si>
  <si>
    <t>22h00</t>
  </si>
  <si>
    <t>UB</t>
  </si>
  <si>
    <t>MT</t>
  </si>
  <si>
    <t>BTR</t>
  </si>
  <si>
    <t>BT</t>
  </si>
  <si>
    <t>TBT</t>
  </si>
  <si>
    <t>HTN Lavé</t>
  </si>
  <si>
    <t>HTM Lavé</t>
  </si>
  <si>
    <t>MT Lavé</t>
  </si>
  <si>
    <t>BTR Lavé</t>
  </si>
  <si>
    <t>BT Lavé</t>
  </si>
  <si>
    <t>TBT Lavé</t>
  </si>
  <si>
    <t>TBT TS lavé</t>
  </si>
  <si>
    <t>Journée du :</t>
  </si>
  <si>
    <t>Bascule</t>
  </si>
  <si>
    <t>H4</t>
  </si>
  <si>
    <t>H6</t>
  </si>
  <si>
    <t>LS6</t>
  </si>
  <si>
    <t>LS7</t>
  </si>
  <si>
    <t>T11</t>
  </si>
  <si>
    <t>Stock</t>
  </si>
  <si>
    <t>EST</t>
  </si>
  <si>
    <t>OUEST</t>
  </si>
  <si>
    <t>NORD</t>
  </si>
  <si>
    <t>SUD</t>
  </si>
  <si>
    <t>TBT TS</t>
  </si>
  <si>
    <t>Axe</t>
  </si>
  <si>
    <t>Organe</t>
  </si>
  <si>
    <t>Sce</t>
  </si>
  <si>
    <t>Durée</t>
  </si>
  <si>
    <t>Nature des arrêts</t>
  </si>
  <si>
    <t>Arrêts internes</t>
  </si>
  <si>
    <t>Exploitation Manutention</t>
  </si>
  <si>
    <t xml:space="preserve">Maintenance Mécanique </t>
  </si>
  <si>
    <t xml:space="preserve">Maintenance Electrique </t>
  </si>
  <si>
    <t xml:space="preserve">Maintenance Installation </t>
  </si>
  <si>
    <t xml:space="preserve">Maintenance Régulation </t>
  </si>
  <si>
    <t>Maintenance Planifié</t>
  </si>
  <si>
    <t>Arrêts externes</t>
  </si>
  <si>
    <t>Laverie Daoui</t>
  </si>
  <si>
    <t>Beni-Amir</t>
  </si>
  <si>
    <t>Service électrique Khouribga</t>
  </si>
  <si>
    <t>Extraction Mine</t>
  </si>
  <si>
    <t>Synthèse des arrêts</t>
  </si>
  <si>
    <t>Total Arrêts</t>
  </si>
  <si>
    <t>Total Heures de marche HM</t>
  </si>
  <si>
    <t>Taux d’utilisation TU</t>
  </si>
  <si>
    <t>axe-installation</t>
  </si>
  <si>
    <t>RP5</t>
  </si>
  <si>
    <t>RP3</t>
  </si>
  <si>
    <t>RP T1 SC</t>
  </si>
  <si>
    <t>TS-C1</t>
  </si>
  <si>
    <t>Bascule
(H4/H6)*</t>
  </si>
  <si>
    <t>00 H 06</t>
  </si>
  <si>
    <t>00 H 12</t>
  </si>
  <si>
    <t>1 H 06</t>
  </si>
  <si>
    <t>1 H 12</t>
  </si>
  <si>
    <t>2 H 06</t>
  </si>
  <si>
    <t>2 H 12</t>
  </si>
  <si>
    <t>Suivi des arrêts</t>
  </si>
  <si>
    <t>OEE</t>
  </si>
  <si>
    <t>Installation : RP T1</t>
  </si>
  <si>
    <t>Total Heures disponibles</t>
  </si>
  <si>
    <t>Taux de disponibilité</t>
  </si>
  <si>
    <t>Repère stockage</t>
  </si>
  <si>
    <t>Type d'arrêt</t>
  </si>
  <si>
    <t>Zone</t>
  </si>
  <si>
    <t>Equipement</t>
  </si>
  <si>
    <t>DIRECTION EXECUTIVE
OPERATIONSINDUSTRIELLES
DIRECTION DE SITE  DE KHOURIBGA</t>
  </si>
  <si>
    <t>Entités de Traitement de Site de Khouribga</t>
  </si>
  <si>
    <t>PRL-LA-IT-06-F-01</t>
  </si>
  <si>
    <t>OIK/BD/B- 428</t>
  </si>
  <si>
    <t xml:space="preserve">Déstinataire </t>
  </si>
  <si>
    <t>PW-H4N</t>
  </si>
  <si>
    <t>PW-H4S</t>
  </si>
  <si>
    <t xml:space="preserve">Bascule </t>
  </si>
  <si>
    <t>LS0</t>
  </si>
  <si>
    <t>qualité</t>
  </si>
  <si>
    <t>TBTTS</t>
  </si>
  <si>
    <t>BTLSC</t>
  </si>
  <si>
    <t>MTLSC</t>
  </si>
  <si>
    <t>TBTLSC</t>
  </si>
  <si>
    <t>TBTLTS</t>
  </si>
  <si>
    <t>Coef</t>
  </si>
  <si>
    <t>secteur</t>
  </si>
  <si>
    <t>SC-PW</t>
  </si>
  <si>
    <t>SC-BA</t>
  </si>
  <si>
    <t>PW-UB</t>
  </si>
  <si>
    <t>PW-UD</t>
  </si>
  <si>
    <t>TS-CRIBLAGE</t>
  </si>
  <si>
    <t>CRIBLAGE-UD</t>
  </si>
  <si>
    <t>Vidange</t>
  </si>
  <si>
    <t>POSTE</t>
  </si>
  <si>
    <t>Poste</t>
  </si>
  <si>
    <t xml:space="preserve">Applicable le </t>
  </si>
  <si>
    <t>destination</t>
  </si>
  <si>
    <t>BTLTS</t>
  </si>
  <si>
    <t>HTMTLSC</t>
  </si>
  <si>
    <t>HTMLTS</t>
  </si>
  <si>
    <t>TD-CRIBLAGE</t>
  </si>
  <si>
    <t>Arrêt actionné</t>
  </si>
  <si>
    <t>Arrêt décidé</t>
  </si>
  <si>
    <t>Attent vidange axe</t>
  </si>
  <si>
    <t>Attente création place</t>
  </si>
  <si>
    <t>Attente création stock</t>
  </si>
  <si>
    <t>Autre</t>
  </si>
  <si>
    <t>Bourrage</t>
  </si>
  <si>
    <t>Briquet</t>
  </si>
  <si>
    <t>Bull indisponible</t>
  </si>
  <si>
    <t>Changement axe d'alimentation</t>
  </si>
  <si>
    <t>Changement qualité</t>
  </si>
  <si>
    <t>Contrôle bande</t>
  </si>
  <si>
    <t>Débouchage</t>
  </si>
  <si>
    <t>Déclenchement</t>
  </si>
  <si>
    <t>Décolmatage golotte</t>
  </si>
  <si>
    <t>Défaut électrique</t>
  </si>
  <si>
    <t>Dégagement stéril</t>
  </si>
  <si>
    <t>Délestage</t>
  </si>
  <si>
    <t>Déplacement tête avançable</t>
  </si>
  <si>
    <t>Manque bulliste</t>
  </si>
  <si>
    <t>Manque conducteur</t>
  </si>
  <si>
    <t>Manque personnel</t>
  </si>
  <si>
    <t>Manque place</t>
  </si>
  <si>
    <t>Manque qualité source</t>
  </si>
  <si>
    <t>Nettoyage queue</t>
  </si>
  <si>
    <t>Préparation</t>
  </si>
  <si>
    <t>Produit trop de steriel</t>
  </si>
  <si>
    <t>Produit trop humide</t>
  </si>
  <si>
    <t>Refus de qualité</t>
  </si>
  <si>
    <t>Reléve</t>
  </si>
  <si>
    <t>Remplissage trémie</t>
  </si>
  <si>
    <t>Roteur produit en queue</t>
  </si>
  <si>
    <t>Soulagement</t>
  </si>
  <si>
    <t>Stock plein</t>
  </si>
  <si>
    <t>Surcharge CV</t>
  </si>
  <si>
    <t>Travaux sur déconteur</t>
  </si>
  <si>
    <t>Vent violent</t>
  </si>
  <si>
    <t>Vidange axe</t>
  </si>
  <si>
    <t>Vidange trémie</t>
  </si>
  <si>
    <t>adaptation à l'arrêt</t>
  </si>
  <si>
    <t>Arrêt actionné par le préposé</t>
  </si>
  <si>
    <t>Arrêt commun</t>
  </si>
  <si>
    <t>Attente vidange axe</t>
  </si>
  <si>
    <t>Blocage superviseur</t>
  </si>
  <si>
    <t>Bouchage golotte</t>
  </si>
  <si>
    <t>Coupure de courant</t>
  </si>
  <si>
    <t>Débordement</t>
  </si>
  <si>
    <t>Décolmatage trémie</t>
  </si>
  <si>
    <t>Défaut de communication</t>
  </si>
  <si>
    <t>déport bande</t>
  </si>
  <si>
    <t>Entretien</t>
  </si>
  <si>
    <t>Essai matière</t>
  </si>
  <si>
    <t>Essais matiére</t>
  </si>
  <si>
    <t>Isolment golotte</t>
  </si>
  <si>
    <t>lavage de BTRSC</t>
  </si>
  <si>
    <t>lavage de MTSC</t>
  </si>
  <si>
    <t>Manque d'eau</t>
  </si>
  <si>
    <t>Niveau bas du bassin</t>
  </si>
  <si>
    <t>patinage</t>
  </si>
  <si>
    <t>Rupture du jeun</t>
  </si>
  <si>
    <t>Soulagement décanteur</t>
  </si>
  <si>
    <t>Sterril achevé</t>
  </si>
  <si>
    <t>Travaux de communication</t>
  </si>
  <si>
    <t>Travaux électrique</t>
  </si>
  <si>
    <t>Travaux mécaniques</t>
  </si>
  <si>
    <t>Travaux régulation</t>
  </si>
  <si>
    <t>Travaux SI</t>
  </si>
  <si>
    <t>Trémie pleine</t>
  </si>
  <si>
    <t>Aiguillage volet</t>
  </si>
  <si>
    <t>Aménagement sterile</t>
  </si>
  <si>
    <t>Arrêt disponible</t>
  </si>
  <si>
    <t>Arrêt planifié pour travaux d'exploitation</t>
  </si>
  <si>
    <t>Arrêt suit travaux électriques sur liaison TS</t>
  </si>
  <si>
    <t>Arrêt suit travaux installations sur liaison TS</t>
  </si>
  <si>
    <t>Arrêt suit travaux mécaniques sur liaison TS</t>
  </si>
  <si>
    <t>Arrêt suit travaux régulations sur liaison TS</t>
  </si>
  <si>
    <t>Attent vidange circuit</t>
  </si>
  <si>
    <t>Attente égouttage de produit lavée</t>
  </si>
  <si>
    <t>Attente formation stock</t>
  </si>
  <si>
    <t>Attente vidange circuit</t>
  </si>
  <si>
    <t>Axe de stérile achevé</t>
  </si>
  <si>
    <t>Cumul des arrêts par bourrage</t>
  </si>
  <si>
    <t>Cumul des arrêts par TP</t>
  </si>
  <si>
    <t>Décolmatage goulotte</t>
  </si>
  <si>
    <t>Extraction d’une motte</t>
  </si>
  <si>
    <t>Extraction d'un corps étranger</t>
  </si>
  <si>
    <t>intempéries</t>
  </si>
  <si>
    <t>Manque qualités sources</t>
  </si>
  <si>
    <t>Nettoyage</t>
  </si>
  <si>
    <t>Nettoyage et soulagement</t>
  </si>
  <si>
    <t>Orientation</t>
  </si>
  <si>
    <t>Orientation + translation</t>
  </si>
  <si>
    <t>Produit contenant trop de steril</t>
  </si>
  <si>
    <t>Ravitaillement Bull</t>
  </si>
  <si>
    <t>Relève</t>
  </si>
  <si>
    <t>Roteur produit</t>
  </si>
  <si>
    <t>Rupture jeûne</t>
  </si>
  <si>
    <t>Stéril achevé</t>
  </si>
  <si>
    <t>Sterile indisponible</t>
  </si>
  <si>
    <t>Stock géné</t>
  </si>
  <si>
    <t>Surcharge bande</t>
  </si>
  <si>
    <t>Surcharge tapis flèche</t>
  </si>
  <si>
    <t>Translation</t>
  </si>
  <si>
    <t>Translation + orientation</t>
  </si>
  <si>
    <t>Arrêt planifié</t>
  </si>
  <si>
    <t>Aménagement câbles</t>
  </si>
  <si>
    <t>Arrachement câble</t>
  </si>
  <si>
    <t>Arrêt électrique planifié</t>
  </si>
  <si>
    <t>assistance électrique pour translation</t>
  </si>
  <si>
    <t>Attente annulation sécurité</t>
  </si>
  <si>
    <t>Branchement</t>
  </si>
  <si>
    <t>Branchement moteur électrique</t>
  </si>
  <si>
    <t>Chute de tention</t>
  </si>
  <si>
    <t>Contrôle électrique</t>
  </si>
  <si>
    <t>Défaut +/- 24V</t>
  </si>
  <si>
    <t>Défaut aiguillage</t>
  </si>
  <si>
    <t>Défaut arrêt d'urgence</t>
  </si>
  <si>
    <t>Défaut asservissement</t>
  </si>
  <si>
    <t>défaut cellule</t>
  </si>
  <si>
    <t>Défaut de bourrage</t>
  </si>
  <si>
    <t>Défaut de translation</t>
  </si>
  <si>
    <t>Défaut démarrage rotorique</t>
  </si>
  <si>
    <t>Défaut d'orientation</t>
  </si>
  <si>
    <t>Défaut éclairage</t>
  </si>
  <si>
    <t>Défaut électrique sur déport bande</t>
  </si>
  <si>
    <t>Défaut électrique sur tête avançable</t>
  </si>
  <si>
    <t>Défaut fugitif électrique</t>
  </si>
  <si>
    <t>Défaut levage flèche</t>
  </si>
  <si>
    <t>défaut patinage</t>
  </si>
  <si>
    <t>Défaut réponse marche</t>
  </si>
  <si>
    <t>Défaut RM</t>
  </si>
  <si>
    <t>Défaut sonde</t>
  </si>
  <si>
    <t>Défaut sur automate</t>
  </si>
  <si>
    <t>Défaut sur contrôleur de rotation ou de vetisse</t>
  </si>
  <si>
    <t>Défaut sur contrôleur de rotation ou de vitesse</t>
  </si>
  <si>
    <t>Défaut sur FDC</t>
  </si>
  <si>
    <t>Défaut sur montée et décente</t>
  </si>
  <si>
    <t>Défaut sur Poste électrique</t>
  </si>
  <si>
    <t>Défaut tension bande</t>
  </si>
  <si>
    <t>Défaut vitesse non atteinte</t>
  </si>
  <si>
    <t>Démarrage repété</t>
  </si>
  <si>
    <t>Enrouleur de câble de commande hors Sec</t>
  </si>
  <si>
    <t>Enrouleur de câble de puissance hors Sec</t>
  </si>
  <si>
    <t>Entretien électrique</t>
  </si>
  <si>
    <t>Essai mode automatique</t>
  </si>
  <si>
    <t>Fin de course</t>
  </si>
  <si>
    <t>Indisponible</t>
  </si>
  <si>
    <t>Manque 500 V</t>
  </si>
  <si>
    <t>Manque éclairage</t>
  </si>
  <si>
    <t>Moteur a la masse</t>
  </si>
  <si>
    <t>Moteur cramé</t>
  </si>
  <si>
    <t>Prise des mesures electriques</t>
  </si>
  <si>
    <t>Refus de démarrage</t>
  </si>
  <si>
    <t>Rupture câble de commande</t>
  </si>
  <si>
    <t>Rupture câble de comménication</t>
  </si>
  <si>
    <t>Rupture câble de puissance</t>
  </si>
  <si>
    <t>Travaux électriques</t>
  </si>
  <si>
    <t>Travaux sur câble</t>
  </si>
  <si>
    <t>Travaux sur enrouleur de câble</t>
  </si>
  <si>
    <t>Vol câble électrique</t>
  </si>
  <si>
    <t>Addition des éléments infrastructure</t>
  </si>
  <si>
    <t>Agraffage</t>
  </si>
  <si>
    <t>Ajustag bavette roue à godet</t>
  </si>
  <si>
    <t>Ajustage bavette</t>
  </si>
  <si>
    <t>Arrêt planifié installation</t>
  </si>
  <si>
    <t>Attent liberation</t>
  </si>
  <si>
    <t>Attente avancement</t>
  </si>
  <si>
    <t>AU Actionné(Arrêt Rupture Bande)</t>
  </si>
  <si>
    <t>Avancement</t>
  </si>
  <si>
    <t>Bande délogée</t>
  </si>
  <si>
    <t>Bavette délogée</t>
  </si>
  <si>
    <t>Caoutchaoutage tambour</t>
  </si>
  <si>
    <t>Chanfreinage</t>
  </si>
  <si>
    <t>Chanfreinage agraffage</t>
  </si>
  <si>
    <t>Chanfreinage bavette rive</t>
  </si>
  <si>
    <t>Changement agraffage</t>
  </si>
  <si>
    <t>Changement bande</t>
  </si>
  <si>
    <t>Changement bande d'usure</t>
  </si>
  <si>
    <t>Changement bavette</t>
  </si>
  <si>
    <t>Changement bavette racleur</t>
  </si>
  <si>
    <t>Changement d'un coupon</t>
  </si>
  <si>
    <t>Changement éléments d'agraffage</t>
  </si>
  <si>
    <t>Changement racleur</t>
  </si>
  <si>
    <t>Changement rouleaux</t>
  </si>
  <si>
    <t>Changement station</t>
  </si>
  <si>
    <t>Coincement rouleau</t>
  </si>
  <si>
    <t>Contrôle</t>
  </si>
  <si>
    <t>Contrôle agrafage</t>
  </si>
  <si>
    <t>Contrôle couvre joint décollé</t>
  </si>
  <si>
    <t>Contrôle déchirure</t>
  </si>
  <si>
    <t>Contrôle d'une amorsse soufflée</t>
  </si>
  <si>
    <t>Contrôle vulcanisation</t>
  </si>
  <si>
    <t>Couvre joint décollé "réparation"</t>
  </si>
  <si>
    <t>Déchirure bande</t>
  </si>
  <si>
    <t>Décoincement bande</t>
  </si>
  <si>
    <t>Découpage d'un fil en acier</t>
  </si>
  <si>
    <t>Découpage d'un tallon</t>
  </si>
  <si>
    <t>Découpage d'une bandelette</t>
  </si>
  <si>
    <t>Démontage station</t>
  </si>
  <si>
    <t>Déport bande</t>
  </si>
  <si>
    <t>Emplacement couvre joint</t>
  </si>
  <si>
    <t>Fixation racleur</t>
  </si>
  <si>
    <t>Fixation station</t>
  </si>
  <si>
    <t>Manque avancement</t>
  </si>
  <si>
    <t>Manque tension</t>
  </si>
  <si>
    <t>mesure de bande</t>
  </si>
  <si>
    <t>Mise en place station</t>
  </si>
  <si>
    <t>Montage d'un rouleau</t>
  </si>
  <si>
    <t>Montage station</t>
  </si>
  <si>
    <t>Patinage</t>
  </si>
  <si>
    <t>Pose rail d'infrastructure</t>
  </si>
  <si>
    <t>Reglage bavette racleur</t>
  </si>
  <si>
    <t>Remontage racleur</t>
  </si>
  <si>
    <t>Réparation à chaud</t>
  </si>
  <si>
    <t>Réparation à froid</t>
  </si>
  <si>
    <t>Retour produit</t>
  </si>
  <si>
    <t>Retournement</t>
  </si>
  <si>
    <t>Revetement tambour</t>
  </si>
  <si>
    <t>Rupture bande</t>
  </si>
  <si>
    <t>Surcharge</t>
  </si>
  <si>
    <t>Tension bande</t>
  </si>
  <si>
    <t>Vulcanisation</t>
  </si>
  <si>
    <t>Vulcanisation souflée</t>
  </si>
  <si>
    <t>Ajustage électro_freins</t>
  </si>
  <si>
    <t>Appoint d'huile sur CH</t>
  </si>
  <si>
    <t>Appoint d'huile sur Réducteur</t>
  </si>
  <si>
    <t>Arbre cisaillé</t>
  </si>
  <si>
    <t>Arrêt planifié mécanique</t>
  </si>
  <si>
    <t>Avancement joy</t>
  </si>
  <si>
    <t>Bruit anormal</t>
  </si>
  <si>
    <t>Changement accouplement</t>
  </si>
  <si>
    <t>Changement accouplement / RàG</t>
  </si>
  <si>
    <t>Changement accouplement / TF</t>
  </si>
  <si>
    <t>Changement accouplement de translation</t>
  </si>
  <si>
    <t>Changement accouplement d'orientation</t>
  </si>
  <si>
    <t>Changement Clavette</t>
  </si>
  <si>
    <t>Changement conne de serrage</t>
  </si>
  <si>
    <t>Changement courroies</t>
  </si>
  <si>
    <t>Changement deux demi manchons</t>
  </si>
  <si>
    <t>Changement d'un roulement</t>
  </si>
  <si>
    <t>Changement joint d'accouplement</t>
  </si>
  <si>
    <t>Changement palier</t>
  </si>
  <si>
    <t>Changement poliers</t>
  </si>
  <si>
    <t>Changement réducteur</t>
  </si>
  <si>
    <t>Changement tambour</t>
  </si>
  <si>
    <t>Changement verin de levage</t>
  </si>
  <si>
    <t>Changement verin de tension</t>
  </si>
  <si>
    <t>Chute flêche de la roue pelle lors du grattage</t>
  </si>
  <si>
    <t>Cisaillement arbre</t>
  </si>
  <si>
    <t>Cisaillement boulon de fixation</t>
  </si>
  <si>
    <t>Cisaillement cable de tension</t>
  </si>
  <si>
    <t>Cisaillement cable d'orientation</t>
  </si>
  <si>
    <t>Cisaillement godet</t>
  </si>
  <si>
    <t>Cisaillement virole du tambour</t>
  </si>
  <si>
    <t>Coincement mécanique</t>
  </si>
  <si>
    <t>Coincement orientation</t>
  </si>
  <si>
    <t>Coincement translation</t>
  </si>
  <si>
    <t>Coincement volet</t>
  </si>
  <si>
    <t>Contrôle de la coronne</t>
  </si>
  <si>
    <t>Contrôle enrouleur de câble</t>
  </si>
  <si>
    <t>Contrôle mécanique</t>
  </si>
  <si>
    <t>Contrôle niveaux d'huile</t>
  </si>
  <si>
    <t>Contrôle palier</t>
  </si>
  <si>
    <t>Contrôle réducteur</t>
  </si>
  <si>
    <t>Défaut mécanique</t>
  </si>
  <si>
    <t>Délogement</t>
  </si>
  <si>
    <t>Démontage reducteur</t>
  </si>
  <si>
    <t>Démontage tete matrice</t>
  </si>
  <si>
    <t>Déraillement</t>
  </si>
  <si>
    <t>Déraillement Chariot</t>
  </si>
  <si>
    <t>Déraillement chariot du câble de commande</t>
  </si>
  <si>
    <t>Déraillement chariot du câble de puissance</t>
  </si>
  <si>
    <t>Désaccouplement Moteur_Réducteur</t>
  </si>
  <si>
    <t>Désaccouplement Réducteur_Coupleur</t>
  </si>
  <si>
    <t>Déssérrage électro_freins de translation</t>
  </si>
  <si>
    <t>Déssérrage électro_freins d'orientation</t>
  </si>
  <si>
    <t>Echauffement</t>
  </si>
  <si>
    <t>Echauffement palier</t>
  </si>
  <si>
    <t>Echauffement reducteur</t>
  </si>
  <si>
    <t>Entretien mécanique</t>
  </si>
  <si>
    <t>Fissure</t>
  </si>
  <si>
    <t>Fixation cartére de protection</t>
  </si>
  <si>
    <t>Fixation godet</t>
  </si>
  <si>
    <t>Fixation moteur de translation</t>
  </si>
  <si>
    <t>Fixation moteur d'orientation</t>
  </si>
  <si>
    <t>Fixation réducteur de translation</t>
  </si>
  <si>
    <t>Fixation réducteur d'orientation</t>
  </si>
  <si>
    <t>Fixation réducteur TF</t>
  </si>
  <si>
    <t>Fuit d'huile</t>
  </si>
  <si>
    <t>Fuit d'huile / circuit hydraulique</t>
  </si>
  <si>
    <t>Fuit d'huile / coupleur hydraulique</t>
  </si>
  <si>
    <t>Fuit d'huile / réducteur</t>
  </si>
  <si>
    <t>Fuit d'huile / réducteur de translation</t>
  </si>
  <si>
    <t>Fuit d'huile / réducteur d'orientation</t>
  </si>
  <si>
    <t>Fuit d'huile / réducteur RàG</t>
  </si>
  <si>
    <t>Fuit d'huile / réducteur TF</t>
  </si>
  <si>
    <t>Fusion fusible</t>
  </si>
  <si>
    <t>Graissage</t>
  </si>
  <si>
    <t>Joint d’accouplement cisaillé</t>
  </si>
  <si>
    <t>Manque caisson</t>
  </si>
  <si>
    <t>Manque Enrouleur de câble de puissance</t>
  </si>
  <si>
    <t>Montage cartère de protection</t>
  </si>
  <si>
    <t>Montage chaine de guidage</t>
  </si>
  <si>
    <t>Montage coupleur hydraulique</t>
  </si>
  <si>
    <t>Montage électrofrein</t>
  </si>
  <si>
    <t>Montage grille de protection</t>
  </si>
  <si>
    <t>Montage moteur</t>
  </si>
  <si>
    <t>Montage reducteur</t>
  </si>
  <si>
    <t>Nombre de crible indisponible</t>
  </si>
  <si>
    <t>Rafistolage golotte</t>
  </si>
  <si>
    <t>Rafistolage Trémie</t>
  </si>
  <si>
    <t>Remontage tête matrice</t>
  </si>
  <si>
    <t>Roulement grippé</t>
  </si>
  <si>
    <t>Ruptur cable de chariôt de tension</t>
  </si>
  <si>
    <t>Sérrage des boulons</t>
  </si>
  <si>
    <t>Sérrage électro_freins</t>
  </si>
  <si>
    <t>Sérrage électro_freins de translation</t>
  </si>
  <si>
    <t>Sérrage électro_freins d'orientation</t>
  </si>
  <si>
    <t>Sérrage les godets de RàG</t>
  </si>
  <si>
    <t>Tige de tension cisaillé</t>
  </si>
  <si>
    <t>Translation tête avancable</t>
  </si>
  <si>
    <t>Travaux chaudrenerie</t>
  </si>
  <si>
    <t>Travaux de sécurité</t>
  </si>
  <si>
    <t>Travaux mécaniques sur chariôt de tension"queue"</t>
  </si>
  <si>
    <t>Travaux mécaniques sur chariôt de tension"tête"</t>
  </si>
  <si>
    <t>Travaux mecaniques sur grille inferieur</t>
  </si>
  <si>
    <t>Travaux mecaniques sur grille superieur</t>
  </si>
  <si>
    <t>Travaux mécaniques sur guide câble de commande</t>
  </si>
  <si>
    <t>Travaux mécaniques sur guide câble de puissance</t>
  </si>
  <si>
    <t>Vibration éxagérée</t>
  </si>
  <si>
    <t>caméra Hors service</t>
  </si>
  <si>
    <t>Défaut de variateur de vitesse</t>
  </si>
  <si>
    <t>Défaut régulation</t>
  </si>
  <si>
    <t>Etalonnage bascule</t>
  </si>
  <si>
    <t>Travaux Régulation</t>
  </si>
  <si>
    <t>Chute de tension</t>
  </si>
  <si>
    <t>Défaut d'installation"SI"</t>
  </si>
  <si>
    <t>Entretien de la liaison</t>
  </si>
  <si>
    <t>Stock Plein</t>
  </si>
  <si>
    <t>Travaux de régulation</t>
  </si>
  <si>
    <t>Travaux des installateurs</t>
  </si>
  <si>
    <t>Attente formation Stock</t>
  </si>
  <si>
    <t>attente produit</t>
  </si>
  <si>
    <t>Changement axe</t>
  </si>
  <si>
    <t>chargeuse indisponible</t>
  </si>
  <si>
    <t>défaut sur chargeuse</t>
  </si>
  <si>
    <t>Insuffisance produit conforme</t>
  </si>
  <si>
    <t>Manque produit</t>
  </si>
  <si>
    <t>manque qualité source</t>
  </si>
  <si>
    <t>ravitaillement</t>
  </si>
  <si>
    <t>Translation ST_EK</t>
  </si>
  <si>
    <t>agrafage</t>
  </si>
  <si>
    <t>aiguillage</t>
  </si>
  <si>
    <t>appoint d'huile sur CH</t>
  </si>
  <si>
    <t>appoint d'huile sur réducteur</t>
  </si>
  <si>
    <t>arrêt actionné</t>
  </si>
  <si>
    <t>arrêt liaison BA</t>
  </si>
  <si>
    <t>bouchage</t>
  </si>
  <si>
    <t>bourrage</t>
  </si>
  <si>
    <t>changement des rouleaux</t>
  </si>
  <si>
    <t>changement navette</t>
  </si>
  <si>
    <t>déchirure</t>
  </si>
  <si>
    <t>déclenchement</t>
  </si>
  <si>
    <t>décolmatage</t>
  </si>
  <si>
    <t>découpage d'un fil d'acier</t>
  </si>
  <si>
    <t>Défaut contrôleur de rotation</t>
  </si>
  <si>
    <t>défaut de bourrage</t>
  </si>
  <si>
    <t>défaut de communication</t>
  </si>
  <si>
    <t>défaut de translation</t>
  </si>
  <si>
    <t>défaut d'orientation</t>
  </si>
  <si>
    <t>Défaut installation</t>
  </si>
  <si>
    <t>défaut pression d'huile</t>
  </si>
  <si>
    <t>défaut température</t>
  </si>
  <si>
    <t>Entretien planifié</t>
  </si>
  <si>
    <t>extraction corps etranger</t>
  </si>
  <si>
    <t>nettoyage</t>
  </si>
  <si>
    <t>priorité à la mine BA</t>
  </si>
  <si>
    <t>priorité à la mine MLIKATE</t>
  </si>
  <si>
    <t>programmation STBA</t>
  </si>
  <si>
    <t>refus de qualité</t>
  </si>
  <si>
    <t>retour produit</t>
  </si>
  <si>
    <t>rupture bande</t>
  </si>
  <si>
    <t>rupture jeûne</t>
  </si>
  <si>
    <t>stock plein</t>
  </si>
  <si>
    <t>surcharge bande</t>
  </si>
  <si>
    <t>travaux installations</t>
  </si>
  <si>
    <t>Entretien Poste électrique</t>
  </si>
  <si>
    <t>Attente création place au parc</t>
  </si>
  <si>
    <t>Attente démarrage liaison UBI</t>
  </si>
  <si>
    <t>Entretien sur liaison</t>
  </si>
  <si>
    <t>Orientation ST_UBI</t>
  </si>
  <si>
    <t>Surcharge TF ST_UBI</t>
  </si>
  <si>
    <t>Translation + orientation ST_UBI</t>
  </si>
  <si>
    <t>Translation ST_UBI</t>
  </si>
  <si>
    <t>Installation : RP T2</t>
  </si>
  <si>
    <t>Installation : RP3</t>
  </si>
  <si>
    <t>Installation : RP5</t>
  </si>
  <si>
    <t>Installation : RTPTS</t>
  </si>
  <si>
    <t>Installation : CRIBLAGE</t>
  </si>
  <si>
    <t>OIK/BD/E- 428</t>
  </si>
  <si>
    <t>LT3</t>
  </si>
  <si>
    <t>T1</t>
  </si>
  <si>
    <t>Bascule
(LS6/LS7)*</t>
  </si>
  <si>
    <t>Bascule
(T1)*</t>
  </si>
  <si>
    <t>Bascule
T11</t>
  </si>
  <si>
    <t>TS</t>
  </si>
  <si>
    <t>CRIBLAGE</t>
  </si>
  <si>
    <t>Index horaire
LS0-LT3</t>
  </si>
  <si>
    <t>Index horaire
LS6-LS7</t>
  </si>
  <si>
    <t>Index bascule</t>
  </si>
  <si>
    <t>Index horaire
T1</t>
  </si>
  <si>
    <t>Index horaire
T11</t>
  </si>
  <si>
    <t>BTRLSC</t>
  </si>
  <si>
    <t>HTNLSC</t>
  </si>
  <si>
    <t>H2-H6</t>
  </si>
  <si>
    <t>T18</t>
  </si>
  <si>
    <t>Organe en défaut</t>
  </si>
  <si>
    <t>LS5</t>
  </si>
  <si>
    <t>E3</t>
  </si>
  <si>
    <t>E4</t>
  </si>
  <si>
    <t>H7</t>
  </si>
  <si>
    <t>H8</t>
  </si>
  <si>
    <t>LIAISON</t>
  </si>
  <si>
    <t>LS1</t>
  </si>
  <si>
    <t>LS2</t>
  </si>
  <si>
    <t>AUTRE</t>
  </si>
  <si>
    <t>LS4</t>
  </si>
  <si>
    <t>TREMIE CARREAU SC2</t>
  </si>
  <si>
    <t>LS5A</t>
  </si>
  <si>
    <t>LT0"TF_RPSC2"</t>
  </si>
  <si>
    <t>LT1</t>
  </si>
  <si>
    <t>LT2</t>
  </si>
  <si>
    <t>LT4</t>
  </si>
  <si>
    <t>ROUE A GODETS</t>
  </si>
  <si>
    <t>RPSC2</t>
  </si>
  <si>
    <t>ST4</t>
  </si>
  <si>
    <t>ST6</t>
  </si>
  <si>
    <t>LS3</t>
  </si>
  <si>
    <t>CIRCUIT DE LA RP3</t>
  </si>
  <si>
    <t>H3</t>
  </si>
  <si>
    <t>H'3</t>
  </si>
  <si>
    <t>H3A</t>
  </si>
  <si>
    <t>TF RP3</t>
  </si>
  <si>
    <t>TREMIE H3</t>
  </si>
  <si>
    <t>T19D</t>
  </si>
  <si>
    <t>H2</t>
  </si>
  <si>
    <t>H1</t>
  </si>
  <si>
    <t>FE</t>
  </si>
  <si>
    <t>FE'</t>
  </si>
  <si>
    <t>FE1</t>
  </si>
  <si>
    <t>FE2</t>
  </si>
  <si>
    <t>FE3</t>
  </si>
  <si>
    <t>FE4</t>
  </si>
  <si>
    <t>FE5</t>
  </si>
  <si>
    <t>T19C</t>
  </si>
  <si>
    <t>T02</t>
  </si>
  <si>
    <t>ST2</t>
  </si>
  <si>
    <t>ST1</t>
  </si>
  <si>
    <t>LS9</t>
  </si>
  <si>
    <t>F'Q'</t>
  </si>
  <si>
    <t>LS12</t>
  </si>
  <si>
    <t>LS10</t>
  </si>
  <si>
    <t>L10</t>
  </si>
  <si>
    <t>LS8</t>
  </si>
  <si>
    <t>PK</t>
  </si>
  <si>
    <t>T2</t>
  </si>
  <si>
    <t>LIAISON UBI</t>
  </si>
  <si>
    <t>HN</t>
  </si>
  <si>
    <t>T3</t>
  </si>
  <si>
    <t>ST UBI</t>
  </si>
  <si>
    <t>PM2</t>
  </si>
  <si>
    <t>PL</t>
  </si>
  <si>
    <t>PARC HUMIDE</t>
  </si>
  <si>
    <t>HY</t>
  </si>
  <si>
    <t>HR</t>
  </si>
  <si>
    <t>HQ</t>
  </si>
  <si>
    <t>T4</t>
  </si>
  <si>
    <t>CH1</t>
  </si>
  <si>
    <t>FR</t>
  </si>
  <si>
    <t>D1</t>
  </si>
  <si>
    <t>CH2</t>
  </si>
  <si>
    <t>CH3</t>
  </si>
  <si>
    <t>CH4</t>
  </si>
  <si>
    <t>CH5</t>
  </si>
  <si>
    <t>CH6</t>
  </si>
  <si>
    <t>COMMUN</t>
  </si>
  <si>
    <t>D2</t>
  </si>
  <si>
    <t>D3</t>
  </si>
  <si>
    <t>FL0</t>
  </si>
  <si>
    <t>FL1</t>
  </si>
  <si>
    <t>FL2</t>
  </si>
  <si>
    <t>FL4</t>
  </si>
  <si>
    <t>FS</t>
  </si>
  <si>
    <t>LAVERIE</t>
  </si>
  <si>
    <t>FL3</t>
  </si>
  <si>
    <t>E5</t>
  </si>
  <si>
    <t>CIRCUIT DE LA RP5</t>
  </si>
  <si>
    <t>H5</t>
  </si>
  <si>
    <t>H'5</t>
  </si>
  <si>
    <t>H5A</t>
  </si>
  <si>
    <t>TF RP5</t>
  </si>
  <si>
    <t>TREMIE H5</t>
  </si>
  <si>
    <t>T8</t>
  </si>
  <si>
    <t>C0</t>
  </si>
  <si>
    <t>C'0</t>
  </si>
  <si>
    <t>C1</t>
  </si>
  <si>
    <t>RPTS</t>
  </si>
  <si>
    <t>T7</t>
  </si>
  <si>
    <t>TF RPTS</t>
  </si>
  <si>
    <t>TREMIE CRIBLAGE"T7-T8"</t>
  </si>
  <si>
    <t>T6</t>
  </si>
  <si>
    <t>UNITE A</t>
  </si>
  <si>
    <t>UNITE G</t>
  </si>
  <si>
    <t>UNITE F</t>
  </si>
  <si>
    <t>UNITE E</t>
  </si>
  <si>
    <t>UNITE D</t>
  </si>
  <si>
    <t>UNITE B</t>
  </si>
  <si>
    <t>T9A</t>
  </si>
  <si>
    <t>T9G</t>
  </si>
  <si>
    <t>T9F</t>
  </si>
  <si>
    <t>T9E</t>
  </si>
  <si>
    <t>T9D</t>
  </si>
  <si>
    <t>T9C</t>
  </si>
  <si>
    <t>T9B</t>
  </si>
  <si>
    <t>T10A</t>
  </si>
  <si>
    <t>UNITE C</t>
  </si>
  <si>
    <t>T10G</t>
  </si>
  <si>
    <t>C9A</t>
  </si>
  <si>
    <t>T10F</t>
  </si>
  <si>
    <t>T10E</t>
  </si>
  <si>
    <t>T10D</t>
  </si>
  <si>
    <t>T10B</t>
  </si>
  <si>
    <t>C9G</t>
  </si>
  <si>
    <t>C9F</t>
  </si>
  <si>
    <t>C9E</t>
  </si>
  <si>
    <t>C9D</t>
  </si>
  <si>
    <t>C9C</t>
  </si>
  <si>
    <t>C9B</t>
  </si>
  <si>
    <t>T10C</t>
  </si>
  <si>
    <t>FT</t>
  </si>
  <si>
    <t>T23</t>
  </si>
  <si>
    <t>T26</t>
  </si>
  <si>
    <t>T25</t>
  </si>
  <si>
    <t>T27+JOY_T27</t>
  </si>
  <si>
    <t>T22+JOY_T22</t>
  </si>
  <si>
    <t>T20_T21</t>
  </si>
  <si>
    <t>T16</t>
  </si>
  <si>
    <t>T17+JOY_T17</t>
  </si>
  <si>
    <t>T14</t>
  </si>
  <si>
    <t>T13</t>
  </si>
  <si>
    <t>T12</t>
  </si>
  <si>
    <t>CIRCUIT DE STERILE</t>
  </si>
  <si>
    <t>RPSC et LIAISON</t>
  </si>
  <si>
    <t>TF_RPSC</t>
  </si>
  <si>
    <t>B3</t>
  </si>
  <si>
    <t>E1</t>
  </si>
  <si>
    <t>E2</t>
  </si>
  <si>
    <t>TREMIE CARREAU SC</t>
  </si>
  <si>
    <t>RPSC</t>
  </si>
  <si>
    <t>H4N-H6</t>
  </si>
  <si>
    <t xml:space="preserve">                                             </t>
  </si>
  <si>
    <t>NA</t>
  </si>
  <si>
    <t>BYPASS</t>
  </si>
  <si>
    <t>LH0</t>
  </si>
  <si>
    <t>LH1</t>
  </si>
  <si>
    <t>LH2</t>
  </si>
  <si>
    <t>LH3</t>
  </si>
  <si>
    <t>LH4</t>
  </si>
  <si>
    <t>LIAISON BENI AMIR</t>
  </si>
  <si>
    <t>TT05</t>
  </si>
  <si>
    <t>S1</t>
  </si>
  <si>
    <t>STLH</t>
  </si>
  <si>
    <t>TT01</t>
  </si>
  <si>
    <t>TT02</t>
  </si>
  <si>
    <t>TT03</t>
  </si>
  <si>
    <t>TT04</t>
  </si>
  <si>
    <t>LH5</t>
  </si>
  <si>
    <t>Installation : RP TS</t>
  </si>
  <si>
    <t xml:space="preserve"> </t>
  </si>
  <si>
    <t>BENI IDIR</t>
  </si>
  <si>
    <t>service</t>
  </si>
  <si>
    <t>E_MAN</t>
  </si>
  <si>
    <t>M_ELEC</t>
  </si>
  <si>
    <t>M_MEC</t>
  </si>
  <si>
    <t>M_INS</t>
  </si>
  <si>
    <t>M_REG</t>
  </si>
  <si>
    <t>M_BDM</t>
  </si>
  <si>
    <t>E_LAV</t>
  </si>
  <si>
    <t>X_COZ</t>
  </si>
  <si>
    <t>X_UBI</t>
  </si>
  <si>
    <t>X_EXT</t>
  </si>
  <si>
    <t>X_LME</t>
  </si>
  <si>
    <t>X_LBA</t>
  </si>
  <si>
    <t>vidange axe</t>
  </si>
  <si>
    <t>RPSC1_LIAISON</t>
  </si>
  <si>
    <t>AXE_RP3</t>
  </si>
  <si>
    <t>AXE_RP5</t>
  </si>
  <si>
    <t>AXE_UBI</t>
  </si>
  <si>
    <t>AXE_Laverie_UD</t>
  </si>
  <si>
    <t>RPTS_LIAISON</t>
  </si>
  <si>
    <t>AXE_CRIBLAGE</t>
  </si>
  <si>
    <t>RPSC2_LIAISON</t>
  </si>
  <si>
    <t>AXE_BENI_AMIR</t>
  </si>
  <si>
    <t>RPSC1</t>
  </si>
  <si>
    <t>Décanteur</t>
  </si>
  <si>
    <t>STBA</t>
  </si>
  <si>
    <t>S2</t>
  </si>
  <si>
    <t>LIAISON SC2</t>
  </si>
  <si>
    <t>LIAISON SC</t>
  </si>
  <si>
    <t>LIAISON SC1</t>
  </si>
  <si>
    <t>Trémie T18</t>
  </si>
  <si>
    <t>défaut fugitif</t>
  </si>
  <si>
    <t>Défaut démarrage</t>
  </si>
  <si>
    <t>Bande lachée</t>
  </si>
  <si>
    <t>DIRECTION EXECUTIVE
OPERATIONS INDUSTRIELLES
DIRECTION DE SITE  DE KHOURIBGA</t>
  </si>
  <si>
    <t>Fréquence</t>
  </si>
  <si>
    <t>Orientation STBA</t>
  </si>
  <si>
    <t>Translation &amp; orientation STBA</t>
  </si>
  <si>
    <t>Translation STBA</t>
  </si>
  <si>
    <t>Attente démarrage liaison BA</t>
  </si>
  <si>
    <t>Décolmatage Gtte</t>
  </si>
  <si>
    <t>Global</t>
  </si>
  <si>
    <t>Total</t>
  </si>
  <si>
    <t>H M  RPSC1</t>
  </si>
  <si>
    <t>H M  RPSC2</t>
  </si>
  <si>
    <t xml:space="preserve"> nettoyage suite chute de  la flèche</t>
  </si>
  <si>
    <t>H4S-H6</t>
  </si>
  <si>
    <t>Essais lavage simple</t>
  </si>
  <si>
    <t xml:space="preserve">Défaut disj puissance </t>
  </si>
  <si>
    <t>Montage Rouleaux</t>
  </si>
  <si>
    <t>Extraction d'un corp étrangé</t>
  </si>
  <si>
    <t xml:space="preserve">Nettoyage de la table </t>
  </si>
  <si>
    <t>Bande détendu</t>
  </si>
  <si>
    <t xml:space="preserve">Des élements d'agrafage arrachés </t>
  </si>
  <si>
    <t xml:space="preserve"> Suivi des arrêts </t>
  </si>
  <si>
    <t>Déclenchement translation</t>
  </si>
  <si>
    <t>Bouchage collecteur</t>
  </si>
  <si>
    <t>lavage de BTSC  sur PIPE</t>
  </si>
  <si>
    <t>lavage de TBTSC  sur PIPE</t>
  </si>
  <si>
    <t>lavage de TBTSC  sur H2</t>
  </si>
  <si>
    <t>lavage de BTSC  sur H2</t>
  </si>
  <si>
    <t xml:space="preserve">Changement d'un rouleau </t>
  </si>
  <si>
    <t>Tank  plein  + travaux sur les FLs</t>
  </si>
  <si>
    <t>refus déstockage de la TBTSC</t>
  </si>
  <si>
    <t>Cisaillement arbre moteur de translation N : 9</t>
  </si>
  <si>
    <t>Déconsignation de la liaison</t>
  </si>
  <si>
    <t xml:space="preserve">Arrêt planifié </t>
  </si>
  <si>
    <t xml:space="preserve">TP suite  FE sont à l'arrêt </t>
  </si>
  <si>
    <t>Changement bande FE2</t>
  </si>
  <si>
    <t xml:space="preserve">   </t>
  </si>
  <si>
    <t>Carte électronique défectueuse</t>
  </si>
  <si>
    <t xml:space="preserve">Manque BT ou TBT </t>
  </si>
  <si>
    <t>Travaux sur conduite de l'eau</t>
  </si>
  <si>
    <t>Sce des eaux</t>
  </si>
  <si>
    <t>gtte colmatee</t>
  </si>
  <si>
    <t>Changement moteur d'orientation</t>
  </si>
  <si>
    <t xml:space="preserve">réparation à froid </t>
  </si>
  <si>
    <t>cumul HM</t>
  </si>
  <si>
    <t>HTMLSC</t>
  </si>
  <si>
    <t>HTMTS</t>
  </si>
  <si>
    <t xml:space="preserve">Arrêt fugitif </t>
  </si>
  <si>
    <t>Changement navette</t>
  </si>
  <si>
    <t>Bypass</t>
  </si>
  <si>
    <t>Tank + Stock plein sur H2</t>
  </si>
  <si>
    <t>Changement position</t>
  </si>
  <si>
    <t>Défaut  départ disj treuil</t>
  </si>
  <si>
    <t>lavage de HTMSC</t>
  </si>
  <si>
    <t>lavage de HTNSC</t>
  </si>
  <si>
    <t>Changement de moteur électrique</t>
  </si>
  <si>
    <t xml:space="preserve">Entretien </t>
  </si>
  <si>
    <t xml:space="preserve">Rinçage </t>
  </si>
  <si>
    <t>PRL-LA-IT-06-F-02</t>
  </si>
  <si>
    <t>Bande tendu</t>
  </si>
  <si>
    <t xml:space="preserve">Défaut tension bande </t>
  </si>
  <si>
    <t>bourrage lt4 lt2</t>
  </si>
  <si>
    <t>20/08/2023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</si>
</sst>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$-F400]h:mm:ss\ AM/PM"/>
    <numFmt numFmtId="166" formatCode="0.0"/>
    <numFmt numFmtId="167" formatCode="#,##0.0"/>
  </numFmts>
  <fonts count="106" x14ac:knownFonts="1">
    <font>
      <sz val="10"/>
      <name val="Comic Sans MS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mic Sans MS"/>
      <family val="4"/>
    </font>
    <font>
      <b/>
      <sz val="18"/>
      <color rgb="FF000000"/>
      <name val="Calibri"/>
      <family val="2"/>
    </font>
    <font>
      <sz val="14"/>
      <name val="Comic Sans MS"/>
      <family val="4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name val="Calibri"/>
      <family val="2"/>
      <scheme val="minor"/>
    </font>
    <font>
      <sz val="24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36"/>
      <color theme="0"/>
      <name val="Agency FB"/>
      <family val="2"/>
    </font>
    <font>
      <b/>
      <sz val="20"/>
      <color theme="0"/>
      <name val="Agency FB"/>
      <family val="2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8"/>
      <color theme="1"/>
      <name val="Bahnschrift Light Condensed"/>
      <family val="2"/>
    </font>
    <font>
      <sz val="8"/>
      <color theme="1"/>
      <name val="Agency FB"/>
      <family val="2"/>
    </font>
    <font>
      <sz val="8"/>
      <color theme="1"/>
      <name val="Calibri"/>
      <family val="2"/>
      <scheme val="minor"/>
    </font>
    <font>
      <b/>
      <sz val="11"/>
      <color rgb="FFFFC000"/>
      <name val="Agency FB"/>
      <family val="2"/>
    </font>
    <font>
      <b/>
      <sz val="22"/>
      <color theme="1"/>
      <name val="Calibri"/>
      <family val="2"/>
      <scheme val="minor"/>
    </font>
    <font>
      <sz val="16"/>
      <name val="Verdana"/>
      <family val="2"/>
    </font>
    <font>
      <b/>
      <sz val="48"/>
      <color rgb="FF000099"/>
      <name val="Agency FB"/>
      <family val="2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8"/>
      <color theme="4"/>
      <name val="Agency FB"/>
      <family val="2"/>
    </font>
    <font>
      <b/>
      <sz val="22"/>
      <color theme="8" tint="-0.499984740745262"/>
      <name val="Agency FB"/>
      <family val="2"/>
    </font>
    <font>
      <b/>
      <sz val="26"/>
      <color theme="8" tint="-0.499984740745262"/>
      <name val="Agency FB"/>
      <family val="2"/>
    </font>
    <font>
      <sz val="9"/>
      <color theme="1"/>
      <name val="Bahnschrift Light Condensed"/>
      <family val="2"/>
    </font>
    <font>
      <sz val="10"/>
      <color theme="1"/>
      <name val="Bahnschrift Light Condensed"/>
      <family val="2"/>
    </font>
    <font>
      <sz val="22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8" tint="-0.499984740745262"/>
      <name val="Agency FB"/>
      <family val="2"/>
    </font>
    <font>
      <b/>
      <sz val="36"/>
      <color rgb="FF000099"/>
      <name val="Agency FB"/>
      <family val="2"/>
    </font>
    <font>
      <sz val="10"/>
      <color rgb="FFFF0000"/>
      <name val="Calibri"/>
      <family val="2"/>
      <scheme val="minor"/>
    </font>
    <font>
      <b/>
      <sz val="14"/>
      <name val="Arial"/>
      <family val="2"/>
    </font>
    <font>
      <sz val="10"/>
      <color indexed="8"/>
      <name val="Arial"/>
      <family val="2"/>
    </font>
    <font>
      <b/>
      <sz val="14"/>
      <color rgb="FFFF0000"/>
      <name val="Agency FB"/>
      <family val="2"/>
    </font>
    <font>
      <b/>
      <sz val="22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4"/>
      <color rgb="FFFF0000"/>
      <name val="Arial"/>
      <family val="2"/>
    </font>
    <font>
      <sz val="24"/>
      <name val="Verdana"/>
      <family val="2"/>
    </font>
    <font>
      <sz val="26"/>
      <name val="Calibri"/>
      <family val="2"/>
      <scheme val="minor"/>
    </font>
    <font>
      <sz val="8"/>
      <color indexed="8"/>
      <name val="Arial"/>
      <family val="2"/>
    </font>
    <font>
      <sz val="8"/>
      <color rgb="FF000000"/>
      <name val="Arial"/>
      <family val="2"/>
    </font>
    <font>
      <sz val="16"/>
      <name val="Calibri"/>
      <family val="2"/>
      <scheme val="minor"/>
    </font>
    <font>
      <sz val="8"/>
      <color rgb="FF000000"/>
      <name val="Arial"/>
      <family val="2"/>
    </font>
    <font>
      <sz val="10"/>
      <name val="Comic Sans MS"/>
      <family val="4"/>
    </font>
    <font>
      <b/>
      <sz val="24"/>
      <name val="Calibri"/>
      <family val="2"/>
      <scheme val="minor"/>
    </font>
    <font>
      <b/>
      <sz val="24"/>
      <name val="Verdana"/>
      <family val="2"/>
    </font>
    <font>
      <sz val="14"/>
      <name val="Arial"/>
      <family val="2"/>
    </font>
    <font>
      <sz val="14"/>
      <color rgb="FF000000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9"/>
      <name val="Arial"/>
      <family val="2"/>
    </font>
    <font>
      <b/>
      <sz val="14"/>
      <color theme="9"/>
      <name val="Arial"/>
      <family val="2"/>
    </font>
    <font>
      <b/>
      <sz val="26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6"/>
      <name val="Arial"/>
      <family val="2"/>
    </font>
    <font>
      <b/>
      <sz val="20"/>
      <name val="Arial"/>
      <family val="2"/>
    </font>
    <font>
      <b/>
      <sz val="28"/>
      <color theme="8" tint="-0.499984740745262"/>
      <name val="Agency FB"/>
      <family val="2"/>
    </font>
    <font>
      <sz val="26"/>
      <name val="Verdana"/>
      <family val="2"/>
    </font>
    <font>
      <sz val="20"/>
      <name val="Calibri"/>
      <family val="2"/>
      <scheme val="minor"/>
    </font>
    <font>
      <b/>
      <sz val="20"/>
      <color theme="3"/>
      <name val="Calibri"/>
      <family val="2"/>
      <scheme val="minor"/>
    </font>
    <font>
      <b/>
      <sz val="30"/>
      <color theme="8" tint="-0.499984740745262"/>
      <name val="Agency FB"/>
      <family val="2"/>
    </font>
    <font>
      <b/>
      <sz val="36"/>
      <name val="Calibri"/>
      <family val="2"/>
      <scheme val="minor"/>
    </font>
    <font>
      <b/>
      <sz val="3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24"/>
      <color theme="1"/>
      <name val="Comic Sans MS"/>
      <family val="4"/>
    </font>
    <font>
      <sz val="12"/>
      <color theme="1"/>
      <name val="Arial"/>
      <family val="2"/>
    </font>
    <font>
      <b/>
      <sz val="24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5"/>
      <color rgb="FFFF0000"/>
      <name val="Calibri"/>
      <family val="2"/>
      <scheme val="minor"/>
    </font>
    <font>
      <sz val="16"/>
      <color rgb="FFFF0000"/>
      <name val="Arial"/>
      <family val="2"/>
    </font>
    <font>
      <sz val="12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rgb="FFFF0000"/>
      <name val="Arial"/>
      <family val="2"/>
    </font>
    <font>
      <b/>
      <sz val="25"/>
      <name val="Calibri"/>
      <family val="2"/>
      <scheme val="minor"/>
    </font>
    <font>
      <sz val="16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8"/>
      <name val="Arial"/>
      <family val="2"/>
    </font>
    <font>
      <sz val="16"/>
      <color rgb="FFFFFF00"/>
      <name val="Arial"/>
      <family val="2"/>
    </font>
    <font>
      <b/>
      <sz val="18"/>
      <color theme="1"/>
      <name val="Arial"/>
      <family val="2"/>
    </font>
    <font>
      <b/>
      <sz val="18"/>
      <color rgb="FFFF0000"/>
      <name val="Arial"/>
      <family val="2"/>
    </font>
    <font>
      <b/>
      <sz val="12"/>
      <color rgb="FFFF0000"/>
      <name val="Arial"/>
      <family val="2"/>
    </font>
    <font>
      <sz val="20"/>
      <color rgb="FFFF0000"/>
      <name val="Comic Sans MS"/>
      <family val="4"/>
    </font>
  </fonts>
  <fills count="12">
    <fill>
      <patternFill patternType="none"/>
    </fill>
    <fill>
      <patternFill patternType="gray125"/>
    </fill>
    <fill>
      <patternFill patternType="solid">
        <fgColor rgb="FFC4D79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dotted">
        <color indexed="64"/>
      </top>
      <bottom style="medium">
        <color indexed="64"/>
      </bottom>
      <diagonal/>
    </border>
    <border>
      <left style="dash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ashed">
        <color indexed="64"/>
      </left>
      <right/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</borders>
  <cellStyleXfs count="11">
    <xf numFmtId="0" fontId="0" fillId="0" borderId="0"/>
    <xf numFmtId="0" fontId="3" fillId="0" borderId="0"/>
    <xf numFmtId="0" fontId="3" fillId="0" borderId="0"/>
    <xf numFmtId="0" fontId="4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9" fontId="53" fillId="0" borderId="0" applyFont="0" applyFill="0" applyBorder="0" applyAlignment="0" applyProtection="0"/>
    <xf numFmtId="0" fontId="2" fillId="0" borderId="0"/>
    <xf numFmtId="0" fontId="1" fillId="0" borderId="0"/>
  </cellStyleXfs>
  <cellXfs count="789">
    <xf numFmtId="0" fontId="0" fillId="0" borderId="0" xfId="0"/>
    <xf numFmtId="0" fontId="4" fillId="0" borderId="0" xfId="0" applyFont="1"/>
    <xf numFmtId="0" fontId="5" fillId="2" borderId="5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8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0" borderId="0" xfId="0" applyFont="1" applyBorder="1" applyAlignment="1">
      <alignment horizontal="center" vertical="center" wrapText="1"/>
    </xf>
    <xf numFmtId="0" fontId="7" fillId="0" borderId="0" xfId="0" applyFont="1" applyBorder="1"/>
    <xf numFmtId="0" fontId="17" fillId="0" borderId="0" xfId="0" applyFont="1" applyBorder="1"/>
    <xf numFmtId="0" fontId="13" fillId="0" borderId="0" xfId="0" applyFont="1" applyBorder="1" applyAlignment="1">
      <alignment horizontal="center" vertical="center"/>
    </xf>
    <xf numFmtId="0" fontId="16" fillId="0" borderId="0" xfId="0" applyFont="1"/>
    <xf numFmtId="0" fontId="8" fillId="5" borderId="0" xfId="0" applyFont="1" applyFill="1" applyBorder="1" applyAlignment="1">
      <alignment horizontal="center"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0" xfId="0" applyFont="1" applyFill="1" applyBorder="1" applyAlignment="1">
      <alignment horizontal="left" vertical="center" wrapText="1" indent="1"/>
    </xf>
    <xf numFmtId="0" fontId="8" fillId="5" borderId="0" xfId="0" applyFont="1" applyFill="1" applyBorder="1" applyAlignment="1">
      <alignment horizontal="left" vertical="center" wrapText="1" indent="1"/>
    </xf>
    <xf numFmtId="0" fontId="16" fillId="0" borderId="0" xfId="0" applyFont="1" applyBorder="1" applyAlignment="1">
      <alignment horizontal="left" vertical="center" wrapText="1" indent="1"/>
    </xf>
    <xf numFmtId="0" fontId="16" fillId="0" borderId="0" xfId="0" applyFont="1" applyBorder="1" applyAlignment="1">
      <alignment horizontal="center"/>
    </xf>
    <xf numFmtId="0" fontId="0" fillId="6" borderId="0" xfId="0" applyFill="1"/>
    <xf numFmtId="0" fontId="19" fillId="6" borderId="0" xfId="0" applyFont="1" applyFill="1" applyBorder="1"/>
    <xf numFmtId="0" fontId="20" fillId="6" borderId="0" xfId="0" applyFont="1" applyFill="1" applyBorder="1"/>
    <xf numFmtId="0" fontId="20" fillId="6" borderId="0" xfId="0" applyFont="1" applyFill="1" applyBorder="1" applyAlignment="1">
      <alignment shrinkToFit="1"/>
    </xf>
    <xf numFmtId="0" fontId="21" fillId="6" borderId="0" xfId="0" applyFont="1" applyFill="1" applyBorder="1" applyAlignment="1">
      <alignment horizontal="center" vertical="center" wrapText="1"/>
    </xf>
    <xf numFmtId="0" fontId="22" fillId="6" borderId="1" xfId="0" applyFont="1" applyFill="1" applyBorder="1" applyAlignment="1" applyProtection="1">
      <alignment wrapText="1"/>
      <protection hidden="1"/>
    </xf>
    <xf numFmtId="0" fontId="23" fillId="6" borderId="2" xfId="0" applyFont="1" applyFill="1" applyBorder="1" applyAlignment="1" applyProtection="1">
      <alignment wrapText="1"/>
      <protection hidden="1"/>
    </xf>
    <xf numFmtId="0" fontId="24" fillId="6" borderId="6" xfId="0" applyFont="1" applyFill="1" applyBorder="1" applyAlignment="1" applyProtection="1">
      <protection hidden="1"/>
    </xf>
    <xf numFmtId="0" fontId="25" fillId="6" borderId="0" xfId="0" applyFont="1" applyFill="1" applyBorder="1" applyAlignment="1">
      <alignment horizontal="center" vertical="center" wrapText="1"/>
    </xf>
    <xf numFmtId="0" fontId="19" fillId="5" borderId="0" xfId="0" applyFont="1" applyFill="1" applyBorder="1" applyAlignment="1">
      <alignment horizontal="left" vertical="center"/>
    </xf>
    <xf numFmtId="0" fontId="25" fillId="5" borderId="0" xfId="0" applyFont="1" applyFill="1" applyBorder="1" applyAlignment="1">
      <alignment vertical="center"/>
    </xf>
    <xf numFmtId="0" fontId="29" fillId="5" borderId="2" xfId="0" applyFont="1" applyFill="1" applyBorder="1" applyAlignment="1" applyProtection="1">
      <protection hidden="1"/>
    </xf>
    <xf numFmtId="0" fontId="29" fillId="5" borderId="2" xfId="0" applyFont="1" applyFill="1" applyBorder="1" applyAlignment="1"/>
    <xf numFmtId="0" fontId="26" fillId="5" borderId="2" xfId="0" applyFont="1" applyFill="1" applyBorder="1" applyAlignment="1" applyProtection="1">
      <protection hidden="1"/>
    </xf>
    <xf numFmtId="14" fontId="31" fillId="5" borderId="0" xfId="0" applyNumberFormat="1" applyFont="1" applyFill="1" applyBorder="1" applyAlignment="1">
      <alignment horizontal="center"/>
    </xf>
    <xf numFmtId="0" fontId="31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14" fontId="29" fillId="5" borderId="13" xfId="0" applyNumberFormat="1" applyFont="1" applyFill="1" applyBorder="1" applyAlignment="1">
      <alignment horizontal="center" vertical="center"/>
    </xf>
    <xf numFmtId="0" fontId="29" fillId="5" borderId="13" xfId="0" applyFont="1" applyFill="1" applyBorder="1" applyAlignment="1">
      <alignment vertical="center"/>
    </xf>
    <xf numFmtId="0" fontId="36" fillId="0" borderId="0" xfId="0" applyFont="1"/>
    <xf numFmtId="0" fontId="37" fillId="0" borderId="0" xfId="0" applyFont="1"/>
    <xf numFmtId="0" fontId="15" fillId="0" borderId="0" xfId="0" applyFont="1" applyBorder="1" applyAlignment="1">
      <alignment horizontal="center" vertical="center" wrapText="1"/>
    </xf>
    <xf numFmtId="0" fontId="25" fillId="6" borderId="0" xfId="0" applyFont="1" applyFill="1" applyBorder="1" applyAlignment="1">
      <alignment vertical="center" wrapText="1"/>
    </xf>
    <xf numFmtId="0" fontId="32" fillId="5" borderId="13" xfId="0" applyFont="1" applyFill="1" applyBorder="1" applyAlignment="1">
      <alignment horizontal="center" vertical="center" wrapText="1"/>
    </xf>
    <xf numFmtId="0" fontId="4" fillId="0" borderId="0" xfId="0" quotePrefix="1" applyFont="1"/>
    <xf numFmtId="0" fontId="40" fillId="0" borderId="0" xfId="0" applyFont="1" applyBorder="1"/>
    <xf numFmtId="0" fontId="40" fillId="0" borderId="0" xfId="0" applyFont="1"/>
    <xf numFmtId="0" fontId="8" fillId="0" borderId="0" xfId="0" applyNumberFormat="1" applyFont="1" applyFill="1" applyBorder="1" applyAlignment="1">
      <alignment vertical="center" wrapText="1" readingOrder="1"/>
    </xf>
    <xf numFmtId="0" fontId="3" fillId="5" borderId="0" xfId="0" applyFont="1" applyFill="1" applyBorder="1" applyAlignment="1">
      <alignment vertical="center"/>
    </xf>
    <xf numFmtId="3" fontId="3" fillId="5" borderId="0" xfId="0" applyNumberFormat="1" applyFont="1" applyFill="1" applyBorder="1" applyAlignment="1">
      <alignment horizontal="center" vertical="center"/>
    </xf>
    <xf numFmtId="20" fontId="3" fillId="5" borderId="0" xfId="0" applyNumberFormat="1" applyFont="1" applyFill="1" applyBorder="1" applyAlignment="1">
      <alignment vertical="center"/>
    </xf>
    <xf numFmtId="3" fontId="42" fillId="5" borderId="0" xfId="0" applyNumberFormat="1" applyFont="1" applyFill="1" applyBorder="1" applyAlignment="1">
      <alignment horizontal="center" vertical="center"/>
    </xf>
    <xf numFmtId="0" fontId="3" fillId="8" borderId="33" xfId="0" applyFont="1" applyFill="1" applyBorder="1" applyAlignment="1">
      <alignment horizontal="center" vertical="center"/>
    </xf>
    <xf numFmtId="2" fontId="41" fillId="0" borderId="33" xfId="0" applyNumberFormat="1" applyFont="1" applyBorder="1" applyAlignment="1">
      <alignment horizontal="center" vertical="center"/>
    </xf>
    <xf numFmtId="0" fontId="16" fillId="9" borderId="33" xfId="0" applyFont="1" applyFill="1" applyBorder="1" applyAlignment="1">
      <alignment horizontal="center" vertical="center"/>
    </xf>
    <xf numFmtId="14" fontId="31" fillId="5" borderId="0" xfId="0" applyNumberFormat="1" applyFont="1" applyFill="1" applyBorder="1" applyAlignment="1">
      <alignment horizontal="center"/>
    </xf>
    <xf numFmtId="0" fontId="25" fillId="6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38" fillId="5" borderId="25" xfId="0" applyFont="1" applyFill="1" applyBorder="1" applyAlignment="1">
      <alignment horizontal="center" vertical="center" wrapText="1"/>
    </xf>
    <xf numFmtId="0" fontId="38" fillId="5" borderId="26" xfId="0" applyFont="1" applyFill="1" applyBorder="1" applyAlignment="1">
      <alignment horizontal="center" vertical="center" wrapText="1"/>
    </xf>
    <xf numFmtId="0" fontId="38" fillId="5" borderId="27" xfId="0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43" fillId="5" borderId="36" xfId="0" applyFont="1" applyFill="1" applyBorder="1" applyAlignment="1">
      <alignment horizontal="center" vertical="center" wrapText="1"/>
    </xf>
    <xf numFmtId="0" fontId="43" fillId="5" borderId="19" xfId="0" applyFont="1" applyFill="1" applyBorder="1" applyAlignment="1">
      <alignment horizontal="center" vertical="center" wrapText="1"/>
    </xf>
    <xf numFmtId="0" fontId="43" fillId="5" borderId="28" xfId="0" applyFont="1" applyFill="1" applyBorder="1" applyAlignment="1">
      <alignment horizontal="center" vertical="center" wrapText="1"/>
    </xf>
    <xf numFmtId="0" fontId="38" fillId="5" borderId="35" xfId="0" applyFont="1" applyFill="1" applyBorder="1" applyAlignment="1">
      <alignment horizontal="center" vertical="center" wrapText="1"/>
    </xf>
    <xf numFmtId="0" fontId="38" fillId="5" borderId="38" xfId="0" applyFont="1" applyFill="1" applyBorder="1" applyAlignment="1">
      <alignment horizontal="center" vertical="center" wrapText="1"/>
    </xf>
    <xf numFmtId="0" fontId="38" fillId="5" borderId="39" xfId="0" applyFont="1" applyFill="1" applyBorder="1" applyAlignment="1">
      <alignment horizontal="center" vertical="center" wrapText="1"/>
    </xf>
    <xf numFmtId="0" fontId="44" fillId="5" borderId="0" xfId="0" applyFont="1" applyFill="1" applyBorder="1" applyAlignment="1">
      <alignment horizontal="center" vertical="center"/>
    </xf>
    <xf numFmtId="0" fontId="7" fillId="0" borderId="33" xfId="0" applyFont="1" applyBorder="1"/>
    <xf numFmtId="0" fontId="40" fillId="0" borderId="33" xfId="0" applyFont="1" applyBorder="1"/>
    <xf numFmtId="0" fontId="45" fillId="8" borderId="33" xfId="0" applyFont="1" applyFill="1" applyBorder="1" applyAlignment="1">
      <alignment horizontal="center" vertical="center"/>
    </xf>
    <xf numFmtId="2" fontId="46" fillId="0" borderId="33" xfId="0" applyNumberFormat="1" applyFont="1" applyBorder="1" applyAlignment="1">
      <alignment horizontal="center" vertical="center"/>
    </xf>
    <xf numFmtId="0" fontId="7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2" fontId="41" fillId="0" borderId="0" xfId="0" applyNumberFormat="1" applyFont="1" applyFill="1" applyBorder="1" applyAlignment="1">
      <alignment horizontal="center" vertical="center"/>
    </xf>
    <xf numFmtId="164" fontId="27" fillId="0" borderId="12" xfId="2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25" fillId="6" borderId="0" xfId="0" applyFont="1" applyFill="1" applyBorder="1" applyAlignment="1">
      <alignment horizontal="center" vertical="center" wrapText="1"/>
    </xf>
    <xf numFmtId="0" fontId="38" fillId="0" borderId="35" xfId="0" applyFont="1" applyFill="1" applyBorder="1" applyAlignment="1">
      <alignment horizontal="center" vertical="center" wrapText="1"/>
    </xf>
    <xf numFmtId="0" fontId="38" fillId="0" borderId="38" xfId="0" applyFont="1" applyFill="1" applyBorder="1" applyAlignment="1">
      <alignment horizontal="center" vertical="center" wrapText="1"/>
    </xf>
    <xf numFmtId="0" fontId="38" fillId="0" borderId="39" xfId="0" applyFont="1" applyFill="1" applyBorder="1" applyAlignment="1">
      <alignment horizontal="center" vertical="center" wrapText="1"/>
    </xf>
    <xf numFmtId="164" fontId="47" fillId="0" borderId="12" xfId="2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Border="1"/>
    <xf numFmtId="0" fontId="14" fillId="0" borderId="0" xfId="0" applyFont="1"/>
    <xf numFmtId="0" fontId="4" fillId="0" borderId="0" xfId="3"/>
    <xf numFmtId="0" fontId="49" fillId="10" borderId="47" xfId="4" applyFont="1" applyFill="1" applyBorder="1" applyAlignment="1">
      <alignment horizontal="center"/>
    </xf>
    <xf numFmtId="0" fontId="49" fillId="0" borderId="48" xfId="4" applyFont="1" applyFill="1" applyBorder="1" applyAlignment="1">
      <alignment wrapText="1"/>
    </xf>
    <xf numFmtId="0" fontId="49" fillId="10" borderId="47" xfId="5" applyFont="1" applyFill="1" applyBorder="1" applyAlignment="1">
      <alignment horizontal="center"/>
    </xf>
    <xf numFmtId="0" fontId="49" fillId="0" borderId="48" xfId="5" applyFont="1" applyFill="1" applyBorder="1" applyAlignment="1">
      <alignment wrapText="1"/>
    </xf>
    <xf numFmtId="0" fontId="49" fillId="10" borderId="47" xfId="6" applyFont="1" applyFill="1" applyBorder="1" applyAlignment="1">
      <alignment horizontal="center"/>
    </xf>
    <xf numFmtId="0" fontId="49" fillId="0" borderId="48" xfId="6" applyFont="1" applyFill="1" applyBorder="1" applyAlignment="1">
      <alignment wrapText="1"/>
    </xf>
    <xf numFmtId="0" fontId="49" fillId="10" borderId="47" xfId="7" applyFont="1" applyFill="1" applyBorder="1" applyAlignment="1">
      <alignment horizontal="center"/>
    </xf>
    <xf numFmtId="0" fontId="49" fillId="0" borderId="48" xfId="7" applyFont="1" applyFill="1" applyBorder="1" applyAlignment="1">
      <alignment wrapText="1"/>
    </xf>
    <xf numFmtId="0" fontId="50" fillId="0" borderId="40" xfId="0" applyFont="1" applyFill="1" applyBorder="1" applyAlignment="1" applyProtection="1">
      <alignment vertical="center" wrapText="1"/>
    </xf>
    <xf numFmtId="0" fontId="52" fillId="0" borderId="40" xfId="0" applyFont="1" applyFill="1" applyBorder="1" applyAlignment="1" applyProtection="1">
      <alignment vertical="center" wrapText="1"/>
    </xf>
    <xf numFmtId="0" fontId="16" fillId="0" borderId="0" xfId="0" applyFont="1" applyBorder="1" applyAlignment="1">
      <alignment horizontal="center"/>
    </xf>
    <xf numFmtId="164" fontId="7" fillId="0" borderId="0" xfId="0" applyNumberFormat="1" applyFont="1"/>
    <xf numFmtId="164" fontId="54" fillId="0" borderId="13" xfId="0" applyNumberFormat="1" applyFont="1" applyBorder="1" applyAlignment="1">
      <alignment horizontal="center" vertical="center" wrapText="1"/>
    </xf>
    <xf numFmtId="9" fontId="54" fillId="0" borderId="13" xfId="8" applyFont="1" applyBorder="1" applyAlignment="1">
      <alignment horizontal="center" vertical="center"/>
    </xf>
    <xf numFmtId="9" fontId="54" fillId="5" borderId="13" xfId="8" applyFont="1" applyFill="1" applyBorder="1" applyAlignment="1">
      <alignment horizontal="center" vertical="center"/>
    </xf>
    <xf numFmtId="164" fontId="47" fillId="5" borderId="13" xfId="0" applyNumberFormat="1" applyFont="1" applyFill="1" applyBorder="1" applyAlignment="1" applyProtection="1">
      <alignment horizontal="center" vertical="center"/>
      <protection hidden="1"/>
    </xf>
    <xf numFmtId="164" fontId="55" fillId="0" borderId="13" xfId="0" applyNumberFormat="1" applyFont="1" applyBorder="1" applyAlignment="1">
      <alignment horizontal="center" vertical="center" wrapText="1"/>
    </xf>
    <xf numFmtId="9" fontId="55" fillId="0" borderId="13" xfId="8" applyFont="1" applyBorder="1" applyAlignment="1">
      <alignment horizontal="center" vertical="center"/>
    </xf>
    <xf numFmtId="9" fontId="55" fillId="5" borderId="13" xfId="8" applyFont="1" applyFill="1" applyBorder="1" applyAlignment="1">
      <alignment horizontal="center" vertical="center"/>
    </xf>
    <xf numFmtId="0" fontId="47" fillId="0" borderId="0" xfId="0" applyFont="1"/>
    <xf numFmtId="0" fontId="32" fillId="5" borderId="13" xfId="0" applyFont="1" applyFill="1" applyBorder="1" applyAlignment="1">
      <alignment horizontal="center" vertical="center" wrapText="1"/>
    </xf>
    <xf numFmtId="0" fontId="32" fillId="5" borderId="13" xfId="0" applyFont="1" applyFill="1" applyBorder="1" applyAlignment="1">
      <alignment horizontal="center" vertical="center" wrapText="1"/>
    </xf>
    <xf numFmtId="0" fontId="56" fillId="0" borderId="0" xfId="0" applyFont="1"/>
    <xf numFmtId="0" fontId="56" fillId="0" borderId="49" xfId="0" applyFont="1" applyBorder="1" applyAlignment="1">
      <alignment horizontal="center" vertical="center"/>
    </xf>
    <xf numFmtId="0" fontId="56" fillId="11" borderId="49" xfId="0" applyFont="1" applyFill="1" applyBorder="1" applyAlignment="1">
      <alignment horizontal="center" vertical="center"/>
    </xf>
    <xf numFmtId="0" fontId="57" fillId="11" borderId="49" xfId="0" applyFont="1" applyFill="1" applyBorder="1" applyAlignment="1" applyProtection="1">
      <alignment horizontal="center" vertical="center" wrapText="1"/>
    </xf>
    <xf numFmtId="0" fontId="56" fillId="7" borderId="49" xfId="0" applyFont="1" applyFill="1" applyBorder="1"/>
    <xf numFmtId="0" fontId="57" fillId="7" borderId="49" xfId="0" applyFont="1" applyFill="1" applyBorder="1" applyAlignment="1" applyProtection="1">
      <alignment vertical="center" wrapText="1"/>
    </xf>
    <xf numFmtId="0" fontId="57" fillId="0" borderId="49" xfId="9" applyFont="1" applyFill="1" applyBorder="1" applyAlignment="1" applyProtection="1">
      <alignment horizontal="center" vertical="center" wrapText="1"/>
    </xf>
    <xf numFmtId="0" fontId="56" fillId="0" borderId="49" xfId="0" applyFont="1" applyBorder="1" applyAlignment="1">
      <alignment horizontal="left" vertical="center"/>
    </xf>
    <xf numFmtId="0" fontId="51" fillId="5" borderId="51" xfId="0" applyFont="1" applyFill="1" applyBorder="1" applyAlignment="1">
      <alignment horizontal="center" vertical="center"/>
    </xf>
    <xf numFmtId="164" fontId="27" fillId="0" borderId="51" xfId="2" applyNumberFormat="1" applyFont="1" applyFill="1" applyBorder="1" applyAlignment="1" applyProtection="1">
      <alignment horizontal="center" vertical="center"/>
      <protection locked="0"/>
    </xf>
    <xf numFmtId="0" fontId="33" fillId="5" borderId="13" xfId="0" applyFont="1" applyFill="1" applyBorder="1" applyAlignment="1">
      <alignment horizontal="center" vertical="center" wrapText="1"/>
    </xf>
    <xf numFmtId="0" fontId="58" fillId="7" borderId="49" xfId="10" applyFont="1" applyFill="1" applyBorder="1" applyAlignment="1">
      <alignment horizontal="left" vertical="center"/>
    </xf>
    <xf numFmtId="0" fontId="59" fillId="7" borderId="49" xfId="10" applyFont="1" applyFill="1" applyBorder="1" applyAlignment="1">
      <alignment horizontal="center" vertical="center"/>
    </xf>
    <xf numFmtId="0" fontId="58" fillId="0" borderId="0" xfId="10" applyFont="1" applyAlignment="1">
      <alignment horizontal="left"/>
    </xf>
    <xf numFmtId="0" fontId="58" fillId="0" borderId="49" xfId="10" applyFont="1" applyBorder="1" applyAlignment="1">
      <alignment horizontal="left" vertical="center"/>
    </xf>
    <xf numFmtId="0" fontId="60" fillId="0" borderId="49" xfId="10" applyFont="1" applyFill="1" applyBorder="1" applyAlignment="1" applyProtection="1">
      <alignment horizontal="left" vertical="center" wrapText="1"/>
    </xf>
    <xf numFmtId="0" fontId="60" fillId="0" borderId="40" xfId="10" applyFont="1" applyFill="1" applyBorder="1" applyAlignment="1" applyProtection="1">
      <alignment horizontal="left" vertical="center" wrapText="1"/>
    </xf>
    <xf numFmtId="0" fontId="38" fillId="5" borderId="13" xfId="0" applyFont="1" applyFill="1" applyBorder="1" applyAlignment="1">
      <alignment horizontal="center" vertical="center" wrapText="1"/>
    </xf>
    <xf numFmtId="164" fontId="0" fillId="0" borderId="0" xfId="0" applyNumberFormat="1"/>
    <xf numFmtId="0" fontId="33" fillId="5" borderId="13" xfId="0" applyFont="1" applyFill="1" applyBorder="1" applyAlignment="1">
      <alignment horizontal="center" vertical="center" wrapText="1"/>
    </xf>
    <xf numFmtId="0" fontId="65" fillId="0" borderId="14" xfId="0" applyFont="1" applyBorder="1" applyAlignment="1">
      <alignment horizontal="center"/>
    </xf>
    <xf numFmtId="0" fontId="66" fillId="0" borderId="15" xfId="0" applyFont="1" applyBorder="1" applyAlignment="1" applyProtection="1">
      <alignment horizontal="center"/>
    </xf>
    <xf numFmtId="0" fontId="66" fillId="0" borderId="23" xfId="0" applyFont="1" applyBorder="1" applyAlignment="1" applyProtection="1">
      <alignment horizontal="center"/>
    </xf>
    <xf numFmtId="49" fontId="67" fillId="0" borderId="14" xfId="0" applyNumberFormat="1" applyFont="1" applyBorder="1" applyAlignment="1">
      <alignment horizontal="center" vertical="center"/>
    </xf>
    <xf numFmtId="166" fontId="67" fillId="0" borderId="16" xfId="0" applyNumberFormat="1" applyFont="1" applyFill="1" applyBorder="1" applyAlignment="1">
      <alignment horizontal="center" vertical="center"/>
    </xf>
    <xf numFmtId="49" fontId="67" fillId="0" borderId="23" xfId="0" applyNumberFormat="1" applyFont="1" applyBorder="1" applyAlignment="1">
      <alignment horizontal="center" vertical="center"/>
    </xf>
    <xf numFmtId="166" fontId="67" fillId="0" borderId="32" xfId="0" applyNumberFormat="1" applyFont="1" applyFill="1" applyBorder="1" applyAlignment="1">
      <alignment horizontal="center" vertical="center"/>
    </xf>
    <xf numFmtId="49" fontId="64" fillId="0" borderId="14" xfId="0" applyNumberFormat="1" applyFont="1" applyBorder="1" applyAlignment="1">
      <alignment horizontal="center" vertical="center"/>
    </xf>
    <xf numFmtId="166" fontId="64" fillId="0" borderId="16" xfId="0" applyNumberFormat="1" applyFont="1" applyFill="1" applyBorder="1" applyAlignment="1">
      <alignment horizontal="center" vertical="center"/>
    </xf>
    <xf numFmtId="49" fontId="64" fillId="0" borderId="23" xfId="0" applyNumberFormat="1" applyFont="1" applyBorder="1" applyAlignment="1">
      <alignment horizontal="center" vertical="center"/>
    </xf>
    <xf numFmtId="166" fontId="64" fillId="0" borderId="32" xfId="0" applyNumberFormat="1" applyFont="1" applyFill="1" applyBorder="1" applyAlignment="1">
      <alignment horizontal="center" vertical="center"/>
    </xf>
    <xf numFmtId="0" fontId="66" fillId="0" borderId="46" xfId="0" applyFont="1" applyBorder="1" applyAlignment="1" applyProtection="1">
      <alignment horizontal="center"/>
    </xf>
    <xf numFmtId="49" fontId="65" fillId="0" borderId="14" xfId="0" applyNumberFormat="1" applyFont="1" applyFill="1" applyBorder="1" applyAlignment="1">
      <alignment horizontal="center"/>
    </xf>
    <xf numFmtId="49" fontId="65" fillId="0" borderId="15" xfId="0" applyNumberFormat="1" applyFont="1" applyFill="1" applyBorder="1" applyAlignment="1" applyProtection="1">
      <alignment horizontal="center"/>
    </xf>
    <xf numFmtId="0" fontId="48" fillId="5" borderId="50" xfId="0" applyFont="1" applyFill="1" applyBorder="1" applyAlignment="1">
      <alignment horizontal="center" vertical="center"/>
    </xf>
    <xf numFmtId="164" fontId="70" fillId="0" borderId="50" xfId="2" applyNumberFormat="1" applyFont="1" applyFill="1" applyBorder="1" applyAlignment="1" applyProtection="1">
      <alignment horizontal="center" vertical="center"/>
      <protection locked="0"/>
    </xf>
    <xf numFmtId="164" fontId="70" fillId="5" borderId="50" xfId="0" applyNumberFormat="1" applyFont="1" applyFill="1" applyBorder="1" applyAlignment="1" applyProtection="1">
      <alignment horizontal="center" vertical="center"/>
      <protection hidden="1"/>
    </xf>
    <xf numFmtId="0" fontId="48" fillId="5" borderId="51" xfId="0" applyFont="1" applyFill="1" applyBorder="1" applyAlignment="1">
      <alignment horizontal="center" vertical="center"/>
    </xf>
    <xf numFmtId="164" fontId="70" fillId="0" borderId="51" xfId="2" applyNumberFormat="1" applyFont="1" applyFill="1" applyBorder="1" applyAlignment="1" applyProtection="1">
      <alignment horizontal="center" vertical="center"/>
      <protection locked="0"/>
    </xf>
    <xf numFmtId="0" fontId="71" fillId="5" borderId="50" xfId="0" applyFont="1" applyFill="1" applyBorder="1" applyAlignment="1">
      <alignment horizontal="center" vertical="center"/>
    </xf>
    <xf numFmtId="0" fontId="71" fillId="5" borderId="51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" fontId="47" fillId="5" borderId="13" xfId="0" applyNumberFormat="1" applyFont="1" applyFill="1" applyBorder="1" applyAlignment="1" applyProtection="1">
      <alignment horizontal="center" vertical="center"/>
      <protection hidden="1"/>
    </xf>
    <xf numFmtId="0" fontId="72" fillId="7" borderId="13" xfId="0" applyFont="1" applyFill="1" applyBorder="1" applyAlignment="1">
      <alignment horizontal="center" vertical="center"/>
    </xf>
    <xf numFmtId="49" fontId="67" fillId="0" borderId="13" xfId="0" applyNumberFormat="1" applyFont="1" applyBorder="1" applyAlignment="1">
      <alignment horizontal="center" vertical="center"/>
    </xf>
    <xf numFmtId="166" fontId="67" fillId="0" borderId="13" xfId="0" applyNumberFormat="1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 wrapText="1"/>
    </xf>
    <xf numFmtId="0" fontId="33" fillId="5" borderId="11" xfId="0" applyFont="1" applyFill="1" applyBorder="1" applyAlignment="1">
      <alignment horizontal="center" vertical="center" wrapText="1"/>
    </xf>
    <xf numFmtId="49" fontId="68" fillId="0" borderId="11" xfId="0" applyNumberFormat="1" applyFont="1" applyBorder="1" applyAlignment="1">
      <alignment horizontal="center" vertical="center"/>
    </xf>
    <xf numFmtId="49" fontId="67" fillId="0" borderId="11" xfId="0" applyNumberFormat="1" applyFont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6" fontId="10" fillId="0" borderId="13" xfId="0" applyNumberFormat="1" applyFont="1" applyBorder="1" applyAlignment="1">
      <alignment horizontal="center" vertical="center"/>
    </xf>
    <xf numFmtId="166" fontId="67" fillId="7" borderId="13" xfId="0" applyNumberFormat="1" applyFont="1" applyFill="1" applyBorder="1" applyAlignment="1">
      <alignment horizontal="center" vertical="center"/>
    </xf>
    <xf numFmtId="0" fontId="7" fillId="0" borderId="0" xfId="0" applyFont="1" applyFill="1"/>
    <xf numFmtId="0" fontId="74" fillId="0" borderId="0" xfId="0" applyFont="1" applyAlignment="1">
      <alignment vertical="center"/>
    </xf>
    <xf numFmtId="0" fontId="75" fillId="0" borderId="0" xfId="0" applyFont="1" applyAlignment="1">
      <alignment vertical="center"/>
    </xf>
    <xf numFmtId="3" fontId="11" fillId="7" borderId="37" xfId="0" applyNumberFormat="1" applyFont="1" applyFill="1" applyBorder="1" applyAlignment="1">
      <alignment horizontal="center" vertical="center"/>
    </xf>
    <xf numFmtId="3" fontId="11" fillId="7" borderId="30" xfId="0" applyNumberFormat="1" applyFont="1" applyFill="1" applyBorder="1" applyAlignment="1">
      <alignment horizontal="center" vertical="center"/>
    </xf>
    <xf numFmtId="3" fontId="11" fillId="3" borderId="19" xfId="0" applyNumberFormat="1" applyFont="1" applyFill="1" applyBorder="1" applyAlignment="1">
      <alignment horizontal="center" vertical="center"/>
    </xf>
    <xf numFmtId="3" fontId="11" fillId="3" borderId="21" xfId="0" applyNumberFormat="1" applyFont="1" applyFill="1" applyBorder="1" applyAlignment="1">
      <alignment horizontal="center" vertical="center"/>
    </xf>
    <xf numFmtId="3" fontId="11" fillId="4" borderId="28" xfId="0" applyNumberFormat="1" applyFont="1" applyFill="1" applyBorder="1" applyAlignment="1">
      <alignment horizontal="center" vertical="center"/>
    </xf>
    <xf numFmtId="3" fontId="11" fillId="4" borderId="24" xfId="0" applyNumberFormat="1" applyFont="1" applyFill="1" applyBorder="1" applyAlignment="1">
      <alignment horizontal="center" vertical="center"/>
    </xf>
    <xf numFmtId="167" fontId="11" fillId="7" borderId="30" xfId="0" applyNumberFormat="1" applyFont="1" applyFill="1" applyBorder="1" applyAlignment="1">
      <alignment horizontal="center" vertical="center"/>
    </xf>
    <xf numFmtId="167" fontId="11" fillId="3" borderId="21" xfId="0" applyNumberFormat="1" applyFont="1" applyFill="1" applyBorder="1" applyAlignment="1">
      <alignment horizontal="center" vertical="center"/>
    </xf>
    <xf numFmtId="167" fontId="11" fillId="4" borderId="24" xfId="0" applyNumberFormat="1" applyFont="1" applyFill="1" applyBorder="1" applyAlignment="1">
      <alignment horizontal="center" vertical="center"/>
    </xf>
    <xf numFmtId="3" fontId="65" fillId="0" borderId="14" xfId="0" applyNumberFormat="1" applyFont="1" applyFill="1" applyBorder="1" applyAlignment="1">
      <alignment horizontal="center"/>
    </xf>
    <xf numFmtId="3" fontId="77" fillId="0" borderId="14" xfId="0" applyNumberFormat="1" applyFont="1" applyFill="1" applyBorder="1" applyAlignment="1" applyProtection="1">
      <alignment horizontal="center"/>
    </xf>
    <xf numFmtId="3" fontId="77" fillId="0" borderId="14" xfId="0" applyNumberFormat="1" applyFont="1" applyBorder="1" applyAlignment="1">
      <alignment horizontal="center"/>
    </xf>
    <xf numFmtId="3" fontId="77" fillId="7" borderId="14" xfId="0" applyNumberFormat="1" applyFont="1" applyFill="1" applyBorder="1" applyAlignment="1">
      <alignment horizontal="center"/>
    </xf>
    <xf numFmtId="3" fontId="77" fillId="0" borderId="23" xfId="0" applyNumberFormat="1" applyFont="1" applyBorder="1" applyAlignment="1">
      <alignment horizontal="center"/>
    </xf>
    <xf numFmtId="1" fontId="77" fillId="0" borderId="15" xfId="0" applyNumberFormat="1" applyFont="1" applyFill="1" applyBorder="1" applyAlignment="1" applyProtection="1">
      <alignment horizontal="center"/>
    </xf>
    <xf numFmtId="1" fontId="77" fillId="0" borderId="14" xfId="0" applyNumberFormat="1" applyFont="1" applyBorder="1" applyAlignment="1">
      <alignment horizontal="center"/>
    </xf>
    <xf numFmtId="3" fontId="77" fillId="0" borderId="14" xfId="0" applyNumberFormat="1" applyFont="1" applyFill="1" applyBorder="1" applyAlignment="1">
      <alignment horizontal="center"/>
    </xf>
    <xf numFmtId="1" fontId="77" fillId="0" borderId="14" xfId="0" applyNumberFormat="1" applyFont="1" applyFill="1" applyBorder="1" applyAlignment="1">
      <alignment horizontal="center"/>
    </xf>
    <xf numFmtId="167" fontId="77" fillId="0" borderId="14" xfId="0" applyNumberFormat="1" applyFont="1" applyBorder="1" applyAlignment="1">
      <alignment horizontal="center"/>
    </xf>
    <xf numFmtId="167" fontId="77" fillId="0" borderId="14" xfId="0" applyNumberFormat="1" applyFont="1" applyFill="1" applyBorder="1" applyAlignment="1" applyProtection="1">
      <alignment horizontal="center"/>
    </xf>
    <xf numFmtId="167" fontId="77" fillId="0" borderId="14" xfId="0" applyNumberFormat="1" applyFont="1" applyFill="1" applyBorder="1" applyAlignment="1">
      <alignment horizontal="center"/>
    </xf>
    <xf numFmtId="164" fontId="77" fillId="0" borderId="20" xfId="0" applyNumberFormat="1" applyFont="1" applyFill="1" applyBorder="1" applyAlignment="1" applyProtection="1">
      <alignment horizontal="center" vertical="center"/>
    </xf>
    <xf numFmtId="0" fontId="66" fillId="0" borderId="15" xfId="0" applyFont="1" applyFill="1" applyBorder="1" applyAlignment="1" applyProtection="1">
      <alignment horizontal="center"/>
    </xf>
    <xf numFmtId="0" fontId="76" fillId="0" borderId="15" xfId="0" applyFont="1" applyFill="1" applyBorder="1" applyAlignment="1" applyProtection="1">
      <alignment horizontal="center"/>
    </xf>
    <xf numFmtId="49" fontId="65" fillId="0" borderId="15" xfId="0" applyNumberFormat="1" applyFont="1" applyFill="1" applyBorder="1" applyAlignment="1">
      <alignment horizontal="center"/>
    </xf>
    <xf numFmtId="0" fontId="65" fillId="0" borderId="15" xfId="0" applyFont="1" applyFill="1" applyBorder="1" applyAlignment="1" applyProtection="1">
      <alignment horizontal="center"/>
    </xf>
    <xf numFmtId="166" fontId="65" fillId="0" borderId="14" xfId="0" applyNumberFormat="1" applyFont="1" applyFill="1" applyBorder="1" applyAlignment="1">
      <alignment horizontal="center"/>
    </xf>
    <xf numFmtId="1" fontId="65" fillId="0" borderId="14" xfId="0" applyNumberFormat="1" applyFont="1" applyFill="1" applyBorder="1" applyAlignment="1">
      <alignment horizontal="center"/>
    </xf>
    <xf numFmtId="164" fontId="77" fillId="0" borderId="20" xfId="0" applyNumberFormat="1" applyFont="1" applyBorder="1" applyAlignment="1" applyProtection="1">
      <alignment horizontal="center" vertical="center"/>
    </xf>
    <xf numFmtId="0" fontId="65" fillId="0" borderId="15" xfId="0" applyFont="1" applyBorder="1" applyAlignment="1" applyProtection="1">
      <alignment horizontal="center"/>
    </xf>
    <xf numFmtId="0" fontId="76" fillId="0" borderId="14" xfId="0" applyFont="1" applyBorder="1" applyAlignment="1">
      <alignment horizontal="center"/>
    </xf>
    <xf numFmtId="164" fontId="77" fillId="7" borderId="20" xfId="0" applyNumberFormat="1" applyFont="1" applyFill="1" applyBorder="1" applyAlignment="1" applyProtection="1">
      <alignment horizontal="center" vertical="center"/>
    </xf>
    <xf numFmtId="0" fontId="66" fillId="7" borderId="14" xfId="0" applyFont="1" applyFill="1" applyBorder="1" applyAlignment="1" applyProtection="1">
      <alignment horizontal="center"/>
    </xf>
    <xf numFmtId="0" fontId="76" fillId="7" borderId="14" xfId="0" applyFont="1" applyFill="1" applyBorder="1" applyAlignment="1">
      <alignment horizontal="center" vertical="center"/>
    </xf>
    <xf numFmtId="0" fontId="80" fillId="7" borderId="0" xfId="0" applyFont="1" applyFill="1"/>
    <xf numFmtId="0" fontId="65" fillId="7" borderId="15" xfId="0" applyFont="1" applyFill="1" applyBorder="1" applyAlignment="1">
      <alignment horizontal="center"/>
    </xf>
    <xf numFmtId="0" fontId="65" fillId="7" borderId="14" xfId="0" applyFont="1" applyFill="1" applyBorder="1" applyAlignment="1">
      <alignment horizontal="center"/>
    </xf>
    <xf numFmtId="1" fontId="77" fillId="7" borderId="14" xfId="0" applyNumberFormat="1" applyFont="1" applyFill="1" applyBorder="1" applyAlignment="1">
      <alignment horizontal="center"/>
    </xf>
    <xf numFmtId="0" fontId="66" fillId="5" borderId="15" xfId="0" applyFont="1" applyFill="1" applyBorder="1" applyAlignment="1" applyProtection="1">
      <alignment horizontal="center"/>
    </xf>
    <xf numFmtId="164" fontId="77" fillId="0" borderId="22" xfId="0" applyNumberFormat="1" applyFont="1" applyBorder="1" applyAlignment="1" applyProtection="1">
      <alignment horizontal="center" vertical="center"/>
    </xf>
    <xf numFmtId="0" fontId="76" fillId="0" borderId="23" xfId="0" applyFont="1" applyBorder="1" applyAlignment="1">
      <alignment horizontal="center"/>
    </xf>
    <xf numFmtId="49" fontId="65" fillId="0" borderId="23" xfId="0" applyNumberFormat="1" applyFont="1" applyFill="1" applyBorder="1" applyAlignment="1">
      <alignment horizontal="center"/>
    </xf>
    <xf numFmtId="0" fontId="65" fillId="0" borderId="23" xfId="0" applyFont="1" applyBorder="1" applyAlignment="1">
      <alignment horizontal="center"/>
    </xf>
    <xf numFmtId="3" fontId="65" fillId="0" borderId="23" xfId="0" applyNumberFormat="1" applyFont="1" applyFill="1" applyBorder="1" applyAlignment="1">
      <alignment horizontal="center"/>
    </xf>
    <xf numFmtId="166" fontId="65" fillId="0" borderId="23" xfId="0" applyNumberFormat="1" applyFont="1" applyFill="1" applyBorder="1" applyAlignment="1">
      <alignment horizontal="center"/>
    </xf>
    <xf numFmtId="1" fontId="77" fillId="0" borderId="23" xfId="0" applyNumberFormat="1" applyFont="1" applyBorder="1" applyAlignment="1">
      <alignment horizontal="center"/>
    </xf>
    <xf numFmtId="0" fontId="65" fillId="0" borderId="23" xfId="0" applyFont="1" applyFill="1" applyBorder="1" applyAlignment="1">
      <alignment horizontal="center"/>
    </xf>
    <xf numFmtId="0" fontId="66" fillId="0" borderId="52" xfId="0" applyFont="1" applyFill="1" applyBorder="1" applyAlignment="1" applyProtection="1">
      <alignment horizontal="center"/>
    </xf>
    <xf numFmtId="1" fontId="65" fillId="0" borderId="52" xfId="0" applyNumberFormat="1" applyFont="1" applyFill="1" applyBorder="1" applyAlignment="1">
      <alignment horizontal="center"/>
    </xf>
    <xf numFmtId="164" fontId="77" fillId="0" borderId="55" xfId="0" applyNumberFormat="1" applyFont="1" applyFill="1" applyBorder="1" applyAlignment="1" applyProtection="1">
      <alignment horizontal="center" vertical="center"/>
    </xf>
    <xf numFmtId="164" fontId="77" fillId="7" borderId="20" xfId="0" applyNumberFormat="1" applyFont="1" applyFill="1" applyBorder="1" applyAlignment="1">
      <alignment horizontal="center" vertical="center"/>
    </xf>
    <xf numFmtId="0" fontId="66" fillId="7" borderId="52" xfId="0" applyFont="1" applyFill="1" applyBorder="1" applyAlignment="1" applyProtection="1">
      <alignment horizontal="center"/>
    </xf>
    <xf numFmtId="49" fontId="65" fillId="7" borderId="52" xfId="0" applyNumberFormat="1" applyFont="1" applyFill="1" applyBorder="1" applyAlignment="1" applyProtection="1">
      <alignment horizontal="center"/>
    </xf>
    <xf numFmtId="0" fontId="26" fillId="7" borderId="14" xfId="0" applyFont="1" applyFill="1" applyBorder="1" applyAlignment="1">
      <alignment horizontal="center"/>
    </xf>
    <xf numFmtId="164" fontId="77" fillId="0" borderId="20" xfId="0" applyNumberFormat="1" applyFont="1" applyBorder="1" applyAlignment="1">
      <alignment horizontal="center" vertical="center"/>
    </xf>
    <xf numFmtId="0" fontId="65" fillId="0" borderId="14" xfId="0" applyFont="1" applyFill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77" fillId="0" borderId="22" xfId="0" applyNumberFormat="1" applyFont="1" applyBorder="1" applyAlignment="1">
      <alignment horizontal="center" vertical="center"/>
    </xf>
    <xf numFmtId="0" fontId="26" fillId="0" borderId="23" xfId="0" applyFont="1" applyBorder="1" applyAlignment="1">
      <alignment horizontal="center"/>
    </xf>
    <xf numFmtId="1" fontId="77" fillId="0" borderId="14" xfId="0" applyNumberFormat="1" applyFont="1" applyFill="1" applyBorder="1" applyAlignment="1" applyProtection="1">
      <alignment horizontal="center"/>
    </xf>
    <xf numFmtId="0" fontId="76" fillId="0" borderId="14" xfId="0" applyFont="1" applyFill="1" applyBorder="1" applyAlignment="1" applyProtection="1">
      <alignment horizontal="center"/>
    </xf>
    <xf numFmtId="0" fontId="65" fillId="0" borderId="14" xfId="0" applyFont="1" applyFill="1" applyBorder="1" applyAlignment="1" applyProtection="1">
      <alignment horizontal="center"/>
    </xf>
    <xf numFmtId="164" fontId="77" fillId="0" borderId="20" xfId="0" applyNumberFormat="1" applyFont="1" applyFill="1" applyBorder="1" applyAlignment="1">
      <alignment horizontal="center" vertical="center"/>
    </xf>
    <xf numFmtId="0" fontId="76" fillId="0" borderId="14" xfId="0" applyFont="1" applyFill="1" applyBorder="1" applyAlignment="1">
      <alignment horizontal="center"/>
    </xf>
    <xf numFmtId="0" fontId="81" fillId="0" borderId="16" xfId="0" applyFont="1" applyBorder="1" applyAlignment="1">
      <alignment horizontal="left"/>
    </xf>
    <xf numFmtId="0" fontId="81" fillId="0" borderId="17" xfId="0" applyFont="1" applyBorder="1" applyAlignment="1">
      <alignment horizontal="left"/>
    </xf>
    <xf numFmtId="0" fontId="81" fillId="0" borderId="19" xfId="0" applyFont="1" applyBorder="1" applyAlignment="1">
      <alignment horizontal="left"/>
    </xf>
    <xf numFmtId="1" fontId="77" fillId="0" borderId="23" xfId="0" applyNumberFormat="1" applyFont="1" applyFill="1" applyBorder="1" applyAlignment="1">
      <alignment horizontal="center"/>
    </xf>
    <xf numFmtId="166" fontId="77" fillId="0" borderId="14" xfId="0" applyNumberFormat="1" applyFont="1" applyFill="1" applyBorder="1" applyAlignment="1">
      <alignment horizontal="center"/>
    </xf>
    <xf numFmtId="0" fontId="65" fillId="0" borderId="14" xfId="0" applyFont="1" applyFill="1" applyBorder="1" applyAlignment="1">
      <alignment horizontal="center" vertical="center"/>
    </xf>
    <xf numFmtId="166" fontId="77" fillId="0" borderId="23" xfId="0" applyNumberFormat="1" applyFont="1" applyFill="1" applyBorder="1" applyAlignment="1">
      <alignment horizontal="center"/>
    </xf>
    <xf numFmtId="1" fontId="65" fillId="0" borderId="23" xfId="0" applyNumberFormat="1" applyFont="1" applyFill="1" applyBorder="1" applyAlignment="1">
      <alignment horizontal="center"/>
    </xf>
    <xf numFmtId="3" fontId="77" fillId="0" borderId="23" xfId="0" applyNumberFormat="1" applyFont="1" applyFill="1" applyBorder="1" applyAlignment="1">
      <alignment horizontal="center"/>
    </xf>
    <xf numFmtId="0" fontId="66" fillId="0" borderId="14" xfId="0" applyFont="1" applyFill="1" applyBorder="1" applyAlignment="1">
      <alignment horizontal="center"/>
    </xf>
    <xf numFmtId="0" fontId="36" fillId="5" borderId="50" xfId="0" applyFont="1" applyFill="1" applyBorder="1" applyAlignment="1">
      <alignment horizontal="center" vertical="center"/>
    </xf>
    <xf numFmtId="0" fontId="36" fillId="5" borderId="51" xfId="0" applyFont="1" applyFill="1" applyBorder="1" applyAlignment="1">
      <alignment horizontal="center" vertical="center"/>
    </xf>
    <xf numFmtId="0" fontId="65" fillId="0" borderId="14" xfId="0" applyFont="1" applyFill="1" applyBorder="1" applyAlignment="1">
      <alignment horizontal="center"/>
    </xf>
    <xf numFmtId="167" fontId="77" fillId="0" borderId="23" xfId="0" applyNumberFormat="1" applyFont="1" applyBorder="1" applyAlignment="1">
      <alignment horizontal="center"/>
    </xf>
    <xf numFmtId="0" fontId="88" fillId="0" borderId="0" xfId="0" applyFont="1" applyFill="1" applyBorder="1"/>
    <xf numFmtId="0" fontId="88" fillId="0" borderId="0" xfId="0" applyFont="1" applyFill="1"/>
    <xf numFmtId="0" fontId="90" fillId="0" borderId="0" xfId="0" applyFont="1" applyFill="1" applyBorder="1" applyAlignment="1">
      <alignment horizontal="center" vertical="center"/>
    </xf>
    <xf numFmtId="2" fontId="91" fillId="0" borderId="0" xfId="0" applyNumberFormat="1" applyFont="1" applyFill="1" applyBorder="1" applyAlignment="1">
      <alignment horizontal="center" vertical="center"/>
    </xf>
    <xf numFmtId="1" fontId="65" fillId="7" borderId="52" xfId="0" applyNumberFormat="1" applyFont="1" applyFill="1" applyBorder="1" applyAlignment="1">
      <alignment horizontal="center"/>
    </xf>
    <xf numFmtId="0" fontId="82" fillId="0" borderId="52" xfId="0" applyFont="1" applyFill="1" applyBorder="1" applyAlignment="1" applyProtection="1">
      <alignment horizontal="center"/>
    </xf>
    <xf numFmtId="0" fontId="36" fillId="5" borderId="63" xfId="0" applyFont="1" applyFill="1" applyBorder="1" applyAlignment="1">
      <alignment horizontal="center" vertical="center"/>
    </xf>
    <xf numFmtId="49" fontId="67" fillId="0" borderId="15" xfId="0" applyNumberFormat="1" applyFont="1" applyBorder="1" applyAlignment="1">
      <alignment horizontal="center" vertical="center"/>
    </xf>
    <xf numFmtId="166" fontId="67" fillId="0" borderId="41" xfId="0" applyNumberFormat="1" applyFont="1" applyFill="1" applyBorder="1" applyAlignment="1">
      <alignment horizontal="center" vertical="center"/>
    </xf>
    <xf numFmtId="0" fontId="73" fillId="5" borderId="38" xfId="0" applyFont="1" applyFill="1" applyBorder="1" applyAlignment="1">
      <alignment horizontal="center" vertical="center" wrapText="1"/>
    </xf>
    <xf numFmtId="49" fontId="64" fillId="0" borderId="15" xfId="0" applyNumberFormat="1" applyFont="1" applyBorder="1" applyAlignment="1">
      <alignment horizontal="center" vertical="center"/>
    </xf>
    <xf numFmtId="166" fontId="64" fillId="0" borderId="41" xfId="0" applyNumberFormat="1" applyFont="1" applyFill="1" applyBorder="1" applyAlignment="1">
      <alignment horizontal="center" vertical="center"/>
    </xf>
    <xf numFmtId="0" fontId="69" fillId="5" borderId="38" xfId="0" applyFont="1" applyFill="1" applyBorder="1" applyAlignment="1">
      <alignment horizontal="center" vertical="center" wrapText="1"/>
    </xf>
    <xf numFmtId="0" fontId="69" fillId="0" borderId="38" xfId="0" applyFont="1" applyFill="1" applyBorder="1" applyAlignment="1">
      <alignment horizontal="center" vertical="center" wrapText="1"/>
    </xf>
    <xf numFmtId="0" fontId="78" fillId="0" borderId="67" xfId="0" applyFont="1" applyFill="1" applyBorder="1" applyAlignment="1"/>
    <xf numFmtId="0" fontId="78" fillId="7" borderId="67" xfId="0" applyFont="1" applyFill="1" applyBorder="1" applyAlignment="1"/>
    <xf numFmtId="0" fontId="78" fillId="0" borderId="70" xfId="0" applyFont="1" applyFill="1" applyBorder="1" applyAlignment="1"/>
    <xf numFmtId="0" fontId="79" fillId="0" borderId="67" xfId="0" applyFont="1" applyFill="1" applyBorder="1" applyAlignment="1"/>
    <xf numFmtId="0" fontId="79" fillId="7" borderId="74" xfId="0" applyFont="1" applyFill="1" applyBorder="1" applyAlignment="1"/>
    <xf numFmtId="0" fontId="79" fillId="0" borderId="70" xfId="0" applyFont="1" applyFill="1" applyBorder="1" applyAlignment="1"/>
    <xf numFmtId="0" fontId="65" fillId="0" borderId="16" xfId="0" applyFont="1" applyBorder="1" applyAlignment="1">
      <alignment horizontal="center" wrapText="1"/>
    </xf>
    <xf numFmtId="0" fontId="65" fillId="0" borderId="18" xfId="0" applyFont="1" applyBorder="1" applyAlignment="1">
      <alignment horizontal="center" wrapText="1"/>
    </xf>
    <xf numFmtId="0" fontId="79" fillId="0" borderId="68" xfId="0" applyFont="1" applyFill="1" applyBorder="1" applyAlignment="1">
      <alignment horizontal="center"/>
    </xf>
    <xf numFmtId="0" fontId="79" fillId="0" borderId="69" xfId="0" applyFont="1" applyFill="1" applyBorder="1" applyAlignment="1">
      <alignment horizontal="center"/>
    </xf>
    <xf numFmtId="0" fontId="82" fillId="0" borderId="15" xfId="0" applyFont="1" applyFill="1" applyBorder="1" applyAlignment="1" applyProtection="1">
      <alignment horizontal="center"/>
    </xf>
    <xf numFmtId="0" fontId="7" fillId="5" borderId="0" xfId="0" applyFont="1" applyFill="1"/>
    <xf numFmtId="0" fontId="84" fillId="0" borderId="15" xfId="0" applyFont="1" applyFill="1" applyBorder="1" applyAlignment="1" applyProtection="1">
      <alignment horizontal="center"/>
    </xf>
    <xf numFmtId="0" fontId="76" fillId="0" borderId="53" xfId="0" applyFont="1" applyFill="1" applyBorder="1" applyAlignment="1">
      <alignment horizontal="center"/>
    </xf>
    <xf numFmtId="0" fontId="76" fillId="0" borderId="53" xfId="0" applyFont="1" applyFill="1" applyBorder="1" applyAlignment="1" applyProtection="1">
      <alignment horizontal="center"/>
    </xf>
    <xf numFmtId="0" fontId="26" fillId="0" borderId="53" xfId="0" applyFont="1" applyFill="1" applyBorder="1" applyAlignment="1">
      <alignment horizontal="center"/>
    </xf>
    <xf numFmtId="3" fontId="77" fillId="0" borderId="53" xfId="0" applyNumberFormat="1" applyFont="1" applyFill="1" applyBorder="1" applyAlignment="1">
      <alignment horizontal="center"/>
    </xf>
    <xf numFmtId="1" fontId="77" fillId="0" borderId="53" xfId="0" applyNumberFormat="1" applyFont="1" applyFill="1" applyBorder="1" applyAlignment="1">
      <alignment horizontal="center"/>
    </xf>
    <xf numFmtId="164" fontId="95" fillId="0" borderId="20" xfId="0" applyNumberFormat="1" applyFont="1" applyFill="1" applyBorder="1" applyAlignment="1" applyProtection="1">
      <alignment horizontal="center" vertical="center"/>
    </xf>
    <xf numFmtId="0" fontId="48" fillId="0" borderId="15" xfId="0" applyFont="1" applyFill="1" applyBorder="1" applyAlignment="1" applyProtection="1">
      <alignment horizontal="center"/>
    </xf>
    <xf numFmtId="0" fontId="54" fillId="0" borderId="14" xfId="0" applyFont="1" applyFill="1" applyBorder="1" applyAlignment="1">
      <alignment horizontal="center"/>
    </xf>
    <xf numFmtId="3" fontId="95" fillId="0" borderId="14" xfId="0" applyNumberFormat="1" applyFont="1" applyFill="1" applyBorder="1" applyAlignment="1">
      <alignment horizontal="center"/>
    </xf>
    <xf numFmtId="0" fontId="66" fillId="0" borderId="62" xfId="0" applyFont="1" applyFill="1" applyBorder="1" applyAlignment="1" applyProtection="1">
      <alignment horizontal="center"/>
    </xf>
    <xf numFmtId="0" fontId="65" fillId="0" borderId="14" xfId="0" applyFont="1" applyBorder="1" applyAlignment="1">
      <alignment horizontal="center"/>
    </xf>
    <xf numFmtId="0" fontId="79" fillId="0" borderId="68" xfId="0" applyFont="1" applyFill="1" applyBorder="1" applyAlignment="1">
      <alignment horizontal="center"/>
    </xf>
    <xf numFmtId="0" fontId="79" fillId="0" borderId="69" xfId="0" applyFont="1" applyFill="1" applyBorder="1" applyAlignment="1">
      <alignment horizontal="center"/>
    </xf>
    <xf numFmtId="0" fontId="65" fillId="0" borderId="14" xfId="0" applyFont="1" applyBorder="1" applyAlignment="1">
      <alignment horizontal="center"/>
    </xf>
    <xf numFmtId="3" fontId="64" fillId="0" borderId="14" xfId="0" applyNumberFormat="1" applyFont="1" applyFill="1" applyBorder="1" applyAlignment="1">
      <alignment horizontal="center"/>
    </xf>
    <xf numFmtId="166" fontId="64" fillId="0" borderId="14" xfId="0" applyNumberFormat="1" applyFont="1" applyFill="1" applyBorder="1" applyAlignment="1">
      <alignment horizontal="center"/>
    </xf>
    <xf numFmtId="49" fontId="64" fillId="0" borderId="15" xfId="0" applyNumberFormat="1" applyFont="1" applyFill="1" applyBorder="1" applyAlignment="1">
      <alignment horizontal="center"/>
    </xf>
    <xf numFmtId="167" fontId="95" fillId="0" borderId="14" xfId="0" applyNumberFormat="1" applyFont="1" applyFill="1" applyBorder="1" applyAlignment="1">
      <alignment horizontal="center"/>
    </xf>
    <xf numFmtId="0" fontId="97" fillId="0" borderId="67" xfId="0" applyFont="1" applyFill="1" applyBorder="1" applyAlignment="1"/>
    <xf numFmtId="1" fontId="95" fillId="0" borderId="14" xfId="0" applyNumberFormat="1" applyFont="1" applyFill="1" applyBorder="1" applyAlignment="1">
      <alignment horizontal="center"/>
    </xf>
    <xf numFmtId="1" fontId="64" fillId="0" borderId="14" xfId="0" applyNumberFormat="1" applyFont="1" applyFill="1" applyBorder="1" applyAlignment="1">
      <alignment horizontal="center"/>
    </xf>
    <xf numFmtId="0" fontId="54" fillId="0" borderId="15" xfId="0" applyFont="1" applyFill="1" applyBorder="1" applyAlignment="1" applyProtection="1">
      <alignment horizontal="center"/>
    </xf>
    <xf numFmtId="0" fontId="65" fillId="0" borderId="14" xfId="0" applyFont="1" applyFill="1" applyBorder="1" applyAlignment="1">
      <alignment horizontal="center"/>
    </xf>
    <xf numFmtId="0" fontId="7" fillId="9" borderId="0" xfId="0" applyFont="1" applyFill="1"/>
    <xf numFmtId="164" fontId="95" fillId="5" borderId="20" xfId="0" applyNumberFormat="1" applyFont="1" applyFill="1" applyBorder="1" applyAlignment="1" applyProtection="1">
      <alignment horizontal="center" vertical="center"/>
    </xf>
    <xf numFmtId="0" fontId="54" fillId="7" borderId="14" xfId="0" applyFont="1" applyFill="1" applyBorder="1" applyAlignment="1">
      <alignment horizontal="center" vertical="center"/>
    </xf>
    <xf numFmtId="3" fontId="64" fillId="5" borderId="14" xfId="0" applyNumberFormat="1" applyFont="1" applyFill="1" applyBorder="1" applyAlignment="1">
      <alignment horizontal="center"/>
    </xf>
    <xf numFmtId="166" fontId="64" fillId="5" borderId="14" xfId="0" applyNumberFormat="1" applyFont="1" applyFill="1" applyBorder="1" applyAlignment="1">
      <alignment horizontal="center"/>
    </xf>
    <xf numFmtId="1" fontId="64" fillId="0" borderId="52" xfId="0" applyNumberFormat="1" applyFont="1" applyFill="1" applyBorder="1" applyAlignment="1">
      <alignment horizontal="center"/>
    </xf>
    <xf numFmtId="49" fontId="84" fillId="0" borderId="15" xfId="0" applyNumberFormat="1" applyFont="1" applyFill="1" applyBorder="1" applyAlignment="1" applyProtection="1">
      <alignment horizontal="center"/>
    </xf>
    <xf numFmtId="0" fontId="96" fillId="0" borderId="67" xfId="0" applyFont="1" applyFill="1" applyBorder="1" applyAlignment="1"/>
    <xf numFmtId="0" fontId="64" fillId="0" borderId="15" xfId="0" applyFont="1" applyFill="1" applyBorder="1" applyAlignment="1" applyProtection="1">
      <alignment horizontal="center"/>
    </xf>
    <xf numFmtId="3" fontId="95" fillId="0" borderId="52" xfId="0" applyNumberFormat="1" applyFont="1" applyFill="1" applyBorder="1" applyAlignment="1" applyProtection="1">
      <alignment horizontal="center"/>
    </xf>
    <xf numFmtId="164" fontId="77" fillId="0" borderId="22" xfId="0" applyNumberFormat="1" applyFont="1" applyFill="1" applyBorder="1" applyAlignment="1">
      <alignment horizontal="center" vertical="center"/>
    </xf>
    <xf numFmtId="0" fontId="66" fillId="0" borderId="46" xfId="0" applyFont="1" applyFill="1" applyBorder="1" applyAlignment="1" applyProtection="1">
      <alignment horizontal="center"/>
    </xf>
    <xf numFmtId="0" fontId="76" fillId="0" borderId="23" xfId="0" applyFont="1" applyFill="1" applyBorder="1" applyAlignment="1">
      <alignment horizontal="center"/>
    </xf>
    <xf numFmtId="0" fontId="40" fillId="0" borderId="0" xfId="0" applyFont="1" applyFill="1" applyBorder="1"/>
    <xf numFmtId="0" fontId="40" fillId="0" borderId="0" xfId="0" applyFont="1" applyFill="1"/>
    <xf numFmtId="0" fontId="45" fillId="0" borderId="0" xfId="0" applyFont="1" applyFill="1" applyBorder="1" applyAlignment="1">
      <alignment horizontal="center" vertical="center"/>
    </xf>
    <xf numFmtId="2" fontId="46" fillId="0" borderId="0" xfId="0" applyNumberFormat="1" applyFont="1" applyFill="1" applyBorder="1" applyAlignment="1">
      <alignment horizontal="center" vertical="center"/>
    </xf>
    <xf numFmtId="1" fontId="77" fillId="5" borderId="14" xfId="0" applyNumberFormat="1" applyFont="1" applyFill="1" applyBorder="1" applyAlignment="1">
      <alignment horizontal="center"/>
    </xf>
    <xf numFmtId="3" fontId="77" fillId="5" borderId="14" xfId="0" applyNumberFormat="1" applyFont="1" applyFill="1" applyBorder="1" applyAlignment="1">
      <alignment horizontal="center"/>
    </xf>
    <xf numFmtId="164" fontId="85" fillId="5" borderId="20" xfId="0" applyNumberFormat="1" applyFont="1" applyFill="1" applyBorder="1" applyAlignment="1" applyProtection="1">
      <alignment horizontal="center" vertical="center"/>
    </xf>
    <xf numFmtId="164" fontId="77" fillId="5" borderId="20" xfId="0" applyNumberFormat="1" applyFont="1" applyFill="1" applyBorder="1" applyAlignment="1" applyProtection="1">
      <alignment horizontal="center" vertical="center"/>
    </xf>
    <xf numFmtId="0" fontId="65" fillId="5" borderId="15" xfId="0" applyFont="1" applyFill="1" applyBorder="1" applyAlignment="1" applyProtection="1">
      <alignment horizontal="center"/>
    </xf>
    <xf numFmtId="0" fontId="78" fillId="5" borderId="67" xfId="0" applyFont="1" applyFill="1" applyBorder="1" applyAlignment="1"/>
    <xf numFmtId="1" fontId="65" fillId="5" borderId="14" xfId="0" applyNumberFormat="1" applyFont="1" applyFill="1" applyBorder="1" applyAlignment="1">
      <alignment horizontal="center"/>
    </xf>
    <xf numFmtId="0" fontId="79" fillId="0" borderId="68" xfId="0" applyFont="1" applyFill="1" applyBorder="1" applyAlignment="1">
      <alignment horizontal="center"/>
    </xf>
    <xf numFmtId="0" fontId="79" fillId="0" borderId="69" xfId="0" applyFont="1" applyFill="1" applyBorder="1" applyAlignment="1">
      <alignment horizontal="center"/>
    </xf>
    <xf numFmtId="164" fontId="85" fillId="0" borderId="20" xfId="0" applyNumberFormat="1" applyFont="1" applyFill="1" applyBorder="1" applyAlignment="1" applyProtection="1">
      <alignment horizontal="center" vertical="center"/>
    </xf>
    <xf numFmtId="0" fontId="83" fillId="0" borderId="15" xfId="0" applyFont="1" applyFill="1" applyBorder="1" applyAlignment="1" applyProtection="1">
      <alignment horizontal="center"/>
    </xf>
    <xf numFmtId="49" fontId="84" fillId="0" borderId="15" xfId="0" applyNumberFormat="1" applyFont="1" applyFill="1" applyBorder="1" applyAlignment="1">
      <alignment horizontal="center"/>
    </xf>
    <xf numFmtId="3" fontId="85" fillId="0" borderId="14" xfId="0" applyNumberFormat="1" applyFont="1" applyFill="1" applyBorder="1" applyAlignment="1" applyProtection="1">
      <alignment horizontal="center"/>
    </xf>
    <xf numFmtId="1" fontId="84" fillId="0" borderId="52" xfId="0" applyNumberFormat="1" applyFont="1" applyFill="1" applyBorder="1" applyAlignment="1">
      <alignment horizontal="center"/>
    </xf>
    <xf numFmtId="0" fontId="94" fillId="0" borderId="67" xfId="0" applyFont="1" applyFill="1" applyBorder="1" applyAlignment="1"/>
    <xf numFmtId="1" fontId="85" fillId="0" borderId="14" xfId="0" applyNumberFormat="1" applyFont="1" applyFill="1" applyBorder="1" applyAlignment="1" applyProtection="1">
      <alignment horizontal="center"/>
    </xf>
    <xf numFmtId="49" fontId="92" fillId="0" borderId="15" xfId="0" applyNumberFormat="1" applyFont="1" applyFill="1" applyBorder="1" applyAlignment="1">
      <alignment horizontal="center" vertical="center"/>
    </xf>
    <xf numFmtId="3" fontId="95" fillId="5" borderId="14" xfId="0" applyNumberFormat="1" applyFont="1" applyFill="1" applyBorder="1" applyAlignment="1">
      <alignment horizontal="center"/>
    </xf>
    <xf numFmtId="167" fontId="95" fillId="5" borderId="14" xfId="0" applyNumberFormat="1" applyFont="1" applyFill="1" applyBorder="1" applyAlignment="1">
      <alignment horizontal="center"/>
    </xf>
    <xf numFmtId="0" fontId="7" fillId="5" borderId="0" xfId="0" applyFont="1" applyFill="1" applyBorder="1"/>
    <xf numFmtId="0" fontId="3" fillId="5" borderId="0" xfId="0" applyFont="1" applyFill="1" applyBorder="1" applyAlignment="1">
      <alignment horizontal="center" vertical="center"/>
    </xf>
    <xf numFmtId="2" fontId="41" fillId="5" borderId="0" xfId="0" applyNumberFormat="1" applyFont="1" applyFill="1" applyBorder="1" applyAlignment="1">
      <alignment horizontal="center" vertical="center"/>
    </xf>
    <xf numFmtId="49" fontId="64" fillId="5" borderId="59" xfId="0" applyNumberFormat="1" applyFont="1" applyFill="1" applyBorder="1" applyAlignment="1" applyProtection="1">
      <alignment horizontal="center"/>
    </xf>
    <xf numFmtId="0" fontId="48" fillId="5" borderId="15" xfId="0" applyFont="1" applyFill="1" applyBorder="1" applyAlignment="1" applyProtection="1">
      <alignment horizontal="center"/>
    </xf>
    <xf numFmtId="0" fontId="64" fillId="5" borderId="15" xfId="0" applyFont="1" applyFill="1" applyBorder="1" applyAlignment="1" applyProtection="1">
      <alignment horizontal="center"/>
    </xf>
    <xf numFmtId="0" fontId="54" fillId="5" borderId="15" xfId="0" applyFont="1" applyFill="1" applyBorder="1" applyAlignment="1" applyProtection="1">
      <alignment horizontal="center"/>
    </xf>
    <xf numFmtId="0" fontId="97" fillId="5" borderId="67" xfId="0" applyFont="1" applyFill="1" applyBorder="1" applyAlignment="1"/>
    <xf numFmtId="0" fontId="96" fillId="5" borderId="68" xfId="0" applyFont="1" applyFill="1" applyBorder="1" applyAlignment="1">
      <alignment horizontal="center"/>
    </xf>
    <xf numFmtId="0" fontId="40" fillId="5" borderId="0" xfId="0" applyFont="1" applyFill="1"/>
    <xf numFmtId="49" fontId="64" fillId="5" borderId="14" xfId="0" applyNumberFormat="1" applyFont="1" applyFill="1" applyBorder="1" applyAlignment="1">
      <alignment horizontal="center"/>
    </xf>
    <xf numFmtId="1" fontId="95" fillId="5" borderId="14" xfId="0" applyNumberFormat="1" applyFont="1" applyFill="1" applyBorder="1" applyAlignment="1">
      <alignment horizontal="center"/>
    </xf>
    <xf numFmtId="1" fontId="64" fillId="5" borderId="52" xfId="0" applyNumberFormat="1" applyFont="1" applyFill="1" applyBorder="1" applyAlignment="1">
      <alignment horizontal="center"/>
    </xf>
    <xf numFmtId="0" fontId="96" fillId="5" borderId="69" xfId="0" applyFont="1" applyFill="1" applyBorder="1" applyAlignment="1">
      <alignment horizontal="center"/>
    </xf>
    <xf numFmtId="49" fontId="84" fillId="5" borderId="15" xfId="0" applyNumberFormat="1" applyFont="1" applyFill="1" applyBorder="1" applyAlignment="1" applyProtection="1">
      <alignment horizontal="center"/>
    </xf>
    <xf numFmtId="0" fontId="40" fillId="5" borderId="0" xfId="0" applyFont="1" applyFill="1" applyBorder="1"/>
    <xf numFmtId="0" fontId="45" fillId="5" borderId="0" xfId="0" applyFont="1" applyFill="1" applyBorder="1" applyAlignment="1">
      <alignment horizontal="center" vertical="center"/>
    </xf>
    <xf numFmtId="2" fontId="46" fillId="5" borderId="0" xfId="0" applyNumberFormat="1" applyFont="1" applyFill="1" applyBorder="1" applyAlignment="1">
      <alignment horizontal="center" vertical="center"/>
    </xf>
    <xf numFmtId="0" fontId="61" fillId="5" borderId="0" xfId="0" applyFont="1" applyFill="1" applyBorder="1"/>
    <xf numFmtId="0" fontId="61" fillId="5" borderId="0" xfId="0" applyFont="1" applyFill="1"/>
    <xf numFmtId="0" fontId="62" fillId="5" borderId="0" xfId="0" applyFont="1" applyFill="1" applyBorder="1" applyAlignment="1">
      <alignment horizontal="center" vertical="center"/>
    </xf>
    <xf numFmtId="2" fontId="63" fillId="5" borderId="0" xfId="0" applyNumberFormat="1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1" fontId="65" fillId="0" borderId="62" xfId="0" applyNumberFormat="1" applyFont="1" applyFill="1" applyBorder="1" applyAlignment="1">
      <alignment horizontal="center"/>
    </xf>
    <xf numFmtId="164" fontId="70" fillId="5" borderId="51" xfId="0" applyNumberFormat="1" applyFont="1" applyFill="1" applyBorder="1" applyAlignment="1" applyProtection="1">
      <alignment horizontal="center" vertical="center"/>
      <protection hidden="1"/>
    </xf>
    <xf numFmtId="0" fontId="66" fillId="0" borderId="23" xfId="0" applyFont="1" applyFill="1" applyBorder="1" applyAlignment="1">
      <alignment horizontal="center"/>
    </xf>
    <xf numFmtId="167" fontId="95" fillId="0" borderId="14" xfId="0" applyNumberFormat="1" applyFont="1" applyFill="1" applyBorder="1" applyAlignment="1" applyProtection="1">
      <alignment horizontal="center"/>
    </xf>
    <xf numFmtId="3" fontId="64" fillId="7" borderId="14" xfId="0" applyNumberFormat="1" applyFont="1" applyFill="1" applyBorder="1" applyAlignment="1">
      <alignment horizontal="center"/>
    </xf>
    <xf numFmtId="3" fontId="95" fillId="7" borderId="14" xfId="0" applyNumberFormat="1" applyFont="1" applyFill="1" applyBorder="1" applyAlignment="1">
      <alignment horizontal="center"/>
    </xf>
    <xf numFmtId="166" fontId="64" fillId="7" borderId="14" xfId="0" applyNumberFormat="1" applyFont="1" applyFill="1" applyBorder="1" applyAlignment="1">
      <alignment horizontal="center"/>
    </xf>
    <xf numFmtId="3" fontId="95" fillId="0" borderId="14" xfId="0" applyNumberFormat="1" applyFont="1" applyBorder="1" applyAlignment="1">
      <alignment horizontal="center"/>
    </xf>
    <xf numFmtId="3" fontId="64" fillId="0" borderId="23" xfId="0" applyNumberFormat="1" applyFont="1" applyFill="1" applyBorder="1" applyAlignment="1">
      <alignment horizontal="center"/>
    </xf>
    <xf numFmtId="3" fontId="95" fillId="0" borderId="23" xfId="0" applyNumberFormat="1" applyFont="1" applyBorder="1" applyAlignment="1">
      <alignment horizontal="center"/>
    </xf>
    <xf numFmtId="166" fontId="64" fillId="0" borderId="23" xfId="0" applyNumberFormat="1" applyFont="1" applyFill="1" applyBorder="1" applyAlignment="1">
      <alignment horizontal="center"/>
    </xf>
    <xf numFmtId="167" fontId="95" fillId="0" borderId="52" xfId="0" applyNumberFormat="1" applyFont="1" applyFill="1" applyBorder="1" applyAlignment="1" applyProtection="1">
      <alignment horizontal="center"/>
    </xf>
    <xf numFmtId="167" fontId="95" fillId="7" borderId="52" xfId="0" applyNumberFormat="1" applyFont="1" applyFill="1" applyBorder="1" applyAlignment="1" applyProtection="1">
      <alignment horizontal="center"/>
    </xf>
    <xf numFmtId="3" fontId="64" fillId="0" borderId="79" xfId="0" applyNumberFormat="1" applyFont="1" applyFill="1" applyBorder="1" applyAlignment="1">
      <alignment horizontal="center"/>
    </xf>
    <xf numFmtId="167" fontId="95" fillId="0" borderId="62" xfId="0" applyNumberFormat="1" applyFont="1" applyFill="1" applyBorder="1" applyAlignment="1" applyProtection="1">
      <alignment horizontal="center"/>
    </xf>
    <xf numFmtId="166" fontId="64" fillId="0" borderId="80" xfId="0" applyNumberFormat="1" applyFont="1" applyFill="1" applyBorder="1" applyAlignment="1">
      <alignment horizontal="center"/>
    </xf>
    <xf numFmtId="167" fontId="95" fillId="0" borderId="23" xfId="0" applyNumberFormat="1" applyFont="1" applyFill="1" applyBorder="1" applyAlignment="1" applyProtection="1">
      <alignment horizontal="center"/>
    </xf>
    <xf numFmtId="167" fontId="95" fillId="0" borderId="23" xfId="0" applyNumberFormat="1" applyFont="1" applyFill="1" applyBorder="1" applyAlignment="1">
      <alignment horizontal="center"/>
    </xf>
    <xf numFmtId="0" fontId="38" fillId="5" borderId="7" xfId="0" applyFont="1" applyFill="1" applyBorder="1" applyAlignment="1">
      <alignment horizontal="center" vertical="center" wrapText="1"/>
    </xf>
    <xf numFmtId="3" fontId="95" fillId="0" borderId="14" xfId="0" applyNumberFormat="1" applyFont="1" applyFill="1" applyBorder="1" applyAlignment="1" applyProtection="1">
      <alignment horizontal="center"/>
    </xf>
    <xf numFmtId="1" fontId="95" fillId="0" borderId="15" xfId="0" applyNumberFormat="1" applyFont="1" applyFill="1" applyBorder="1" applyAlignment="1" applyProtection="1">
      <alignment horizontal="center"/>
    </xf>
    <xf numFmtId="167" fontId="54" fillId="7" borderId="13" xfId="0" applyNumberFormat="1" applyFont="1" applyFill="1" applyBorder="1" applyAlignment="1">
      <alignment horizontal="center" vertical="center"/>
    </xf>
    <xf numFmtId="0" fontId="43" fillId="5" borderId="11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/>
    <xf numFmtId="2" fontId="41" fillId="0" borderId="49" xfId="0" applyNumberFormat="1" applyFont="1" applyBorder="1" applyAlignment="1">
      <alignment horizontal="center" vertical="center"/>
    </xf>
    <xf numFmtId="2" fontId="46" fillId="0" borderId="49" xfId="0" applyNumberFormat="1" applyFont="1" applyBorder="1" applyAlignment="1">
      <alignment horizontal="center" vertical="center"/>
    </xf>
    <xf numFmtId="0" fontId="3" fillId="8" borderId="49" xfId="0" applyFont="1" applyFill="1" applyBorder="1" applyAlignment="1">
      <alignment horizontal="center" vertical="center"/>
    </xf>
    <xf numFmtId="0" fontId="45" fillId="8" borderId="49" xfId="0" applyFont="1" applyFill="1" applyBorder="1" applyAlignment="1">
      <alignment horizontal="center" vertical="center"/>
    </xf>
    <xf numFmtId="0" fontId="83" fillId="0" borderId="52" xfId="0" applyFont="1" applyFill="1" applyBorder="1" applyAlignment="1" applyProtection="1">
      <alignment horizontal="center"/>
    </xf>
    <xf numFmtId="0" fontId="44" fillId="0" borderId="52" xfId="0" applyFont="1" applyFill="1" applyBorder="1" applyAlignment="1" applyProtection="1">
      <alignment horizontal="center"/>
    </xf>
    <xf numFmtId="0" fontId="86" fillId="0" borderId="67" xfId="0" applyFont="1" applyFill="1" applyBorder="1" applyAlignment="1"/>
    <xf numFmtId="164" fontId="77" fillId="0" borderId="54" xfId="0" applyNumberFormat="1" applyFont="1" applyFill="1" applyBorder="1" applyAlignment="1" applyProtection="1">
      <alignment horizontal="center" vertical="center"/>
    </xf>
    <xf numFmtId="0" fontId="54" fillId="0" borderId="52" xfId="0" applyFont="1" applyFill="1" applyBorder="1" applyAlignment="1" applyProtection="1">
      <alignment horizontal="center"/>
    </xf>
    <xf numFmtId="0" fontId="92" fillId="0" borderId="52" xfId="0" applyFont="1" applyFill="1" applyBorder="1" applyAlignment="1" applyProtection="1">
      <alignment horizontal="center"/>
    </xf>
    <xf numFmtId="49" fontId="65" fillId="0" borderId="23" xfId="0" applyNumberFormat="1" applyFont="1" applyFill="1" applyBorder="1" applyAlignment="1" applyProtection="1">
      <alignment horizontal="center"/>
    </xf>
    <xf numFmtId="0" fontId="65" fillId="0" borderId="14" xfId="0" applyFont="1" applyFill="1" applyBorder="1" applyAlignment="1">
      <alignment horizontal="center"/>
    </xf>
    <xf numFmtId="20" fontId="8" fillId="0" borderId="0" xfId="0" applyNumberFormat="1" applyFont="1" applyBorder="1" applyAlignment="1">
      <alignment horizontal="center" vertical="center"/>
    </xf>
    <xf numFmtId="0" fontId="65" fillId="5" borderId="14" xfId="0" applyFont="1" applyFill="1" applyBorder="1" applyAlignment="1">
      <alignment horizontal="center"/>
    </xf>
    <xf numFmtId="0" fontId="88" fillId="5" borderId="0" xfId="0" applyFont="1" applyFill="1"/>
    <xf numFmtId="0" fontId="89" fillId="5" borderId="0" xfId="0" applyFont="1" applyFill="1" applyBorder="1" applyAlignment="1">
      <alignment horizontal="center" vertical="center"/>
    </xf>
    <xf numFmtId="3" fontId="65" fillId="5" borderId="14" xfId="0" applyNumberFormat="1" applyFont="1" applyFill="1" applyBorder="1" applyAlignment="1">
      <alignment horizontal="center"/>
    </xf>
    <xf numFmtId="167" fontId="77" fillId="5" borderId="14" xfId="0" applyNumberFormat="1" applyFont="1" applyFill="1" applyBorder="1" applyAlignment="1">
      <alignment horizontal="center"/>
    </xf>
    <xf numFmtId="166" fontId="65" fillId="5" borderId="14" xfId="0" applyNumberFormat="1" applyFont="1" applyFill="1" applyBorder="1" applyAlignment="1">
      <alignment horizontal="center"/>
    </xf>
    <xf numFmtId="0" fontId="83" fillId="9" borderId="15" xfId="0" applyFont="1" applyFill="1" applyBorder="1" applyAlignment="1" applyProtection="1">
      <alignment horizontal="center"/>
    </xf>
    <xf numFmtId="0" fontId="84" fillId="9" borderId="15" xfId="0" applyFont="1" applyFill="1" applyBorder="1" applyAlignment="1" applyProtection="1">
      <alignment horizontal="center"/>
    </xf>
    <xf numFmtId="164" fontId="85" fillId="9" borderId="20" xfId="0" applyNumberFormat="1" applyFont="1" applyFill="1" applyBorder="1" applyAlignment="1" applyProtection="1">
      <alignment horizontal="center" vertical="center"/>
    </xf>
    <xf numFmtId="3" fontId="85" fillId="9" borderId="14" xfId="0" applyNumberFormat="1" applyFont="1" applyFill="1" applyBorder="1" applyAlignment="1">
      <alignment horizontal="center"/>
    </xf>
    <xf numFmtId="166" fontId="84" fillId="9" borderId="14" xfId="0" applyNumberFormat="1" applyFont="1" applyFill="1" applyBorder="1" applyAlignment="1">
      <alignment horizontal="center"/>
    </xf>
    <xf numFmtId="1" fontId="85" fillId="9" borderId="14" xfId="0" applyNumberFormat="1" applyFont="1" applyFill="1" applyBorder="1" applyAlignment="1">
      <alignment horizontal="center"/>
    </xf>
    <xf numFmtId="0" fontId="84" fillId="9" borderId="14" xfId="0" applyFont="1" applyFill="1" applyBorder="1" applyAlignment="1" applyProtection="1">
      <alignment horizontal="center"/>
    </xf>
    <xf numFmtId="3" fontId="84" fillId="9" borderId="14" xfId="0" applyNumberFormat="1" applyFont="1" applyFill="1" applyBorder="1" applyAlignment="1">
      <alignment horizontal="center"/>
    </xf>
    <xf numFmtId="167" fontId="85" fillId="9" borderId="14" xfId="0" applyNumberFormat="1" applyFont="1" applyFill="1" applyBorder="1" applyAlignment="1">
      <alignment horizontal="center"/>
    </xf>
    <xf numFmtId="1" fontId="84" fillId="9" borderId="14" xfId="0" applyNumberFormat="1" applyFont="1" applyFill="1" applyBorder="1" applyAlignment="1">
      <alignment horizontal="center"/>
    </xf>
    <xf numFmtId="49" fontId="84" fillId="9" borderId="15" xfId="0" applyNumberFormat="1" applyFont="1" applyFill="1" applyBorder="1" applyAlignment="1" applyProtection="1">
      <alignment horizontal="center"/>
    </xf>
    <xf numFmtId="1" fontId="85" fillId="9" borderId="14" xfId="0" applyNumberFormat="1" applyFont="1" applyFill="1" applyBorder="1" applyAlignment="1" applyProtection="1">
      <alignment horizontal="center"/>
    </xf>
    <xf numFmtId="0" fontId="56" fillId="0" borderId="0" xfId="0" applyFont="1" applyAlignment="1">
      <alignment horizontal="center"/>
    </xf>
    <xf numFmtId="0" fontId="94" fillId="0" borderId="77" xfId="0" applyFont="1" applyFill="1" applyBorder="1" applyAlignment="1"/>
    <xf numFmtId="0" fontId="94" fillId="0" borderId="78" xfId="0" applyFont="1" applyFill="1" applyBorder="1" applyAlignment="1"/>
    <xf numFmtId="0" fontId="94" fillId="0" borderId="58" xfId="0" applyFont="1" applyFill="1" applyBorder="1" applyAlignment="1"/>
    <xf numFmtId="0" fontId="97" fillId="0" borderId="78" xfId="0" applyFont="1" applyFill="1" applyBorder="1" applyAlignment="1"/>
    <xf numFmtId="0" fontId="97" fillId="0" borderId="58" xfId="0" applyFont="1" applyFill="1" applyBorder="1" applyAlignment="1"/>
    <xf numFmtId="0" fontId="83" fillId="0" borderId="14" xfId="0" applyFont="1" applyFill="1" applyBorder="1" applyAlignment="1">
      <alignment horizontal="center"/>
    </xf>
    <xf numFmtId="49" fontId="64" fillId="0" borderId="59" xfId="0" applyNumberFormat="1" applyFont="1" applyFill="1" applyBorder="1" applyAlignment="1" applyProtection="1">
      <alignment horizontal="center"/>
    </xf>
    <xf numFmtId="3" fontId="85" fillId="0" borderId="14" xfId="0" applyNumberFormat="1" applyFont="1" applyFill="1" applyBorder="1" applyAlignment="1">
      <alignment horizontal="center"/>
    </xf>
    <xf numFmtId="0" fontId="82" fillId="0" borderId="56" xfId="0" applyFont="1" applyFill="1" applyBorder="1" applyAlignment="1" applyProtection="1">
      <alignment horizontal="center"/>
    </xf>
    <xf numFmtId="49" fontId="64" fillId="0" borderId="14" xfId="0" applyNumberFormat="1" applyFont="1" applyFill="1" applyBorder="1" applyAlignment="1">
      <alignment horizontal="center"/>
    </xf>
    <xf numFmtId="0" fontId="82" fillId="0" borderId="14" xfId="0" applyFont="1" applyFill="1" applyBorder="1" applyAlignment="1" applyProtection="1">
      <alignment horizontal="center"/>
    </xf>
    <xf numFmtId="0" fontId="65" fillId="0" borderId="14" xfId="0" applyFont="1" applyFill="1" applyBorder="1" applyAlignment="1">
      <alignment horizontal="center"/>
    </xf>
    <xf numFmtId="1" fontId="85" fillId="0" borderId="14" xfId="0" applyNumberFormat="1" applyFont="1" applyFill="1" applyBorder="1" applyAlignment="1">
      <alignment horizontal="center"/>
    </xf>
    <xf numFmtId="164" fontId="95" fillId="0" borderId="55" xfId="0" applyNumberFormat="1" applyFont="1" applyFill="1" applyBorder="1" applyAlignment="1" applyProtection="1">
      <alignment horizontal="center" vertical="center"/>
    </xf>
    <xf numFmtId="0" fontId="48" fillId="0" borderId="52" xfId="0" applyFont="1" applyFill="1" applyBorder="1" applyAlignment="1" applyProtection="1">
      <alignment horizontal="center"/>
    </xf>
    <xf numFmtId="0" fontId="92" fillId="0" borderId="52" xfId="0" applyFont="1" applyFill="1" applyBorder="1" applyAlignment="1">
      <alignment horizontal="center"/>
    </xf>
    <xf numFmtId="3" fontId="77" fillId="0" borderId="52" xfId="0" applyNumberFormat="1" applyFont="1" applyFill="1" applyBorder="1" applyAlignment="1" applyProtection="1">
      <alignment horizontal="center"/>
    </xf>
    <xf numFmtId="167" fontId="77" fillId="0" borderId="52" xfId="0" applyNumberFormat="1" applyFont="1" applyFill="1" applyBorder="1" applyAlignment="1" applyProtection="1">
      <alignment horizontal="center"/>
    </xf>
    <xf numFmtId="1" fontId="77" fillId="0" borderId="52" xfId="0" applyNumberFormat="1" applyFont="1" applyFill="1" applyBorder="1" applyAlignment="1" applyProtection="1">
      <alignment horizontal="center"/>
    </xf>
    <xf numFmtId="1" fontId="77" fillId="0" borderId="52" xfId="0" applyNumberFormat="1" applyFont="1" applyFill="1" applyBorder="1" applyAlignment="1">
      <alignment horizontal="center"/>
    </xf>
    <xf numFmtId="3" fontId="77" fillId="0" borderId="52" xfId="0" applyNumberFormat="1" applyFont="1" applyFill="1" applyBorder="1" applyAlignment="1">
      <alignment horizontal="center"/>
    </xf>
    <xf numFmtId="1" fontId="84" fillId="0" borderId="14" xfId="0" applyNumberFormat="1" applyFont="1" applyFill="1" applyBorder="1" applyAlignment="1">
      <alignment horizontal="center"/>
    </xf>
    <xf numFmtId="0" fontId="76" fillId="0" borderId="56" xfId="0" applyFont="1" applyFill="1" applyBorder="1" applyAlignment="1" applyProtection="1">
      <alignment horizontal="center"/>
    </xf>
    <xf numFmtId="0" fontId="82" fillId="0" borderId="42" xfId="0" applyFont="1" applyFill="1" applyBorder="1" applyAlignment="1" applyProtection="1">
      <alignment horizontal="center"/>
    </xf>
    <xf numFmtId="0" fontId="76" fillId="0" borderId="18" xfId="0" applyFont="1" applyFill="1" applyBorder="1" applyAlignment="1">
      <alignment horizontal="center"/>
    </xf>
    <xf numFmtId="0" fontId="96" fillId="0" borderId="68" xfId="0" applyFont="1" applyFill="1" applyBorder="1" applyAlignment="1">
      <alignment horizontal="center"/>
    </xf>
    <xf numFmtId="0" fontId="96" fillId="0" borderId="69" xfId="0" applyFont="1" applyFill="1" applyBorder="1" applyAlignment="1">
      <alignment horizontal="center"/>
    </xf>
    <xf numFmtId="0" fontId="87" fillId="0" borderId="17" xfId="0" applyFont="1" applyFill="1" applyBorder="1" applyAlignment="1">
      <alignment horizontal="left"/>
    </xf>
    <xf numFmtId="0" fontId="87" fillId="0" borderId="19" xfId="0" applyFont="1" applyFill="1" applyBorder="1" applyAlignment="1">
      <alignment horizontal="left"/>
    </xf>
    <xf numFmtId="0" fontId="98" fillId="0" borderId="16" xfId="0" applyFont="1" applyFill="1" applyBorder="1" applyAlignment="1">
      <alignment horizontal="left"/>
    </xf>
    <xf numFmtId="0" fontId="65" fillId="0" borderId="14" xfId="0" applyFont="1" applyFill="1" applyBorder="1" applyAlignment="1">
      <alignment horizontal="center"/>
    </xf>
    <xf numFmtId="0" fontId="82" fillId="9" borderId="15" xfId="0" applyFont="1" applyFill="1" applyBorder="1" applyAlignment="1" applyProtection="1">
      <alignment horizontal="center"/>
    </xf>
    <xf numFmtId="1" fontId="84" fillId="9" borderId="52" xfId="0" applyNumberFormat="1" applyFont="1" applyFill="1" applyBorder="1" applyAlignment="1">
      <alignment horizontal="center"/>
    </xf>
    <xf numFmtId="164" fontId="85" fillId="9" borderId="54" xfId="0" applyNumberFormat="1" applyFont="1" applyFill="1" applyBorder="1" applyAlignment="1" applyProtection="1">
      <alignment horizontal="center" vertical="center"/>
    </xf>
    <xf numFmtId="0" fontId="83" fillId="9" borderId="52" xfId="0" applyFont="1" applyFill="1" applyBorder="1" applyAlignment="1" applyProtection="1">
      <alignment horizontal="center"/>
    </xf>
    <xf numFmtId="0" fontId="82" fillId="9" borderId="52" xfId="0" applyFont="1" applyFill="1" applyBorder="1" applyAlignment="1" applyProtection="1">
      <alignment horizontal="center"/>
    </xf>
    <xf numFmtId="0" fontId="44" fillId="9" borderId="52" xfId="0" applyFont="1" applyFill="1" applyBorder="1" applyAlignment="1" applyProtection="1">
      <alignment horizontal="center"/>
    </xf>
    <xf numFmtId="1" fontId="85" fillId="9" borderId="52" xfId="0" applyNumberFormat="1" applyFont="1" applyFill="1" applyBorder="1" applyAlignment="1">
      <alignment horizontal="center"/>
    </xf>
    <xf numFmtId="167" fontId="85" fillId="9" borderId="52" xfId="0" applyNumberFormat="1" applyFont="1" applyFill="1" applyBorder="1" applyAlignment="1" applyProtection="1">
      <alignment horizontal="center"/>
    </xf>
    <xf numFmtId="0" fontId="82" fillId="9" borderId="14" xfId="0" applyFont="1" applyFill="1" applyBorder="1" applyAlignment="1">
      <alignment horizontal="center"/>
    </xf>
    <xf numFmtId="167" fontId="85" fillId="9" borderId="14" xfId="0" applyNumberFormat="1" applyFont="1" applyFill="1" applyBorder="1" applyAlignment="1" applyProtection="1">
      <alignment horizontal="center"/>
    </xf>
    <xf numFmtId="17" fontId="8" fillId="0" borderId="0" xfId="0" applyNumberFormat="1" applyFont="1" applyBorder="1" applyAlignment="1">
      <alignment horizontal="center" vertical="center"/>
    </xf>
    <xf numFmtId="0" fontId="88" fillId="9" borderId="0" xfId="0" applyFont="1" applyFill="1" applyBorder="1"/>
    <xf numFmtId="0" fontId="86" fillId="9" borderId="73" xfId="0" applyFont="1" applyFill="1" applyBorder="1" applyAlignment="1"/>
    <xf numFmtId="1" fontId="95" fillId="0" borderId="52" xfId="0" applyNumberFormat="1" applyFont="1" applyFill="1" applyBorder="1" applyAlignment="1">
      <alignment horizontal="center"/>
    </xf>
    <xf numFmtId="0" fontId="54" fillId="0" borderId="57" xfId="0" applyFont="1" applyFill="1" applyBorder="1" applyAlignment="1" applyProtection="1">
      <alignment horizontal="center"/>
    </xf>
    <xf numFmtId="0" fontId="92" fillId="0" borderId="57" xfId="0" applyFont="1" applyFill="1" applyBorder="1" applyAlignment="1">
      <alignment horizontal="center"/>
    </xf>
    <xf numFmtId="3" fontId="95" fillId="0" borderId="57" xfId="0" applyNumberFormat="1" applyFont="1" applyFill="1" applyBorder="1" applyAlignment="1">
      <alignment horizontal="center"/>
    </xf>
    <xf numFmtId="1" fontId="95" fillId="0" borderId="57" xfId="0" applyNumberFormat="1" applyFont="1" applyFill="1" applyBorder="1" applyAlignment="1">
      <alignment horizontal="center"/>
    </xf>
    <xf numFmtId="0" fontId="54" fillId="0" borderId="75" xfId="0" applyFont="1" applyFill="1" applyBorder="1" applyAlignment="1">
      <alignment horizontal="center"/>
    </xf>
    <xf numFmtId="0" fontId="87" fillId="9" borderId="61" xfId="0" applyFont="1" applyFill="1" applyBorder="1" applyAlignment="1">
      <alignment horizontal="left"/>
    </xf>
    <xf numFmtId="0" fontId="87" fillId="9" borderId="60" xfId="0" applyFont="1" applyFill="1" applyBorder="1" applyAlignment="1">
      <alignment horizontal="left"/>
    </xf>
    <xf numFmtId="0" fontId="87" fillId="9" borderId="36" xfId="0" applyFont="1" applyFill="1" applyBorder="1" applyAlignment="1">
      <alignment horizontal="left"/>
    </xf>
    <xf numFmtId="0" fontId="84" fillId="0" borderId="14" xfId="0" applyFont="1" applyFill="1" applyBorder="1" applyAlignment="1">
      <alignment horizontal="center"/>
    </xf>
    <xf numFmtId="164" fontId="95" fillId="0" borderId="20" xfId="0" applyNumberFormat="1" applyFont="1" applyFill="1" applyBorder="1" applyAlignment="1">
      <alignment horizontal="center" vertical="center"/>
    </xf>
    <xf numFmtId="0" fontId="83" fillId="9" borderId="14" xfId="0" applyFont="1" applyFill="1" applyBorder="1" applyAlignment="1">
      <alignment horizontal="center"/>
    </xf>
    <xf numFmtId="0" fontId="82" fillId="9" borderId="18" xfId="0" applyFont="1" applyFill="1" applyBorder="1" applyAlignment="1">
      <alignment horizontal="center"/>
    </xf>
    <xf numFmtId="49" fontId="84" fillId="9" borderId="14" xfId="0" applyNumberFormat="1" applyFont="1" applyFill="1" applyBorder="1" applyAlignment="1">
      <alignment horizontal="center"/>
    </xf>
    <xf numFmtId="0" fontId="65" fillId="0" borderId="14" xfId="0" applyFont="1" applyFill="1" applyBorder="1" applyAlignment="1" applyProtection="1">
      <alignment horizontal="center"/>
    </xf>
    <xf numFmtId="0" fontId="84" fillId="9" borderId="14" xfId="0" applyFont="1" applyFill="1" applyBorder="1" applyAlignment="1">
      <alignment horizontal="center"/>
    </xf>
    <xf numFmtId="0" fontId="96" fillId="0" borderId="69" xfId="0" applyFont="1" applyFill="1" applyBorder="1" applyAlignment="1">
      <alignment horizontal="center"/>
    </xf>
    <xf numFmtId="0" fontId="96" fillId="0" borderId="68" xfId="0" applyFont="1" applyFill="1" applyBorder="1" applyAlignment="1">
      <alignment horizontal="center"/>
    </xf>
    <xf numFmtId="0" fontId="81" fillId="0" borderId="16" xfId="0" applyFont="1" applyFill="1" applyBorder="1" applyAlignment="1">
      <alignment horizontal="left"/>
    </xf>
    <xf numFmtId="0" fontId="81" fillId="0" borderId="17" xfId="0" applyFont="1" applyFill="1" applyBorder="1" applyAlignment="1">
      <alignment horizontal="left"/>
    </xf>
    <xf numFmtId="0" fontId="81" fillId="0" borderId="19" xfId="0" applyFont="1" applyFill="1" applyBorder="1" applyAlignment="1">
      <alignment horizontal="left"/>
    </xf>
    <xf numFmtId="0" fontId="65" fillId="0" borderId="14" xfId="0" applyFont="1" applyFill="1" applyBorder="1" applyAlignment="1">
      <alignment horizontal="center"/>
    </xf>
    <xf numFmtId="0" fontId="65" fillId="0" borderId="14" xfId="0" applyFont="1" applyFill="1" applyBorder="1" applyAlignment="1" applyProtection="1">
      <alignment horizontal="center"/>
    </xf>
    <xf numFmtId="3" fontId="85" fillId="9" borderId="0" xfId="0" applyNumberFormat="1" applyFont="1" applyFill="1" applyBorder="1" applyAlignment="1">
      <alignment horizontal="center"/>
    </xf>
    <xf numFmtId="0" fontId="86" fillId="9" borderId="74" xfId="0" applyFont="1" applyFill="1" applyBorder="1" applyAlignment="1">
      <alignment horizontal="left"/>
    </xf>
    <xf numFmtId="0" fontId="48" fillId="0" borderId="15" xfId="0" applyFont="1" applyBorder="1" applyAlignment="1" applyProtection="1">
      <alignment horizontal="center"/>
    </xf>
    <xf numFmtId="0" fontId="64" fillId="5" borderId="14" xfId="0" applyFont="1" applyFill="1" applyBorder="1" applyAlignment="1" applyProtection="1">
      <alignment horizontal="center"/>
    </xf>
    <xf numFmtId="49" fontId="64" fillId="0" borderId="15" xfId="0" applyNumberFormat="1" applyFont="1" applyFill="1" applyBorder="1" applyAlignment="1" applyProtection="1">
      <alignment horizontal="center"/>
    </xf>
    <xf numFmtId="3" fontId="95" fillId="0" borderId="14" xfId="0" applyNumberFormat="1" applyFont="1" applyBorder="1" applyAlignment="1" applyProtection="1">
      <alignment horizontal="center"/>
    </xf>
    <xf numFmtId="167" fontId="95" fillId="0" borderId="14" xfId="0" applyNumberFormat="1" applyFont="1" applyBorder="1" applyAlignment="1" applyProtection="1">
      <alignment horizontal="center"/>
    </xf>
    <xf numFmtId="0" fontId="64" fillId="5" borderId="14" xfId="0" applyFont="1" applyFill="1" applyBorder="1" applyAlignment="1">
      <alignment horizontal="center"/>
    </xf>
    <xf numFmtId="167" fontId="95" fillId="0" borderId="14" xfId="0" applyNumberFormat="1" applyFont="1" applyBorder="1" applyAlignment="1">
      <alignment horizontal="center"/>
    </xf>
    <xf numFmtId="0" fontId="64" fillId="0" borderId="14" xfId="0" applyFont="1" applyBorder="1" applyAlignment="1">
      <alignment horizontal="center"/>
    </xf>
    <xf numFmtId="49" fontId="84" fillId="9" borderId="15" xfId="0" applyNumberFormat="1" applyFont="1" applyFill="1" applyBorder="1" applyAlignment="1">
      <alignment horizontal="center"/>
    </xf>
    <xf numFmtId="3" fontId="85" fillId="9" borderId="14" xfId="0" applyNumberFormat="1" applyFont="1" applyFill="1" applyBorder="1" applyAlignment="1" applyProtection="1">
      <alignment horizontal="center"/>
    </xf>
    <xf numFmtId="0" fontId="94" fillId="9" borderId="67" xfId="0" applyFont="1" applyFill="1" applyBorder="1" applyAlignment="1"/>
    <xf numFmtId="0" fontId="56" fillId="5" borderId="49" xfId="0" applyFont="1" applyFill="1" applyBorder="1" applyAlignment="1">
      <alignment horizontal="center" vertical="center"/>
    </xf>
    <xf numFmtId="1" fontId="85" fillId="0" borderId="15" xfId="0" applyNumberFormat="1" applyFont="1" applyFill="1" applyBorder="1" applyAlignment="1" applyProtection="1">
      <alignment horizontal="center"/>
    </xf>
    <xf numFmtId="0" fontId="101" fillId="0" borderId="67" xfId="0" applyFont="1" applyFill="1" applyBorder="1" applyAlignment="1"/>
    <xf numFmtId="0" fontId="105" fillId="0" borderId="0" xfId="0" applyFont="1" applyFill="1"/>
    <xf numFmtId="1" fontId="85" fillId="0" borderId="52" xfId="0" applyNumberFormat="1" applyFont="1" applyFill="1" applyBorder="1" applyAlignment="1">
      <alignment horizontal="center"/>
    </xf>
    <xf numFmtId="0" fontId="96" fillId="0" borderId="52" xfId="0" applyFont="1" applyFill="1" applyBorder="1" applyAlignment="1"/>
    <xf numFmtId="0" fontId="96" fillId="0" borderId="0" xfId="0" applyFont="1" applyFill="1" applyBorder="1" applyAlignment="1"/>
    <xf numFmtId="49" fontId="84" fillId="0" borderId="14" xfId="0" applyNumberFormat="1" applyFont="1" applyFill="1" applyBorder="1" applyAlignment="1">
      <alignment horizontal="center"/>
    </xf>
    <xf numFmtId="0" fontId="84" fillId="0" borderId="14" xfId="0" applyFont="1" applyFill="1" applyBorder="1" applyAlignment="1" applyProtection="1">
      <alignment horizontal="center"/>
    </xf>
    <xf numFmtId="0" fontId="30" fillId="5" borderId="13" xfId="0" applyFont="1" applyFill="1" applyBorder="1" applyAlignment="1">
      <alignment horizontal="center" vertical="center"/>
    </xf>
    <xf numFmtId="0" fontId="65" fillId="0" borderId="14" xfId="0" applyFont="1" applyFill="1" applyBorder="1" applyAlignment="1" applyProtection="1">
      <alignment horizontal="center"/>
    </xf>
    <xf numFmtId="0" fontId="84" fillId="9" borderId="14" xfId="0" applyFont="1" applyFill="1" applyBorder="1" applyAlignment="1">
      <alignment horizontal="center"/>
    </xf>
    <xf numFmtId="3" fontId="64" fillId="9" borderId="14" xfId="0" applyNumberFormat="1" applyFont="1" applyFill="1" applyBorder="1" applyAlignment="1">
      <alignment horizontal="center"/>
    </xf>
    <xf numFmtId="1" fontId="85" fillId="9" borderId="15" xfId="0" applyNumberFormat="1" applyFont="1" applyFill="1" applyBorder="1" applyAlignment="1" applyProtection="1">
      <alignment horizontal="center"/>
    </xf>
    <xf numFmtId="1" fontId="64" fillId="9" borderId="52" xfId="0" applyNumberFormat="1" applyFont="1" applyFill="1" applyBorder="1" applyAlignment="1">
      <alignment horizontal="center"/>
    </xf>
    <xf numFmtId="3" fontId="95" fillId="9" borderId="57" xfId="0" applyNumberFormat="1" applyFont="1" applyFill="1" applyBorder="1" applyAlignment="1">
      <alignment horizontal="center"/>
    </xf>
    <xf numFmtId="167" fontId="95" fillId="9" borderId="52" xfId="0" applyNumberFormat="1" applyFont="1" applyFill="1" applyBorder="1" applyAlignment="1" applyProtection="1">
      <alignment horizontal="center"/>
    </xf>
    <xf numFmtId="0" fontId="82" fillId="9" borderId="56" xfId="0" applyFont="1" applyFill="1" applyBorder="1" applyAlignment="1" applyProtection="1">
      <alignment horizontal="center"/>
    </xf>
    <xf numFmtId="0" fontId="82" fillId="9" borderId="42" xfId="0" applyFont="1" applyFill="1" applyBorder="1" applyAlignment="1" applyProtection="1">
      <alignment horizontal="center"/>
    </xf>
    <xf numFmtId="3" fontId="77" fillId="9" borderId="14" xfId="0" applyNumberFormat="1" applyFont="1" applyFill="1" applyBorder="1" applyAlignment="1" applyProtection="1">
      <alignment horizontal="center"/>
    </xf>
    <xf numFmtId="164" fontId="77" fillId="9" borderId="54" xfId="0" applyNumberFormat="1" applyFont="1" applyFill="1" applyBorder="1" applyAlignment="1" applyProtection="1">
      <alignment horizontal="center" vertical="center"/>
    </xf>
    <xf numFmtId="164" fontId="70" fillId="0" borderId="50" xfId="0" applyNumberFormat="1" applyFont="1" applyFill="1" applyBorder="1" applyAlignment="1" applyProtection="1">
      <alignment horizontal="center" vertical="center"/>
      <protection hidden="1"/>
    </xf>
    <xf numFmtId="0" fontId="84" fillId="9" borderId="14" xfId="0" applyFont="1" applyFill="1" applyBorder="1" applyAlignment="1">
      <alignment horizontal="center"/>
    </xf>
    <xf numFmtId="0" fontId="94" fillId="9" borderId="77" xfId="0" applyFont="1" applyFill="1" applyBorder="1" applyAlignment="1"/>
    <xf numFmtId="49" fontId="84" fillId="9" borderId="59" xfId="0" applyNumberFormat="1" applyFont="1" applyFill="1" applyBorder="1" applyAlignment="1" applyProtection="1">
      <alignment horizontal="center"/>
    </xf>
    <xf numFmtId="0" fontId="86" fillId="9" borderId="67" xfId="0" applyFont="1" applyFill="1" applyBorder="1" applyAlignment="1"/>
    <xf numFmtId="0" fontId="82" fillId="9" borderId="14" xfId="0" applyFont="1" applyFill="1" applyBorder="1" applyAlignment="1" applyProtection="1">
      <alignment horizontal="center"/>
    </xf>
    <xf numFmtId="3" fontId="85" fillId="9" borderId="52" xfId="0" applyNumberFormat="1" applyFont="1" applyFill="1" applyBorder="1" applyAlignment="1" applyProtection="1">
      <alignment horizontal="center"/>
    </xf>
    <xf numFmtId="1" fontId="85" fillId="9" borderId="52" xfId="0" applyNumberFormat="1" applyFont="1" applyFill="1" applyBorder="1" applyAlignment="1" applyProtection="1">
      <alignment horizontal="center"/>
    </xf>
    <xf numFmtId="0" fontId="44" fillId="9" borderId="52" xfId="0" applyFont="1" applyFill="1" applyBorder="1" applyAlignment="1">
      <alignment horizontal="center"/>
    </xf>
    <xf numFmtId="3" fontId="85" fillId="9" borderId="52" xfId="0" applyNumberFormat="1" applyFont="1" applyFill="1" applyBorder="1" applyAlignment="1">
      <alignment horizontal="center"/>
    </xf>
    <xf numFmtId="0" fontId="54" fillId="9" borderId="52" xfId="0" applyFont="1" applyFill="1" applyBorder="1" applyAlignment="1" applyProtection="1">
      <alignment horizontal="center"/>
    </xf>
    <xf numFmtId="0" fontId="54" fillId="9" borderId="15" xfId="0" applyFont="1" applyFill="1" applyBorder="1" applyAlignment="1" applyProtection="1">
      <alignment horizontal="center"/>
    </xf>
    <xf numFmtId="49" fontId="64" fillId="9" borderId="59" xfId="0" applyNumberFormat="1" applyFont="1" applyFill="1" applyBorder="1" applyAlignment="1" applyProtection="1">
      <alignment horizontal="center"/>
    </xf>
    <xf numFmtId="3" fontId="77" fillId="9" borderId="52" xfId="0" applyNumberFormat="1" applyFont="1" applyFill="1" applyBorder="1" applyAlignment="1">
      <alignment horizontal="center"/>
    </xf>
    <xf numFmtId="3" fontId="65" fillId="9" borderId="14" xfId="0" applyNumberFormat="1" applyFont="1" applyFill="1" applyBorder="1" applyAlignment="1">
      <alignment horizontal="center"/>
    </xf>
    <xf numFmtId="167" fontId="77" fillId="9" borderId="52" xfId="0" applyNumberFormat="1" applyFont="1" applyFill="1" applyBorder="1" applyAlignment="1" applyProtection="1">
      <alignment horizontal="center"/>
    </xf>
    <xf numFmtId="166" fontId="65" fillId="9" borderId="14" xfId="0" applyNumberFormat="1" applyFont="1" applyFill="1" applyBorder="1" applyAlignment="1">
      <alignment horizontal="center"/>
    </xf>
    <xf numFmtId="1" fontId="77" fillId="9" borderId="52" xfId="0" applyNumberFormat="1" applyFont="1" applyFill="1" applyBorder="1" applyAlignment="1">
      <alignment horizontal="center"/>
    </xf>
    <xf numFmtId="1" fontId="65" fillId="9" borderId="52" xfId="0" applyNumberFormat="1" applyFont="1" applyFill="1" applyBorder="1" applyAlignment="1">
      <alignment horizontal="center"/>
    </xf>
    <xf numFmtId="0" fontId="79" fillId="9" borderId="67" xfId="0" applyFont="1" applyFill="1" applyBorder="1" applyAlignment="1"/>
    <xf numFmtId="0" fontId="86" fillId="9" borderId="52" xfId="0" applyFont="1" applyFill="1" applyBorder="1" applyAlignment="1"/>
    <xf numFmtId="0" fontId="51" fillId="5" borderId="50" xfId="0" applyFont="1" applyFill="1" applyBorder="1" applyAlignment="1">
      <alignment horizontal="center" vertical="center"/>
    </xf>
    <xf numFmtId="164" fontId="95" fillId="9" borderId="55" xfId="0" applyNumberFormat="1" applyFont="1" applyFill="1" applyBorder="1" applyAlignment="1" applyProtection="1">
      <alignment horizontal="center" vertical="center"/>
    </xf>
    <xf numFmtId="0" fontId="48" fillId="9" borderId="15" xfId="0" applyFont="1" applyFill="1" applyBorder="1" applyAlignment="1" applyProtection="1">
      <alignment horizontal="center"/>
    </xf>
    <xf numFmtId="0" fontId="54" fillId="9" borderId="14" xfId="0" applyFont="1" applyFill="1" applyBorder="1" applyAlignment="1">
      <alignment horizontal="center"/>
    </xf>
    <xf numFmtId="0" fontId="92" fillId="9" borderId="57" xfId="0" applyFont="1" applyFill="1" applyBorder="1" applyAlignment="1">
      <alignment horizontal="center"/>
    </xf>
    <xf numFmtId="1" fontId="95" fillId="9" borderId="57" xfId="0" applyNumberFormat="1" applyFont="1" applyFill="1" applyBorder="1" applyAlignment="1">
      <alignment horizontal="center"/>
    </xf>
    <xf numFmtId="0" fontId="96" fillId="9" borderId="67" xfId="0" applyFont="1" applyFill="1" applyBorder="1" applyAlignment="1"/>
    <xf numFmtId="0" fontId="86" fillId="9" borderId="68" xfId="0" applyFont="1" applyFill="1" applyBorder="1" applyAlignment="1">
      <alignment horizontal="center"/>
    </xf>
    <xf numFmtId="0" fontId="86" fillId="9" borderId="69" xfId="0" applyFont="1" applyFill="1" applyBorder="1" applyAlignment="1">
      <alignment horizontal="center"/>
    </xf>
    <xf numFmtId="0" fontId="97" fillId="0" borderId="68" xfId="0" applyFont="1" applyFill="1" applyBorder="1" applyAlignment="1">
      <alignment horizontal="center"/>
    </xf>
    <xf numFmtId="0" fontId="96" fillId="0" borderId="69" xfId="0" applyFont="1" applyFill="1" applyBorder="1" applyAlignment="1">
      <alignment horizontal="center"/>
    </xf>
    <xf numFmtId="0" fontId="96" fillId="0" borderId="68" xfId="0" applyFont="1" applyFill="1" applyBorder="1" applyAlignment="1">
      <alignment horizontal="center"/>
    </xf>
    <xf numFmtId="0" fontId="79" fillId="0" borderId="68" xfId="0" applyFont="1" applyFill="1" applyBorder="1" applyAlignment="1">
      <alignment horizontal="center"/>
    </xf>
    <xf numFmtId="0" fontId="79" fillId="0" borderId="69" xfId="0" applyFont="1" applyFill="1" applyBorder="1" applyAlignment="1">
      <alignment horizontal="center"/>
    </xf>
    <xf numFmtId="0" fontId="79" fillId="0" borderId="71" xfId="0" applyFont="1" applyFill="1" applyBorder="1" applyAlignment="1">
      <alignment horizontal="center"/>
    </xf>
    <xf numFmtId="0" fontId="79" fillId="0" borderId="72" xfId="0" applyFont="1" applyFill="1" applyBorder="1" applyAlignment="1">
      <alignment horizontal="center"/>
    </xf>
    <xf numFmtId="1" fontId="67" fillId="7" borderId="7" xfId="0" applyNumberFormat="1" applyFont="1" applyFill="1" applyBorder="1" applyAlignment="1">
      <alignment horizontal="center" vertical="center"/>
    </xf>
    <xf numFmtId="0" fontId="67" fillId="7" borderId="8" xfId="0" applyFont="1" applyFill="1" applyBorder="1" applyAlignment="1">
      <alignment horizontal="center" vertical="center"/>
    </xf>
    <xf numFmtId="0" fontId="67" fillId="7" borderId="11" xfId="0" applyFont="1" applyFill="1" applyBorder="1" applyAlignment="1">
      <alignment horizontal="center" vertical="center"/>
    </xf>
    <xf numFmtId="1" fontId="67" fillId="7" borderId="11" xfId="0" applyNumberFormat="1" applyFont="1" applyFill="1" applyBorder="1" applyAlignment="1">
      <alignment horizontal="center" vertical="center"/>
    </xf>
    <xf numFmtId="0" fontId="67" fillId="7" borderId="7" xfId="0" applyFont="1" applyFill="1" applyBorder="1" applyAlignment="1">
      <alignment horizontal="center" vertical="center"/>
    </xf>
    <xf numFmtId="0" fontId="64" fillId="7" borderId="7" xfId="0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11" xfId="0" applyFont="1" applyFill="1" applyBorder="1" applyAlignment="1">
      <alignment horizontal="center" vertical="center"/>
    </xf>
    <xf numFmtId="0" fontId="65" fillId="0" borderId="32" xfId="0" applyFont="1" applyBorder="1" applyAlignment="1">
      <alignment horizontal="center" wrapText="1"/>
    </xf>
    <xf numFmtId="0" fontId="65" fillId="0" borderId="45" xfId="0" applyFont="1" applyBorder="1" applyAlignment="1">
      <alignment horizontal="center" wrapText="1"/>
    </xf>
    <xf numFmtId="1" fontId="67" fillId="0" borderId="16" xfId="0" applyNumberFormat="1" applyFont="1" applyFill="1" applyBorder="1" applyAlignment="1">
      <alignment horizontal="center" vertical="center"/>
    </xf>
    <xf numFmtId="1" fontId="67" fillId="0" borderId="19" xfId="0" applyNumberFormat="1" applyFont="1" applyFill="1" applyBorder="1" applyAlignment="1">
      <alignment horizontal="center" vertical="center"/>
    </xf>
    <xf numFmtId="0" fontId="66" fillId="0" borderId="26" xfId="0" applyFont="1" applyBorder="1" applyAlignment="1" applyProtection="1">
      <alignment horizontal="center"/>
    </xf>
    <xf numFmtId="0" fontId="66" fillId="0" borderId="18" xfId="0" applyFont="1" applyBorder="1" applyAlignment="1" applyProtection="1">
      <alignment horizontal="center"/>
    </xf>
    <xf numFmtId="3" fontId="67" fillId="0" borderId="14" xfId="0" applyNumberFormat="1" applyFont="1" applyFill="1" applyBorder="1" applyAlignment="1">
      <alignment horizontal="center" vertical="center"/>
    </xf>
    <xf numFmtId="0" fontId="66" fillId="0" borderId="64" xfId="0" applyFont="1" applyBorder="1" applyAlignment="1" applyProtection="1">
      <alignment horizontal="center"/>
    </xf>
    <xf numFmtId="0" fontId="66" fillId="0" borderId="42" xfId="0" applyFont="1" applyBorder="1" applyAlignment="1" applyProtection="1">
      <alignment horizontal="center"/>
    </xf>
    <xf numFmtId="1" fontId="67" fillId="0" borderId="41" xfId="0" applyNumberFormat="1" applyFont="1" applyFill="1" applyBorder="1" applyAlignment="1">
      <alignment horizontal="center" vertical="center"/>
    </xf>
    <xf numFmtId="1" fontId="67" fillId="0" borderId="37" xfId="0" applyNumberFormat="1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3" fillId="5" borderId="35" xfId="0" applyFont="1" applyFill="1" applyBorder="1" applyAlignment="1">
      <alignment horizontal="center" vertical="center" wrapText="1"/>
    </xf>
    <xf numFmtId="0" fontId="73" fillId="5" borderId="38" xfId="0" applyFont="1" applyFill="1" applyBorder="1" applyAlignment="1">
      <alignment horizontal="center" vertical="center" wrapText="1"/>
    </xf>
    <xf numFmtId="14" fontId="18" fillId="6" borderId="0" xfId="0" applyNumberFormat="1" applyFont="1" applyFill="1" applyAlignment="1">
      <alignment horizontal="center" vertical="center"/>
    </xf>
    <xf numFmtId="165" fontId="18" fillId="6" borderId="0" xfId="0" applyNumberFormat="1" applyFont="1" applyFill="1" applyAlignment="1">
      <alignment horizontal="center" vertical="center"/>
    </xf>
    <xf numFmtId="0" fontId="25" fillId="6" borderId="3" xfId="0" applyFont="1" applyFill="1" applyBorder="1" applyAlignment="1">
      <alignment horizontal="center" vertical="center" wrapText="1"/>
    </xf>
    <xf numFmtId="0" fontId="25" fillId="6" borderId="0" xfId="0" applyFont="1" applyFill="1" applyBorder="1" applyAlignment="1">
      <alignment horizontal="center" vertical="center" wrapText="1"/>
    </xf>
    <xf numFmtId="0" fontId="64" fillId="0" borderId="16" xfId="0" applyFont="1" applyFill="1" applyBorder="1" applyAlignment="1" applyProtection="1">
      <alignment horizontal="center" wrapText="1"/>
    </xf>
    <xf numFmtId="0" fontId="64" fillId="0" borderId="18" xfId="0" applyFont="1" applyFill="1" applyBorder="1" applyAlignment="1" applyProtection="1">
      <alignment horizontal="center" wrapText="1"/>
    </xf>
    <xf numFmtId="0" fontId="84" fillId="9" borderId="16" xfId="0" applyFont="1" applyFill="1" applyBorder="1" applyAlignment="1" applyProtection="1">
      <alignment horizontal="center" wrapText="1"/>
    </xf>
    <xf numFmtId="0" fontId="84" fillId="9" borderId="18" xfId="0" applyFont="1" applyFill="1" applyBorder="1" applyAlignment="1" applyProtection="1">
      <alignment horizontal="center" wrapText="1"/>
    </xf>
    <xf numFmtId="0" fontId="64" fillId="0" borderId="41" xfId="0" applyFont="1" applyFill="1" applyBorder="1" applyAlignment="1" applyProtection="1">
      <alignment horizontal="center" wrapText="1"/>
    </xf>
    <xf numFmtId="0" fontId="64" fillId="0" borderId="42" xfId="0" applyFont="1" applyFill="1" applyBorder="1" applyAlignment="1" applyProtection="1">
      <alignment horizontal="center" wrapText="1"/>
    </xf>
    <xf numFmtId="0" fontId="65" fillId="0" borderId="16" xfId="0" applyFont="1" applyFill="1" applyBorder="1" applyAlignment="1" applyProtection="1">
      <alignment horizontal="center" wrapText="1"/>
    </xf>
    <xf numFmtId="0" fontId="65" fillId="0" borderId="18" xfId="0" applyFont="1" applyFill="1" applyBorder="1" applyAlignment="1" applyProtection="1">
      <alignment horizontal="center" wrapText="1"/>
    </xf>
    <xf numFmtId="0" fontId="39" fillId="5" borderId="0" xfId="1" applyFont="1" applyFill="1" applyBorder="1" applyAlignment="1">
      <alignment horizontal="center" vertical="center" readingOrder="1"/>
    </xf>
    <xf numFmtId="14" fontId="31" fillId="5" borderId="0" xfId="0" applyNumberFormat="1" applyFont="1" applyFill="1" applyBorder="1" applyAlignment="1">
      <alignment horizontal="center"/>
    </xf>
    <xf numFmtId="0" fontId="38" fillId="5" borderId="43" xfId="0" applyFont="1" applyFill="1" applyBorder="1" applyAlignment="1">
      <alignment horizontal="center" vertical="center" wrapText="1"/>
    </xf>
    <xf numFmtId="0" fontId="38" fillId="5" borderId="44" xfId="0" applyFont="1" applyFill="1" applyBorder="1" applyAlignment="1">
      <alignment horizontal="center" vertical="center" wrapText="1"/>
    </xf>
    <xf numFmtId="0" fontId="38" fillId="5" borderId="8" xfId="0" applyFont="1" applyFill="1" applyBorder="1" applyAlignment="1">
      <alignment horizontal="center" vertical="center" wrapText="1"/>
    </xf>
    <xf numFmtId="0" fontId="38" fillId="5" borderId="1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30" fillId="5" borderId="13" xfId="0" applyFont="1" applyFill="1" applyBorder="1" applyAlignment="1">
      <alignment horizontal="center" vertical="center"/>
    </xf>
    <xf numFmtId="0" fontId="29" fillId="5" borderId="13" xfId="0" applyFont="1" applyFill="1" applyBorder="1" applyAlignment="1">
      <alignment horizontal="center" vertical="center"/>
    </xf>
    <xf numFmtId="0" fontId="35" fillId="5" borderId="4" xfId="0" applyFont="1" applyFill="1" applyBorder="1" applyAlignment="1" applyProtection="1">
      <alignment horizontal="center" wrapText="1"/>
      <protection hidden="1"/>
    </xf>
    <xf numFmtId="0" fontId="35" fillId="5" borderId="9" xfId="0" applyFont="1" applyFill="1" applyBorder="1" applyAlignment="1" applyProtection="1">
      <alignment horizontal="center" wrapText="1"/>
      <protection hidden="1"/>
    </xf>
    <xf numFmtId="0" fontId="86" fillId="0" borderId="69" xfId="0" applyFont="1" applyFill="1" applyBorder="1" applyAlignment="1">
      <alignment horizontal="center"/>
    </xf>
    <xf numFmtId="0" fontId="86" fillId="0" borderId="68" xfId="0" applyFont="1" applyFill="1" applyBorder="1" applyAlignment="1">
      <alignment horizontal="center"/>
    </xf>
    <xf numFmtId="0" fontId="78" fillId="0" borderId="77" xfId="0" applyFont="1" applyFill="1" applyBorder="1" applyAlignment="1">
      <alignment horizontal="center"/>
    </xf>
    <xf numFmtId="0" fontId="78" fillId="0" borderId="78" xfId="0" applyFont="1" applyFill="1" applyBorder="1" applyAlignment="1">
      <alignment horizontal="center"/>
    </xf>
    <xf numFmtId="0" fontId="78" fillId="0" borderId="58" xfId="0" applyFont="1" applyFill="1" applyBorder="1" applyAlignment="1">
      <alignment horizontal="center"/>
    </xf>
    <xf numFmtId="0" fontId="94" fillId="0" borderId="77" xfId="0" applyFont="1" applyFill="1" applyBorder="1" applyAlignment="1">
      <alignment horizontal="center"/>
    </xf>
    <xf numFmtId="0" fontId="94" fillId="0" borderId="78" xfId="0" applyFont="1" applyFill="1" applyBorder="1" applyAlignment="1">
      <alignment horizontal="center"/>
    </xf>
    <xf numFmtId="0" fontId="94" fillId="0" borderId="58" xfId="0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65" fillId="7" borderId="16" xfId="0" applyFont="1" applyFill="1" applyBorder="1" applyAlignment="1">
      <alignment horizontal="center" wrapText="1"/>
    </xf>
    <xf numFmtId="0" fontId="65" fillId="7" borderId="18" xfId="0" applyFont="1" applyFill="1" applyBorder="1" applyAlignment="1">
      <alignment horizontal="center" wrapText="1"/>
    </xf>
    <xf numFmtId="0" fontId="79" fillId="7" borderId="68" xfId="0" applyFont="1" applyFill="1" applyBorder="1" applyAlignment="1">
      <alignment horizontal="center"/>
    </xf>
    <xf numFmtId="0" fontId="79" fillId="7" borderId="69" xfId="0" applyFont="1" applyFill="1" applyBorder="1" applyAlignment="1">
      <alignment horizontal="center"/>
    </xf>
    <xf numFmtId="0" fontId="79" fillId="5" borderId="68" xfId="0" applyFont="1" applyFill="1" applyBorder="1" applyAlignment="1">
      <alignment horizontal="center"/>
    </xf>
    <xf numFmtId="0" fontId="79" fillId="5" borderId="69" xfId="0" applyFont="1" applyFill="1" applyBorder="1" applyAlignment="1">
      <alignment horizontal="center"/>
    </xf>
    <xf numFmtId="0" fontId="41" fillId="0" borderId="34" xfId="0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67" fillId="0" borderId="13" xfId="0" applyFont="1" applyFill="1" applyBorder="1" applyAlignment="1">
      <alignment horizontal="center" vertical="center"/>
    </xf>
    <xf numFmtId="1" fontId="67" fillId="0" borderId="13" xfId="0" applyNumberFormat="1" applyFont="1" applyFill="1" applyBorder="1" applyAlignment="1">
      <alignment horizontal="center" vertical="center"/>
    </xf>
    <xf numFmtId="0" fontId="38" fillId="5" borderId="34" xfId="0" applyFont="1" applyFill="1" applyBorder="1" applyAlignment="1">
      <alignment horizontal="center" vertical="center" wrapText="1"/>
    </xf>
    <xf numFmtId="0" fontId="38" fillId="5" borderId="31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 wrapText="1"/>
    </xf>
    <xf numFmtId="0" fontId="94" fillId="9" borderId="77" xfId="0" applyFont="1" applyFill="1" applyBorder="1" applyAlignment="1">
      <alignment horizontal="center"/>
    </xf>
    <xf numFmtId="0" fontId="94" fillId="9" borderId="78" xfId="0" applyFont="1" applyFill="1" applyBorder="1" applyAlignment="1">
      <alignment horizontal="center"/>
    </xf>
    <xf numFmtId="0" fontId="94" fillId="9" borderId="58" xfId="0" applyFont="1" applyFill="1" applyBorder="1" applyAlignment="1">
      <alignment horizontal="center"/>
    </xf>
    <xf numFmtId="0" fontId="43" fillId="5" borderId="7" xfId="0" applyFont="1" applyFill="1" applyBorder="1" applyAlignment="1">
      <alignment horizontal="center" vertical="center" wrapText="1"/>
    </xf>
    <xf numFmtId="0" fontId="43" fillId="5" borderId="11" xfId="0" applyFont="1" applyFill="1" applyBorder="1" applyAlignment="1">
      <alignment horizontal="center" vertical="center" wrapText="1"/>
    </xf>
    <xf numFmtId="0" fontId="66" fillId="0" borderId="27" xfId="0" applyFont="1" applyBorder="1" applyAlignment="1" applyProtection="1">
      <alignment horizontal="center"/>
    </xf>
    <xf numFmtId="0" fontId="66" fillId="0" borderId="45" xfId="0" applyFont="1" applyBorder="1" applyAlignment="1" applyProtection="1">
      <alignment horizontal="center"/>
    </xf>
    <xf numFmtId="3" fontId="67" fillId="0" borderId="23" xfId="0" applyNumberFormat="1" applyFont="1" applyFill="1" applyBorder="1" applyAlignment="1">
      <alignment horizontal="center" vertical="center"/>
    </xf>
    <xf numFmtId="0" fontId="73" fillId="5" borderId="39" xfId="0" applyFont="1" applyFill="1" applyBorder="1" applyAlignment="1">
      <alignment horizontal="center" vertical="center" wrapText="1"/>
    </xf>
    <xf numFmtId="0" fontId="65" fillId="0" borderId="16" xfId="0" applyFont="1" applyBorder="1" applyAlignment="1">
      <alignment horizontal="center" wrapText="1"/>
    </xf>
    <xf numFmtId="0" fontId="65" fillId="0" borderId="18" xfId="0" applyFont="1" applyBorder="1" applyAlignment="1">
      <alignment horizontal="center" wrapText="1"/>
    </xf>
    <xf numFmtId="0" fontId="64" fillId="5" borderId="16" xfId="0" applyFont="1" applyFill="1" applyBorder="1" applyAlignment="1">
      <alignment horizontal="center" wrapText="1"/>
    </xf>
    <xf numFmtId="0" fontId="64" fillId="5" borderId="18" xfId="0" applyFont="1" applyFill="1" applyBorder="1" applyAlignment="1">
      <alignment horizontal="center" wrapText="1"/>
    </xf>
    <xf numFmtId="0" fontId="84" fillId="0" borderId="41" xfId="0" applyFont="1" applyFill="1" applyBorder="1" applyAlignment="1" applyProtection="1">
      <alignment horizontal="center" wrapText="1"/>
    </xf>
    <xf numFmtId="0" fontId="84" fillId="0" borderId="42" xfId="0" applyFont="1" applyFill="1" applyBorder="1" applyAlignment="1" applyProtection="1">
      <alignment horizontal="center" wrapText="1"/>
    </xf>
    <xf numFmtId="0" fontId="65" fillId="0" borderId="16" xfId="0" applyFont="1" applyFill="1" applyBorder="1" applyAlignment="1">
      <alignment horizontal="center" wrapText="1"/>
    </xf>
    <xf numFmtId="0" fontId="65" fillId="0" borderId="18" xfId="0" applyFont="1" applyFill="1" applyBorder="1" applyAlignment="1">
      <alignment horizontal="center" wrapText="1"/>
    </xf>
    <xf numFmtId="1" fontId="67" fillId="0" borderId="32" xfId="0" applyNumberFormat="1" applyFont="1" applyFill="1" applyBorder="1" applyAlignment="1">
      <alignment horizontal="center" vertical="center"/>
    </xf>
    <xf numFmtId="1" fontId="67" fillId="0" borderId="28" xfId="0" applyNumberFormat="1" applyFont="1" applyFill="1" applyBorder="1" applyAlignment="1">
      <alignment horizontal="center" vertical="center"/>
    </xf>
    <xf numFmtId="0" fontId="96" fillId="9" borderId="68" xfId="0" applyFont="1" applyFill="1" applyBorder="1" applyAlignment="1">
      <alignment horizontal="center"/>
    </xf>
    <xf numFmtId="0" fontId="96" fillId="9" borderId="69" xfId="0" applyFont="1" applyFill="1" applyBorder="1" applyAlignment="1">
      <alignment horizontal="center"/>
    </xf>
    <xf numFmtId="0" fontId="86" fillId="9" borderId="65" xfId="0" applyFont="1" applyFill="1" applyBorder="1" applyAlignment="1">
      <alignment horizontal="center"/>
    </xf>
    <xf numFmtId="0" fontId="86" fillId="9" borderId="66" xfId="0" applyFont="1" applyFill="1" applyBorder="1" applyAlignment="1">
      <alignment horizontal="center"/>
    </xf>
    <xf numFmtId="0" fontId="96" fillId="0" borderId="52" xfId="0" applyFont="1" applyFill="1" applyBorder="1" applyAlignment="1">
      <alignment horizontal="center"/>
    </xf>
    <xf numFmtId="0" fontId="96" fillId="0" borderId="85" xfId="0" applyFont="1" applyFill="1" applyBorder="1" applyAlignment="1">
      <alignment horizontal="center"/>
    </xf>
    <xf numFmtId="0" fontId="96" fillId="0" borderId="84" xfId="0" applyFont="1" applyFill="1" applyBorder="1" applyAlignment="1">
      <alignment horizontal="center"/>
    </xf>
    <xf numFmtId="0" fontId="96" fillId="0" borderId="58" xfId="0" applyFont="1" applyFill="1" applyBorder="1" applyAlignment="1">
      <alignment horizontal="center"/>
    </xf>
    <xf numFmtId="0" fontId="96" fillId="0" borderId="77" xfId="0" applyFont="1" applyFill="1" applyBorder="1" applyAlignment="1">
      <alignment horizontal="center"/>
    </xf>
    <xf numFmtId="0" fontId="86" fillId="9" borderId="77" xfId="0" applyFont="1" applyFill="1" applyBorder="1" applyAlignment="1">
      <alignment horizontal="center"/>
    </xf>
    <xf numFmtId="0" fontId="86" fillId="9" borderId="58" xfId="0" applyFont="1" applyFill="1" applyBorder="1" applyAlignment="1">
      <alignment horizontal="center"/>
    </xf>
    <xf numFmtId="0" fontId="84" fillId="9" borderId="41" xfId="0" applyFont="1" applyFill="1" applyBorder="1" applyAlignment="1" applyProtection="1">
      <alignment horizontal="center" wrapText="1"/>
    </xf>
    <xf numFmtId="0" fontId="84" fillId="9" borderId="42" xfId="0" applyFont="1" applyFill="1" applyBorder="1" applyAlignment="1" applyProtection="1">
      <alignment horizontal="center" wrapText="1"/>
    </xf>
    <xf numFmtId="0" fontId="64" fillId="9" borderId="41" xfId="0" applyFont="1" applyFill="1" applyBorder="1" applyAlignment="1" applyProtection="1">
      <alignment horizontal="center" wrapText="1"/>
    </xf>
    <xf numFmtId="0" fontId="64" fillId="9" borderId="42" xfId="0" applyFont="1" applyFill="1" applyBorder="1" applyAlignment="1" applyProtection="1">
      <alignment horizontal="center" wrapText="1"/>
    </xf>
    <xf numFmtId="0" fontId="79" fillId="9" borderId="68" xfId="0" applyFont="1" applyFill="1" applyBorder="1" applyAlignment="1">
      <alignment horizontal="center"/>
    </xf>
    <xf numFmtId="0" fontId="79" fillId="9" borderId="69" xfId="0" applyFont="1" applyFill="1" applyBorder="1" applyAlignment="1">
      <alignment horizontal="center"/>
    </xf>
    <xf numFmtId="0" fontId="64" fillId="5" borderId="41" xfId="0" applyFont="1" applyFill="1" applyBorder="1" applyAlignment="1" applyProtection="1">
      <alignment horizontal="center" wrapText="1"/>
    </xf>
    <xf numFmtId="0" fontId="64" fillId="5" borderId="42" xfId="0" applyFont="1" applyFill="1" applyBorder="1" applyAlignment="1" applyProtection="1">
      <alignment horizontal="center" wrapText="1"/>
    </xf>
    <xf numFmtId="0" fontId="84" fillId="9" borderId="16" xfId="0" applyFont="1" applyFill="1" applyBorder="1" applyAlignment="1">
      <alignment horizontal="center" wrapText="1"/>
    </xf>
    <xf numFmtId="0" fontId="84" fillId="9" borderId="18" xfId="0" applyFont="1" applyFill="1" applyBorder="1" applyAlignment="1">
      <alignment horizontal="center" wrapText="1"/>
    </xf>
    <xf numFmtId="0" fontId="65" fillId="0" borderId="83" xfId="0" applyFont="1" applyFill="1" applyBorder="1" applyAlignment="1">
      <alignment horizontal="center" wrapText="1"/>
    </xf>
    <xf numFmtId="0" fontId="67" fillId="0" borderId="14" xfId="0" applyFont="1" applyFill="1" applyBorder="1" applyAlignment="1">
      <alignment horizontal="center" vertical="center"/>
    </xf>
    <xf numFmtId="1" fontId="67" fillId="0" borderId="14" xfId="0" applyNumberFormat="1" applyFont="1" applyFill="1" applyBorder="1" applyAlignment="1">
      <alignment horizontal="center" vertical="center"/>
    </xf>
    <xf numFmtId="0" fontId="67" fillId="0" borderId="15" xfId="0" applyFont="1" applyFill="1" applyBorder="1" applyAlignment="1">
      <alignment horizontal="center" vertical="center"/>
    </xf>
    <xf numFmtId="1" fontId="67" fillId="0" borderId="15" xfId="0" applyNumberFormat="1" applyFont="1" applyFill="1" applyBorder="1" applyAlignment="1">
      <alignment horizontal="center" vertical="center"/>
    </xf>
    <xf numFmtId="0" fontId="67" fillId="0" borderId="23" xfId="0" applyFont="1" applyFill="1" applyBorder="1" applyAlignment="1">
      <alignment horizontal="center" vertical="center"/>
    </xf>
    <xf numFmtId="1" fontId="67" fillId="0" borderId="23" xfId="0" applyNumberFormat="1" applyFont="1" applyFill="1" applyBorder="1" applyAlignment="1">
      <alignment horizontal="center" vertical="center"/>
    </xf>
    <xf numFmtId="0" fontId="81" fillId="0" borderId="16" xfId="0" applyFont="1" applyFill="1" applyBorder="1" applyAlignment="1">
      <alignment horizontal="left"/>
    </xf>
    <xf numFmtId="0" fontId="81" fillId="0" borderId="17" xfId="0" applyFont="1" applyFill="1" applyBorder="1" applyAlignment="1">
      <alignment horizontal="left"/>
    </xf>
    <xf numFmtId="0" fontId="81" fillId="0" borderId="19" xfId="0" applyFont="1" applyFill="1" applyBorder="1" applyAlignment="1">
      <alignment horizontal="left"/>
    </xf>
    <xf numFmtId="0" fontId="84" fillId="0" borderId="16" xfId="0" applyFont="1" applyFill="1" applyBorder="1" applyAlignment="1" applyProtection="1">
      <alignment horizontal="center" wrapText="1"/>
    </xf>
    <xf numFmtId="0" fontId="84" fillId="0" borderId="18" xfId="0" applyFont="1" applyFill="1" applyBorder="1" applyAlignment="1" applyProtection="1">
      <alignment horizontal="center" wrapText="1"/>
    </xf>
    <xf numFmtId="0" fontId="65" fillId="0" borderId="32" xfId="0" applyFont="1" applyFill="1" applyBorder="1" applyAlignment="1">
      <alignment horizontal="center" wrapText="1"/>
    </xf>
    <xf numFmtId="0" fontId="65" fillId="0" borderId="45" xfId="0" applyFont="1" applyFill="1" applyBorder="1" applyAlignment="1">
      <alignment horizontal="center"/>
    </xf>
    <xf numFmtId="1" fontId="64" fillId="0" borderId="41" xfId="0" applyNumberFormat="1" applyFont="1" applyFill="1" applyBorder="1" applyAlignment="1">
      <alignment horizontal="center" vertical="center"/>
    </xf>
    <xf numFmtId="1" fontId="64" fillId="0" borderId="37" xfId="0" applyNumberFormat="1" applyFont="1" applyFill="1" applyBorder="1" applyAlignment="1">
      <alignment horizontal="center" vertical="center"/>
    </xf>
    <xf numFmtId="0" fontId="64" fillId="0" borderId="14" xfId="0" applyFont="1" applyFill="1" applyBorder="1" applyAlignment="1">
      <alignment horizontal="center" vertical="center"/>
    </xf>
    <xf numFmtId="1" fontId="64" fillId="0" borderId="16" xfId="0" applyNumberFormat="1" applyFont="1" applyFill="1" applyBorder="1" applyAlignment="1">
      <alignment horizontal="center" vertical="center"/>
    </xf>
    <xf numFmtId="1" fontId="64" fillId="0" borderId="17" xfId="0" applyNumberFormat="1" applyFont="1" applyFill="1" applyBorder="1" applyAlignment="1">
      <alignment horizontal="center" vertical="center"/>
    </xf>
    <xf numFmtId="1" fontId="64" fillId="0" borderId="18" xfId="0" applyNumberFormat="1" applyFont="1" applyFill="1" applyBorder="1" applyAlignment="1">
      <alignment horizontal="center" vertical="center"/>
    </xf>
    <xf numFmtId="1" fontId="64" fillId="0" borderId="61" xfId="0" applyNumberFormat="1" applyFont="1" applyFill="1" applyBorder="1" applyAlignment="1">
      <alignment horizontal="center" vertical="center"/>
    </xf>
    <xf numFmtId="1" fontId="64" fillId="0" borderId="60" xfId="0" applyNumberFormat="1" applyFont="1" applyFill="1" applyBorder="1" applyAlignment="1">
      <alignment horizontal="center" vertical="center"/>
    </xf>
    <xf numFmtId="1" fontId="64" fillId="0" borderId="82" xfId="0" applyNumberFormat="1" applyFont="1" applyFill="1" applyBorder="1" applyAlignment="1">
      <alignment horizontal="center" vertical="center"/>
    </xf>
    <xf numFmtId="0" fontId="87" fillId="0" borderId="16" xfId="0" applyFont="1" applyFill="1" applyBorder="1" applyAlignment="1">
      <alignment horizontal="left"/>
    </xf>
    <xf numFmtId="0" fontId="87" fillId="0" borderId="17" xfId="0" applyFont="1" applyFill="1" applyBorder="1" applyAlignment="1">
      <alignment horizontal="left"/>
    </xf>
    <xf numFmtId="0" fontId="87" fillId="0" borderId="19" xfId="0" applyFont="1" applyFill="1" applyBorder="1" applyAlignment="1">
      <alignment horizontal="left"/>
    </xf>
    <xf numFmtId="0" fontId="98" fillId="0" borderId="16" xfId="0" applyFont="1" applyFill="1" applyBorder="1" applyAlignment="1">
      <alignment horizontal="left"/>
    </xf>
    <xf numFmtId="0" fontId="98" fillId="0" borderId="17" xfId="0" applyFont="1" applyFill="1" applyBorder="1" applyAlignment="1">
      <alignment horizontal="left"/>
    </xf>
    <xf numFmtId="0" fontId="98" fillId="0" borderId="19" xfId="0" applyFont="1" applyFill="1" applyBorder="1" applyAlignment="1">
      <alignment horizontal="left"/>
    </xf>
    <xf numFmtId="0" fontId="100" fillId="0" borderId="16" xfId="0" applyFont="1" applyFill="1" applyBorder="1" applyAlignment="1">
      <alignment horizontal="left"/>
    </xf>
    <xf numFmtId="0" fontId="81" fillId="0" borderId="32" xfId="0" applyFont="1" applyFill="1" applyBorder="1" applyAlignment="1">
      <alignment horizontal="left"/>
    </xf>
    <xf numFmtId="0" fontId="81" fillId="0" borderId="29" xfId="0" applyFont="1" applyFill="1" applyBorder="1" applyAlignment="1">
      <alignment horizontal="left"/>
    </xf>
    <xf numFmtId="0" fontId="81" fillId="0" borderId="28" xfId="0" applyFont="1" applyFill="1" applyBorder="1" applyAlignment="1">
      <alignment horizontal="left"/>
    </xf>
    <xf numFmtId="0" fontId="69" fillId="5" borderId="35" xfId="0" applyFont="1" applyFill="1" applyBorder="1" applyAlignment="1">
      <alignment horizontal="center" vertical="center" wrapText="1"/>
    </xf>
    <xf numFmtId="0" fontId="69" fillId="5" borderId="38" xfId="0" applyFont="1" applyFill="1" applyBorder="1" applyAlignment="1">
      <alignment horizontal="center" vertical="center" wrapText="1"/>
    </xf>
    <xf numFmtId="0" fontId="69" fillId="5" borderId="39" xfId="0" applyFont="1" applyFill="1" applyBorder="1" applyAlignment="1">
      <alignment horizontal="center" vertical="center" wrapText="1"/>
    </xf>
    <xf numFmtId="0" fontId="65" fillId="0" borderId="18" xfId="0" applyFont="1" applyFill="1" applyBorder="1" applyAlignment="1">
      <alignment horizontal="center"/>
    </xf>
    <xf numFmtId="1" fontId="64" fillId="0" borderId="32" xfId="0" applyNumberFormat="1" applyFont="1" applyFill="1" applyBorder="1" applyAlignment="1">
      <alignment horizontal="center" vertical="center"/>
    </xf>
    <xf numFmtId="1" fontId="64" fillId="0" borderId="29" xfId="0" applyNumberFormat="1" applyFont="1" applyFill="1" applyBorder="1" applyAlignment="1">
      <alignment horizontal="center" vertical="center"/>
    </xf>
    <xf numFmtId="1" fontId="64" fillId="0" borderId="45" xfId="0" applyNumberFormat="1" applyFont="1" applyFill="1" applyBorder="1" applyAlignment="1">
      <alignment horizontal="center" vertical="center"/>
    </xf>
    <xf numFmtId="0" fontId="102" fillId="0" borderId="14" xfId="0" applyFont="1" applyFill="1" applyBorder="1" applyAlignment="1">
      <alignment horizontal="left"/>
    </xf>
    <xf numFmtId="0" fontId="99" fillId="0" borderId="14" xfId="0" applyFont="1" applyFill="1" applyBorder="1" applyAlignment="1">
      <alignment horizontal="left"/>
    </xf>
    <xf numFmtId="0" fontId="99" fillId="0" borderId="21" xfId="0" applyFont="1" applyFill="1" applyBorder="1" applyAlignment="1">
      <alignment horizontal="left"/>
    </xf>
    <xf numFmtId="0" fontId="65" fillId="0" borderId="14" xfId="0" applyFont="1" applyFill="1" applyBorder="1" applyAlignment="1">
      <alignment horizontal="center" wrapText="1"/>
    </xf>
    <xf numFmtId="0" fontId="65" fillId="0" borderId="14" xfId="0" applyFont="1" applyFill="1" applyBorder="1" applyAlignment="1">
      <alignment horizontal="center"/>
    </xf>
    <xf numFmtId="0" fontId="84" fillId="9" borderId="14" xfId="0" applyFont="1" applyFill="1" applyBorder="1" applyAlignment="1">
      <alignment horizontal="center" wrapText="1"/>
    </xf>
    <xf numFmtId="0" fontId="84" fillId="9" borderId="14" xfId="0" applyFont="1" applyFill="1" applyBorder="1" applyAlignment="1">
      <alignment horizontal="center"/>
    </xf>
    <xf numFmtId="0" fontId="87" fillId="0" borderId="14" xfId="0" applyFont="1" applyFill="1" applyBorder="1" applyAlignment="1">
      <alignment horizontal="left"/>
    </xf>
    <xf numFmtId="0" fontId="87" fillId="0" borderId="21" xfId="0" applyFont="1" applyFill="1" applyBorder="1" applyAlignment="1">
      <alignment horizontal="left"/>
    </xf>
    <xf numFmtId="0" fontId="81" fillId="0" borderId="14" xfId="0" applyFont="1" applyFill="1" applyBorder="1" applyAlignment="1">
      <alignment horizontal="left"/>
    </xf>
    <xf numFmtId="0" fontId="81" fillId="0" borderId="21" xfId="0" applyFont="1" applyFill="1" applyBorder="1" applyAlignment="1">
      <alignment horizontal="left"/>
    </xf>
    <xf numFmtId="0" fontId="87" fillId="9" borderId="14" xfId="0" applyFont="1" applyFill="1" applyBorder="1" applyAlignment="1">
      <alignment horizontal="left"/>
    </xf>
    <xf numFmtId="0" fontId="87" fillId="9" borderId="21" xfId="0" applyFont="1" applyFill="1" applyBorder="1" applyAlignment="1">
      <alignment horizontal="left"/>
    </xf>
    <xf numFmtId="0" fontId="103" fillId="0" borderId="14" xfId="0" applyFont="1" applyFill="1" applyBorder="1" applyAlignment="1">
      <alignment horizontal="left"/>
    </xf>
    <xf numFmtId="0" fontId="104" fillId="0" borderId="14" xfId="0" applyFont="1" applyFill="1" applyBorder="1" applyAlignment="1">
      <alignment horizontal="left"/>
    </xf>
    <xf numFmtId="0" fontId="104" fillId="0" borderId="21" xfId="0" applyFont="1" applyFill="1" applyBorder="1" applyAlignment="1">
      <alignment horizontal="left"/>
    </xf>
    <xf numFmtId="0" fontId="81" fillId="0" borderId="16" xfId="0" applyFont="1" applyFill="1" applyBorder="1" applyAlignment="1">
      <alignment horizontal="center"/>
    </xf>
    <xf numFmtId="0" fontId="81" fillId="0" borderId="17" xfId="0" applyFont="1" applyFill="1" applyBorder="1" applyAlignment="1">
      <alignment horizontal="center"/>
    </xf>
    <xf numFmtId="0" fontId="81" fillId="0" borderId="19" xfId="0" applyFont="1" applyFill="1" applyBorder="1" applyAlignment="1">
      <alignment horizontal="center"/>
    </xf>
    <xf numFmtId="0" fontId="65" fillId="0" borderId="14" xfId="0" applyFont="1" applyFill="1" applyBorder="1" applyAlignment="1" applyProtection="1">
      <alignment horizontal="center" wrapText="1"/>
    </xf>
    <xf numFmtId="0" fontId="65" fillId="0" borderId="14" xfId="0" applyFont="1" applyFill="1" applyBorder="1" applyAlignment="1" applyProtection="1">
      <alignment horizontal="center"/>
    </xf>
    <xf numFmtId="0" fontId="65" fillId="0" borderId="23" xfId="0" applyFont="1" applyFill="1" applyBorder="1" applyAlignment="1" applyProtection="1">
      <alignment horizontal="center" wrapText="1"/>
    </xf>
    <xf numFmtId="0" fontId="65" fillId="0" borderId="23" xfId="0" applyFont="1" applyFill="1" applyBorder="1" applyAlignment="1" applyProtection="1">
      <alignment horizontal="center"/>
    </xf>
    <xf numFmtId="0" fontId="81" fillId="0" borderId="23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1" fontId="64" fillId="0" borderId="19" xfId="0" applyNumberFormat="1" applyFont="1" applyFill="1" applyBorder="1" applyAlignment="1">
      <alignment horizontal="center" vertical="center"/>
    </xf>
    <xf numFmtId="1" fontId="64" fillId="0" borderId="14" xfId="0" applyNumberFormat="1" applyFont="1" applyFill="1" applyBorder="1" applyAlignment="1">
      <alignment horizontal="center" vertical="center"/>
    </xf>
    <xf numFmtId="0" fontId="64" fillId="0" borderId="15" xfId="0" applyFont="1" applyFill="1" applyBorder="1" applyAlignment="1">
      <alignment horizontal="center" vertical="center"/>
    </xf>
    <xf numFmtId="1" fontId="64" fillId="0" borderId="15" xfId="0" applyNumberFormat="1" applyFont="1" applyFill="1" applyBorder="1" applyAlignment="1">
      <alignment horizontal="center" vertical="center"/>
    </xf>
    <xf numFmtId="0" fontId="64" fillId="0" borderId="23" xfId="0" applyFont="1" applyFill="1" applyBorder="1" applyAlignment="1">
      <alignment horizontal="center" vertical="center"/>
    </xf>
    <xf numFmtId="1" fontId="64" fillId="0" borderId="23" xfId="0" applyNumberFormat="1" applyFont="1" applyFill="1" applyBorder="1" applyAlignment="1">
      <alignment horizontal="center" vertical="center"/>
    </xf>
    <xf numFmtId="1" fontId="64" fillId="0" borderId="28" xfId="0" applyNumberFormat="1" applyFont="1" applyFill="1" applyBorder="1" applyAlignment="1">
      <alignment horizontal="center" vertical="center"/>
    </xf>
    <xf numFmtId="0" fontId="64" fillId="0" borderId="16" xfId="0" applyFont="1" applyBorder="1" applyAlignment="1">
      <alignment horizontal="center" wrapText="1"/>
    </xf>
    <xf numFmtId="0" fontId="64" fillId="0" borderId="18" xfId="0" applyFont="1" applyBorder="1" applyAlignment="1">
      <alignment horizontal="center"/>
    </xf>
    <xf numFmtId="0" fontId="98" fillId="0" borderId="16" xfId="0" applyFont="1" applyBorder="1" applyAlignment="1">
      <alignment horizontal="left"/>
    </xf>
    <xf numFmtId="0" fontId="98" fillId="0" borderId="17" xfId="0" applyFont="1" applyBorder="1" applyAlignment="1">
      <alignment horizontal="left"/>
    </xf>
    <xf numFmtId="0" fontId="98" fillId="0" borderId="19" xfId="0" applyFont="1" applyBorder="1" applyAlignment="1">
      <alignment horizontal="left"/>
    </xf>
    <xf numFmtId="0" fontId="84" fillId="9" borderId="18" xfId="0" applyFont="1" applyFill="1" applyBorder="1" applyAlignment="1">
      <alignment horizontal="center"/>
    </xf>
    <xf numFmtId="0" fontId="65" fillId="0" borderId="18" xfId="0" applyFont="1" applyBorder="1" applyAlignment="1">
      <alignment horizontal="center"/>
    </xf>
    <xf numFmtId="0" fontId="81" fillId="0" borderId="16" xfId="0" applyFont="1" applyBorder="1" applyAlignment="1">
      <alignment horizontal="left"/>
    </xf>
    <xf numFmtId="0" fontId="81" fillId="0" borderId="17" xfId="0" applyFont="1" applyBorder="1" applyAlignment="1">
      <alignment horizontal="left"/>
    </xf>
    <xf numFmtId="0" fontId="81" fillId="0" borderId="19" xfId="0" applyFont="1" applyBorder="1" applyAlignment="1">
      <alignment horizontal="left"/>
    </xf>
    <xf numFmtId="0" fontId="65" fillId="5" borderId="16" xfId="0" applyFont="1" applyFill="1" applyBorder="1" applyAlignment="1">
      <alignment horizontal="center" wrapText="1"/>
    </xf>
    <xf numFmtId="0" fontId="65" fillId="5" borderId="18" xfId="0" applyFont="1" applyFill="1" applyBorder="1" applyAlignment="1">
      <alignment horizontal="center"/>
    </xf>
    <xf numFmtId="0" fontId="81" fillId="5" borderId="16" xfId="0" applyFont="1" applyFill="1" applyBorder="1" applyAlignment="1">
      <alignment horizontal="left"/>
    </xf>
    <xf numFmtId="0" fontId="81" fillId="5" borderId="17" xfId="0" applyFont="1" applyFill="1" applyBorder="1" applyAlignment="1">
      <alignment horizontal="left"/>
    </xf>
    <xf numFmtId="0" fontId="81" fillId="5" borderId="19" xfId="0" applyFont="1" applyFill="1" applyBorder="1" applyAlignment="1">
      <alignment horizontal="left"/>
    </xf>
    <xf numFmtId="0" fontId="87" fillId="9" borderId="16" xfId="0" applyFont="1" applyFill="1" applyBorder="1" applyAlignment="1">
      <alignment horizontal="left"/>
    </xf>
    <xf numFmtId="0" fontId="87" fillId="9" borderId="17" xfId="0" applyFont="1" applyFill="1" applyBorder="1" applyAlignment="1">
      <alignment horizontal="left"/>
    </xf>
    <xf numFmtId="0" fontId="87" fillId="9" borderId="19" xfId="0" applyFont="1" applyFill="1" applyBorder="1" applyAlignment="1">
      <alignment horizontal="left"/>
    </xf>
    <xf numFmtId="0" fontId="65" fillId="0" borderId="45" xfId="0" applyFont="1" applyBorder="1" applyAlignment="1">
      <alignment horizontal="center"/>
    </xf>
    <xf numFmtId="0" fontId="81" fillId="0" borderId="32" xfId="0" applyFont="1" applyBorder="1" applyAlignment="1">
      <alignment horizontal="left"/>
    </xf>
    <xf numFmtId="0" fontId="81" fillId="0" borderId="29" xfId="0" applyFont="1" applyBorder="1" applyAlignment="1">
      <alignment horizontal="left"/>
    </xf>
    <xf numFmtId="0" fontId="81" fillId="0" borderId="28" xfId="0" applyFont="1" applyBorder="1" applyAlignment="1">
      <alignment horizontal="left"/>
    </xf>
    <xf numFmtId="0" fontId="69" fillId="0" borderId="38" xfId="0" applyFont="1" applyFill="1" applyBorder="1" applyAlignment="1">
      <alignment horizontal="center" vertical="center" wrapText="1"/>
    </xf>
    <xf numFmtId="0" fontId="69" fillId="0" borderId="39" xfId="0" applyFont="1" applyFill="1" applyBorder="1" applyAlignment="1">
      <alignment horizontal="center" vertical="center" wrapText="1"/>
    </xf>
    <xf numFmtId="0" fontId="93" fillId="0" borderId="64" xfId="0" applyFont="1" applyFill="1" applyBorder="1" applyAlignment="1" applyProtection="1">
      <alignment horizontal="center"/>
    </xf>
    <xf numFmtId="0" fontId="93" fillId="0" borderId="42" xfId="0" applyFont="1" applyFill="1" applyBorder="1" applyAlignment="1" applyProtection="1">
      <alignment horizontal="center"/>
    </xf>
    <xf numFmtId="0" fontId="41" fillId="0" borderId="7" xfId="0" applyFont="1" applyBorder="1" applyAlignment="1">
      <alignment horizontal="center" vertical="center"/>
    </xf>
    <xf numFmtId="0" fontId="41" fillId="0" borderId="8" xfId="0" applyFont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 wrapText="1"/>
    </xf>
    <xf numFmtId="0" fontId="65" fillId="0" borderId="41" xfId="0" applyFont="1" applyFill="1" applyBorder="1" applyAlignment="1" applyProtection="1">
      <alignment horizontal="center" wrapText="1"/>
    </xf>
    <xf numFmtId="0" fontId="65" fillId="0" borderId="42" xfId="0" applyFont="1" applyFill="1" applyBorder="1" applyAlignment="1" applyProtection="1">
      <alignment horizontal="center"/>
    </xf>
    <xf numFmtId="0" fontId="84" fillId="9" borderId="42" xfId="0" applyFont="1" applyFill="1" applyBorder="1" applyAlignment="1" applyProtection="1">
      <alignment horizontal="center"/>
    </xf>
    <xf numFmtId="0" fontId="65" fillId="0" borderId="41" xfId="0" applyFont="1" applyBorder="1" applyAlignment="1" applyProtection="1">
      <alignment horizontal="center" wrapText="1"/>
    </xf>
    <xf numFmtId="0" fontId="65" fillId="0" borderId="42" xfId="0" applyFont="1" applyBorder="1" applyAlignment="1" applyProtection="1">
      <alignment horizontal="center"/>
    </xf>
    <xf numFmtId="0" fontId="67" fillId="0" borderId="7" xfId="0" applyFont="1" applyBorder="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0" fontId="64" fillId="0" borderId="81" xfId="0" applyFont="1" applyFill="1" applyBorder="1" applyAlignment="1">
      <alignment horizontal="center" vertical="center"/>
    </xf>
    <xf numFmtId="0" fontId="33" fillId="5" borderId="7" xfId="0" applyFont="1" applyFill="1" applyBorder="1" applyAlignment="1">
      <alignment horizontal="center" vertical="center" wrapText="1"/>
    </xf>
    <xf numFmtId="0" fontId="33" fillId="5" borderId="8" xfId="0" applyFont="1" applyFill="1" applyBorder="1" applyAlignment="1">
      <alignment horizontal="center" vertical="center" wrapText="1"/>
    </xf>
    <xf numFmtId="0" fontId="33" fillId="0" borderId="13" xfId="0" applyFont="1" applyFill="1" applyBorder="1" applyAlignment="1">
      <alignment horizontal="center" vertical="center" wrapText="1"/>
    </xf>
    <xf numFmtId="0" fontId="48" fillId="5" borderId="50" xfId="0" applyFont="1" applyFill="1" applyBorder="1" applyAlignment="1">
      <alignment horizontal="left" vertical="center"/>
    </xf>
    <xf numFmtId="0" fontId="28" fillId="5" borderId="0" xfId="1" applyFont="1" applyFill="1" applyBorder="1" applyAlignment="1">
      <alignment horizontal="center" vertical="center" readingOrder="1"/>
    </xf>
    <xf numFmtId="0" fontId="30" fillId="5" borderId="7" xfId="0" applyFont="1" applyFill="1" applyBorder="1" applyAlignment="1">
      <alignment horizontal="center" vertical="center"/>
    </xf>
    <xf numFmtId="0" fontId="30" fillId="5" borderId="8" xfId="0" applyFont="1" applyFill="1" applyBorder="1" applyAlignment="1">
      <alignment horizontal="center" vertical="center"/>
    </xf>
    <xf numFmtId="0" fontId="30" fillId="5" borderId="11" xfId="0" applyFont="1" applyFill="1" applyBorder="1" applyAlignment="1">
      <alignment horizontal="center" vertical="center"/>
    </xf>
    <xf numFmtId="0" fontId="34" fillId="5" borderId="4" xfId="0" applyFont="1" applyFill="1" applyBorder="1" applyAlignment="1" applyProtection="1">
      <alignment horizontal="center" wrapText="1"/>
      <protection hidden="1"/>
    </xf>
    <xf numFmtId="0" fontId="34" fillId="5" borderId="9" xfId="0" applyFont="1" applyFill="1" applyBorder="1" applyAlignment="1" applyProtection="1">
      <alignment horizontal="center" wrapText="1"/>
      <protection hidden="1"/>
    </xf>
    <xf numFmtId="0" fontId="29" fillId="5" borderId="7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 wrapText="1"/>
    </xf>
    <xf numFmtId="0" fontId="11" fillId="7" borderId="13" xfId="0" applyFont="1" applyFill="1" applyBorder="1" applyAlignment="1">
      <alignment horizontal="center" vertical="center" wrapText="1"/>
    </xf>
    <xf numFmtId="0" fontId="32" fillId="7" borderId="13" xfId="0" applyFont="1" applyFill="1" applyBorder="1" applyAlignment="1">
      <alignment horizontal="center" vertical="center" wrapText="1"/>
    </xf>
    <xf numFmtId="0" fontId="32" fillId="5" borderId="13" xfId="0" applyFont="1" applyFill="1" applyBorder="1" applyAlignment="1">
      <alignment horizontal="center" vertical="center" wrapText="1"/>
    </xf>
    <xf numFmtId="0" fontId="48" fillId="5" borderId="76" xfId="0" applyFont="1" applyFill="1" applyBorder="1" applyAlignment="1">
      <alignment horizontal="left" vertical="center"/>
    </xf>
    <xf numFmtId="0" fontId="48" fillId="5" borderId="58" xfId="0" applyFont="1" applyFill="1" applyBorder="1" applyAlignment="1">
      <alignment horizontal="left" vertical="center"/>
    </xf>
    <xf numFmtId="0" fontId="51" fillId="5" borderId="51" xfId="0" applyFont="1" applyFill="1" applyBorder="1" applyAlignment="1">
      <alignment horizontal="left" vertical="center"/>
    </xf>
    <xf numFmtId="0" fontId="48" fillId="5" borderId="51" xfId="0" applyFont="1" applyFill="1" applyBorder="1" applyAlignment="1">
      <alignment horizontal="left" vertical="center"/>
    </xf>
  </cellXfs>
  <cellStyles count="11">
    <cellStyle name="Normal" xfId="0" builtinId="0"/>
    <cellStyle name="Normal 2" xfId="1"/>
    <cellStyle name="Normal 3" xfId="3"/>
    <cellStyle name="Normal 4" xfId="9"/>
    <cellStyle name="Normal 4 2" xfId="10"/>
    <cellStyle name="Normal_ConvHeureMinutes" xfId="2"/>
    <cellStyle name="Normal_RP3" xfId="5"/>
    <cellStyle name="Normal_RP5" xfId="6"/>
    <cellStyle name="Normal_RPSC2" xfId="4"/>
    <cellStyle name="Normal_RPTS" xfId="7"/>
    <cellStyle name="Percent" xfId="8" builtinId="5"/>
  </cellStyles>
  <dxfs count="945">
    <dxf>
      <font>
        <color rgb="FF9C0006"/>
      </font>
      <fill>
        <patternFill>
          <bgColor rgb="FFFFC7CE"/>
        </patternFill>
      </fill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auto="1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auto="1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RPT2 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Arr&#234;t RPT1'!A1"/><Relationship Id="rId1" Type="http://schemas.openxmlformats.org/officeDocument/2006/relationships/hyperlink" Target="#'RPT1'!A1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image" Target="../media/image1.png"/><Relationship Id="rId10" Type="http://schemas.openxmlformats.org/officeDocument/2006/relationships/hyperlink" Target="#'Arr&#234;t RP5'!A1"/><Relationship Id="rId4" Type="http://schemas.openxmlformats.org/officeDocument/2006/relationships/hyperlink" Target="#'Arr&#234;t RPT2'!A1"/><Relationship Id="rId9" Type="http://schemas.openxmlformats.org/officeDocument/2006/relationships/hyperlink" Target="#'Arr&#234;t RP3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105</xdr:row>
      <xdr:rowOff>98540</xdr:rowOff>
    </xdr:from>
    <xdr:to>
      <xdr:col>18</xdr:col>
      <xdr:colOff>238760</xdr:colOff>
      <xdr:row>108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114</xdr:row>
      <xdr:rowOff>47163</xdr:rowOff>
    </xdr:from>
    <xdr:to>
      <xdr:col>18</xdr:col>
      <xdr:colOff>216535</xdr:colOff>
      <xdr:row>116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2091531</xdr:colOff>
      <xdr:row>1</xdr:row>
      <xdr:rowOff>263666</xdr:rowOff>
    </xdr:from>
    <xdr:to>
      <xdr:col>5</xdr:col>
      <xdr:colOff>888050</xdr:colOff>
      <xdr:row>4</xdr:row>
      <xdr:rowOff>202574</xdr:rowOff>
    </xdr:to>
    <xdr:sp macro="" textlink="">
      <xdr:nvSpPr>
        <xdr:cNvPr id="5" name="Rectangle à coins arrondi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854031" y="499886"/>
          <a:ext cx="2515079" cy="1241928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1089615</xdr:colOff>
      <xdr:row>1</xdr:row>
      <xdr:rowOff>189462</xdr:rowOff>
    </xdr:from>
    <xdr:to>
      <xdr:col>7</xdr:col>
      <xdr:colOff>68814</xdr:colOff>
      <xdr:row>2</xdr:row>
      <xdr:rowOff>388747</xdr:rowOff>
    </xdr:to>
    <xdr:sp macro="" textlink="">
      <xdr:nvSpPr>
        <xdr:cNvPr id="6" name="Rectangle à coins arrondi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566865" y="418062"/>
          <a:ext cx="2217699" cy="637435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1115479</xdr:colOff>
      <xdr:row>3</xdr:row>
      <xdr:rowOff>33319</xdr:rowOff>
    </xdr:from>
    <xdr:to>
      <xdr:col>7</xdr:col>
      <xdr:colOff>50088</xdr:colOff>
      <xdr:row>4</xdr:row>
      <xdr:rowOff>232604</xdr:rowOff>
    </xdr:to>
    <xdr:sp macro="" textlink="">
      <xdr:nvSpPr>
        <xdr:cNvPr id="7" name="Rectangle à coins arrondi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595450" y="1143662"/>
          <a:ext cx="2156781" cy="634713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158393</xdr:colOff>
      <xdr:row>1</xdr:row>
      <xdr:rowOff>203072</xdr:rowOff>
    </xdr:from>
    <xdr:to>
      <xdr:col>9</xdr:col>
      <xdr:colOff>1028892</xdr:colOff>
      <xdr:row>2</xdr:row>
      <xdr:rowOff>402357</xdr:rowOff>
    </xdr:to>
    <xdr:sp macro="" textlink="">
      <xdr:nvSpPr>
        <xdr:cNvPr id="8" name="Rectangle à coins arrondi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874143" y="431672"/>
          <a:ext cx="2223049" cy="63743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656831" y="311239"/>
          <a:ext cx="18613860" cy="1603288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158393</xdr:colOff>
      <xdr:row>3</xdr:row>
      <xdr:rowOff>26178</xdr:rowOff>
    </xdr:from>
    <xdr:to>
      <xdr:col>9</xdr:col>
      <xdr:colOff>1028892</xdr:colOff>
      <xdr:row>4</xdr:row>
      <xdr:rowOff>225463</xdr:rowOff>
    </xdr:to>
    <xdr:sp macro="" textlink="">
      <xdr:nvSpPr>
        <xdr:cNvPr id="10" name="Rectangle à coins arrondi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74143" y="1131078"/>
          <a:ext cx="2223049" cy="63743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9</xdr:col>
      <xdr:colOff>1115786</xdr:colOff>
      <xdr:row>1</xdr:row>
      <xdr:rowOff>199921</xdr:rowOff>
    </xdr:from>
    <xdr:to>
      <xdr:col>10</xdr:col>
      <xdr:colOff>1137767</xdr:colOff>
      <xdr:row>2</xdr:row>
      <xdr:rowOff>399937</xdr:rowOff>
    </xdr:to>
    <xdr:sp macro="" textlink="">
      <xdr:nvSpPr>
        <xdr:cNvPr id="14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4168846" y="436141"/>
          <a:ext cx="2018421" cy="634356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10</xdr:col>
      <xdr:colOff>1296121</xdr:colOff>
      <xdr:row>1</xdr:row>
      <xdr:rowOff>199923</xdr:rowOff>
    </xdr:from>
    <xdr:to>
      <xdr:col>12</xdr:col>
      <xdr:colOff>353043</xdr:colOff>
      <xdr:row>2</xdr:row>
      <xdr:rowOff>399939</xdr:rowOff>
    </xdr:to>
    <xdr:sp macro="" textlink="">
      <xdr:nvSpPr>
        <xdr:cNvPr id="15" name="Rectangle à coins arrondi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6342157" y="435450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487379</xdr:colOff>
      <xdr:row>1</xdr:row>
      <xdr:rowOff>199921</xdr:rowOff>
    </xdr:from>
    <xdr:to>
      <xdr:col>14</xdr:col>
      <xdr:colOff>69511</xdr:colOff>
      <xdr:row>2</xdr:row>
      <xdr:rowOff>399937</xdr:rowOff>
    </xdr:to>
    <xdr:sp macro="" textlink="">
      <xdr:nvSpPr>
        <xdr:cNvPr id="16" name="Rectangle à coins arrondi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8470579" y="435448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1099041</xdr:colOff>
      <xdr:row>3</xdr:row>
      <xdr:rowOff>38728</xdr:rowOff>
    </xdr:from>
    <xdr:to>
      <xdr:col>10</xdr:col>
      <xdr:colOff>1156607</xdr:colOff>
      <xdr:row>4</xdr:row>
      <xdr:rowOff>238744</xdr:rowOff>
    </xdr:to>
    <xdr:sp macro="" textlink="">
      <xdr:nvSpPr>
        <xdr:cNvPr id="17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4152101" y="1143628"/>
          <a:ext cx="2054006" cy="634356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10</xdr:col>
      <xdr:colOff>1295075</xdr:colOff>
      <xdr:row>3</xdr:row>
      <xdr:rowOff>31401</xdr:rowOff>
    </xdr:from>
    <xdr:to>
      <xdr:col>12</xdr:col>
      <xdr:colOff>366649</xdr:colOff>
      <xdr:row>4</xdr:row>
      <xdr:rowOff>231417</xdr:rowOff>
    </xdr:to>
    <xdr:sp macro="" textlink="">
      <xdr:nvSpPr>
        <xdr:cNvPr id="18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341111" y="1125910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486333</xdr:colOff>
      <xdr:row>3</xdr:row>
      <xdr:rowOff>51288</xdr:rowOff>
    </xdr:from>
    <xdr:to>
      <xdr:col>14</xdr:col>
      <xdr:colOff>69268</xdr:colOff>
      <xdr:row>4</xdr:row>
      <xdr:rowOff>251304</xdr:rowOff>
    </xdr:to>
    <xdr:sp macro="" textlink="">
      <xdr:nvSpPr>
        <xdr:cNvPr id="19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469533" y="1145797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217913</xdr:colOff>
      <xdr:row>1</xdr:row>
      <xdr:rowOff>200614</xdr:rowOff>
    </xdr:from>
    <xdr:to>
      <xdr:col>16</xdr:col>
      <xdr:colOff>83123</xdr:colOff>
      <xdr:row>2</xdr:row>
      <xdr:rowOff>400630</xdr:rowOff>
    </xdr:to>
    <xdr:sp macro="" textlink="">
      <xdr:nvSpPr>
        <xdr:cNvPr id="22" name="Rectangle à coins arrondis 2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0999731" y="436141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230721</xdr:colOff>
      <xdr:row>3</xdr:row>
      <xdr:rowOff>33970</xdr:rowOff>
    </xdr:from>
    <xdr:to>
      <xdr:col>16</xdr:col>
      <xdr:colOff>96806</xdr:colOff>
      <xdr:row>4</xdr:row>
      <xdr:rowOff>233986</xdr:rowOff>
    </xdr:to>
    <xdr:sp macro="" textlink="">
      <xdr:nvSpPr>
        <xdr:cNvPr id="23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1012539" y="1128479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110</xdr:row>
      <xdr:rowOff>98540</xdr:rowOff>
    </xdr:from>
    <xdr:to>
      <xdr:col>18</xdr:col>
      <xdr:colOff>238760</xdr:colOff>
      <xdr:row>113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119</xdr:row>
      <xdr:rowOff>47163</xdr:rowOff>
    </xdr:from>
    <xdr:to>
      <xdr:col>18</xdr:col>
      <xdr:colOff>216535</xdr:colOff>
      <xdr:row>121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116534</xdr:rowOff>
    </xdr:from>
    <xdr:to>
      <xdr:col>17</xdr:col>
      <xdr:colOff>526473</xdr:colOff>
      <xdr:row>4</xdr:row>
      <xdr:rowOff>431349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340403" y="361463"/>
          <a:ext cx="19100749" cy="1621100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1</xdr:row>
      <xdr:rowOff>264704</xdr:rowOff>
    </xdr:from>
    <xdr:to>
      <xdr:col>5</xdr:col>
      <xdr:colOff>1023637</xdr:colOff>
      <xdr:row>4</xdr:row>
      <xdr:rowOff>177635</xdr:rowOff>
    </xdr:to>
    <xdr:sp macro="" textlink="">
      <xdr:nvSpPr>
        <xdr:cNvPr id="37" name="Rectangle à coins arrondis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6991350" y="49330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1225202</xdr:colOff>
      <xdr:row>1</xdr:row>
      <xdr:rowOff>190500</xdr:rowOff>
    </xdr:from>
    <xdr:to>
      <xdr:col>7</xdr:col>
      <xdr:colOff>207864</xdr:colOff>
      <xdr:row>2</xdr:row>
      <xdr:rowOff>381126</xdr:rowOff>
    </xdr:to>
    <xdr:sp macro="" textlink="">
      <xdr:nvSpPr>
        <xdr:cNvPr id="38" name="Rectangle à coins arrondis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702452" y="41910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1251066</xdr:colOff>
      <xdr:row>3</xdr:row>
      <xdr:rowOff>17039</xdr:rowOff>
    </xdr:from>
    <xdr:to>
      <xdr:col>7</xdr:col>
      <xdr:colOff>189138</xdr:colOff>
      <xdr:row>4</xdr:row>
      <xdr:rowOff>207665</xdr:rowOff>
    </xdr:to>
    <xdr:sp macro="" textlink="">
      <xdr:nvSpPr>
        <xdr:cNvPr id="39" name="Rectangle à coins arrondis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9728316" y="112193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297443</xdr:colOff>
      <xdr:row>1</xdr:row>
      <xdr:rowOff>204110</xdr:rowOff>
    </xdr:from>
    <xdr:to>
      <xdr:col>9</xdr:col>
      <xdr:colOff>1145429</xdr:colOff>
      <xdr:row>2</xdr:row>
      <xdr:rowOff>394736</xdr:rowOff>
    </xdr:to>
    <xdr:sp macro="" textlink="">
      <xdr:nvSpPr>
        <xdr:cNvPr id="40" name="Rectangle à coins arrondis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2013193" y="432710"/>
          <a:ext cx="2200536" cy="628776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7</xdr:col>
      <xdr:colOff>297443</xdr:colOff>
      <xdr:row>3</xdr:row>
      <xdr:rowOff>9898</xdr:rowOff>
    </xdr:from>
    <xdr:to>
      <xdr:col>9</xdr:col>
      <xdr:colOff>1145429</xdr:colOff>
      <xdr:row>4</xdr:row>
      <xdr:rowOff>200524</xdr:rowOff>
    </xdr:to>
    <xdr:sp macro="" textlink="">
      <xdr:nvSpPr>
        <xdr:cNvPr id="41" name="Rectangle à coins arrondis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2013193" y="111479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1232323</xdr:colOff>
      <xdr:row>1</xdr:row>
      <xdr:rowOff>200959</xdr:rowOff>
    </xdr:from>
    <xdr:to>
      <xdr:col>10</xdr:col>
      <xdr:colOff>1249108</xdr:colOff>
      <xdr:row>2</xdr:row>
      <xdr:rowOff>392316</xdr:rowOff>
    </xdr:to>
    <xdr:sp macro="" textlink="">
      <xdr:nvSpPr>
        <xdr:cNvPr id="42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4300623" y="42955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11</xdr:col>
      <xdr:colOff>16812</xdr:colOff>
      <xdr:row>1</xdr:row>
      <xdr:rowOff>200961</xdr:rowOff>
    </xdr:from>
    <xdr:to>
      <xdr:col>12</xdr:col>
      <xdr:colOff>448798</xdr:colOff>
      <xdr:row>2</xdr:row>
      <xdr:rowOff>392318</xdr:rowOff>
    </xdr:to>
    <xdr:sp macro="" textlink="">
      <xdr:nvSpPr>
        <xdr:cNvPr id="43" name="Rectangle à coins arrondis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476012" y="429561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583134</xdr:colOff>
      <xdr:row>1</xdr:row>
      <xdr:rowOff>200959</xdr:rowOff>
    </xdr:from>
    <xdr:to>
      <xdr:col>14</xdr:col>
      <xdr:colOff>144484</xdr:colOff>
      <xdr:row>2</xdr:row>
      <xdr:rowOff>392316</xdr:rowOff>
    </xdr:to>
    <xdr:sp macro="" textlink="">
      <xdr:nvSpPr>
        <xdr:cNvPr id="44" name="Rectangle à coins arrondis 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8604434" y="429559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1215578</xdr:colOff>
      <xdr:row>3</xdr:row>
      <xdr:rowOff>22448</xdr:rowOff>
    </xdr:from>
    <xdr:to>
      <xdr:col>10</xdr:col>
      <xdr:colOff>1267948</xdr:colOff>
      <xdr:row>4</xdr:row>
      <xdr:rowOff>213805</xdr:rowOff>
    </xdr:to>
    <xdr:sp macro="" textlink="">
      <xdr:nvSpPr>
        <xdr:cNvPr id="45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4283878" y="112734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11</xdr:col>
      <xdr:colOff>15766</xdr:colOff>
      <xdr:row>3</xdr:row>
      <xdr:rowOff>15121</xdr:rowOff>
    </xdr:from>
    <xdr:to>
      <xdr:col>12</xdr:col>
      <xdr:colOff>462404</xdr:colOff>
      <xdr:row>4</xdr:row>
      <xdr:rowOff>206478</xdr:rowOff>
    </xdr:to>
    <xdr:sp macro="" textlink="">
      <xdr:nvSpPr>
        <xdr:cNvPr id="46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6474966" y="112002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582088</xdr:colOff>
      <xdr:row>3</xdr:row>
      <xdr:rowOff>35008</xdr:rowOff>
    </xdr:from>
    <xdr:to>
      <xdr:col>14</xdr:col>
      <xdr:colOff>144241</xdr:colOff>
      <xdr:row>4</xdr:row>
      <xdr:rowOff>226365</xdr:rowOff>
    </xdr:to>
    <xdr:sp macro="" textlink="">
      <xdr:nvSpPr>
        <xdr:cNvPr id="47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18603388" y="113990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292886</xdr:colOff>
      <xdr:row>1</xdr:row>
      <xdr:rowOff>201652</xdr:rowOff>
    </xdr:from>
    <xdr:to>
      <xdr:col>16</xdr:col>
      <xdr:colOff>144242</xdr:colOff>
      <xdr:row>2</xdr:row>
      <xdr:rowOff>393009</xdr:rowOff>
    </xdr:to>
    <xdr:sp macro="" textlink="">
      <xdr:nvSpPr>
        <xdr:cNvPr id="48" name="Rectangle à coins arrondis 4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21133586" y="430252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305694</xdr:colOff>
      <xdr:row>3</xdr:row>
      <xdr:rowOff>17690</xdr:rowOff>
    </xdr:from>
    <xdr:to>
      <xdr:col>16</xdr:col>
      <xdr:colOff>157925</xdr:colOff>
      <xdr:row>4</xdr:row>
      <xdr:rowOff>209047</xdr:rowOff>
    </xdr:to>
    <xdr:sp macro="" textlink="">
      <xdr:nvSpPr>
        <xdr:cNvPr id="49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21146394" y="112259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97</xdr:row>
      <xdr:rowOff>98540</xdr:rowOff>
    </xdr:from>
    <xdr:to>
      <xdr:col>18</xdr:col>
      <xdr:colOff>238760</xdr:colOff>
      <xdr:row>100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106</xdr:row>
      <xdr:rowOff>47163</xdr:rowOff>
    </xdr:from>
    <xdr:to>
      <xdr:col>18</xdr:col>
      <xdr:colOff>216535</xdr:colOff>
      <xdr:row>108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653367" y="311932"/>
          <a:ext cx="18638106" cy="1617835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457200</xdr:colOff>
      <xdr:row>1</xdr:row>
      <xdr:rowOff>302804</xdr:rowOff>
    </xdr:from>
    <xdr:to>
      <xdr:col>5</xdr:col>
      <xdr:colOff>1366537</xdr:colOff>
      <xdr:row>4</xdr:row>
      <xdr:rowOff>215735</xdr:rowOff>
    </xdr:to>
    <xdr:sp macro="" textlink="">
      <xdr:nvSpPr>
        <xdr:cNvPr id="37" name="Rectangle à coins arrondis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7334250" y="53140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6</xdr:col>
      <xdr:colOff>101252</xdr:colOff>
      <xdr:row>1</xdr:row>
      <xdr:rowOff>228600</xdr:rowOff>
    </xdr:from>
    <xdr:to>
      <xdr:col>7</xdr:col>
      <xdr:colOff>550764</xdr:colOff>
      <xdr:row>2</xdr:row>
      <xdr:rowOff>419226</xdr:rowOff>
    </xdr:to>
    <xdr:sp macro="" textlink="">
      <xdr:nvSpPr>
        <xdr:cNvPr id="38" name="Rectangle à coins arrondis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10045352" y="45720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6</xdr:col>
      <xdr:colOff>127116</xdr:colOff>
      <xdr:row>3</xdr:row>
      <xdr:rowOff>55139</xdr:rowOff>
    </xdr:from>
    <xdr:to>
      <xdr:col>7</xdr:col>
      <xdr:colOff>532038</xdr:colOff>
      <xdr:row>4</xdr:row>
      <xdr:rowOff>245765</xdr:rowOff>
    </xdr:to>
    <xdr:sp macro="" textlink="">
      <xdr:nvSpPr>
        <xdr:cNvPr id="39" name="Rectangle à coins arrondis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0071216" y="116003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8</xdr:col>
      <xdr:colOff>49793</xdr:colOff>
      <xdr:row>1</xdr:row>
      <xdr:rowOff>242210</xdr:rowOff>
    </xdr:from>
    <xdr:to>
      <xdr:col>9</xdr:col>
      <xdr:colOff>1488329</xdr:colOff>
      <xdr:row>2</xdr:row>
      <xdr:rowOff>432836</xdr:rowOff>
    </xdr:to>
    <xdr:sp macro="" textlink="">
      <xdr:nvSpPr>
        <xdr:cNvPr id="40" name="Rectangle à coins arrondis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2356093" y="470810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8</xdr:col>
      <xdr:colOff>49793</xdr:colOff>
      <xdr:row>3</xdr:row>
      <xdr:rowOff>47998</xdr:rowOff>
    </xdr:from>
    <xdr:to>
      <xdr:col>9</xdr:col>
      <xdr:colOff>1488329</xdr:colOff>
      <xdr:row>4</xdr:row>
      <xdr:rowOff>238624</xdr:rowOff>
    </xdr:to>
    <xdr:sp macro="" textlink="">
      <xdr:nvSpPr>
        <xdr:cNvPr id="41" name="Rectangle à coins arrondis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2356093" y="115289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1575223</xdr:colOff>
      <xdr:row>1</xdr:row>
      <xdr:rowOff>239059</xdr:rowOff>
    </xdr:from>
    <xdr:to>
      <xdr:col>11</xdr:col>
      <xdr:colOff>201358</xdr:colOff>
      <xdr:row>2</xdr:row>
      <xdr:rowOff>430416</xdr:rowOff>
    </xdr:to>
    <xdr:sp macro="" textlink="">
      <xdr:nvSpPr>
        <xdr:cNvPr id="42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14643523" y="46765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11</xdr:col>
      <xdr:colOff>359712</xdr:colOff>
      <xdr:row>1</xdr:row>
      <xdr:rowOff>239061</xdr:rowOff>
    </xdr:from>
    <xdr:to>
      <xdr:col>12</xdr:col>
      <xdr:colOff>791698</xdr:colOff>
      <xdr:row>2</xdr:row>
      <xdr:rowOff>430418</xdr:rowOff>
    </xdr:to>
    <xdr:sp macro="" textlink="">
      <xdr:nvSpPr>
        <xdr:cNvPr id="43" name="Rectangle à coins arrondis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6818912" y="467661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926034</xdr:colOff>
      <xdr:row>1</xdr:row>
      <xdr:rowOff>239059</xdr:rowOff>
    </xdr:from>
    <xdr:to>
      <xdr:col>14</xdr:col>
      <xdr:colOff>487384</xdr:colOff>
      <xdr:row>2</xdr:row>
      <xdr:rowOff>430416</xdr:rowOff>
    </xdr:to>
    <xdr:sp macro="" textlink="">
      <xdr:nvSpPr>
        <xdr:cNvPr id="44" name="Rectangle à coins arrondis 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8947334" y="467659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1558478</xdr:colOff>
      <xdr:row>3</xdr:row>
      <xdr:rowOff>60548</xdr:rowOff>
    </xdr:from>
    <xdr:to>
      <xdr:col>11</xdr:col>
      <xdr:colOff>220198</xdr:colOff>
      <xdr:row>4</xdr:row>
      <xdr:rowOff>251905</xdr:rowOff>
    </xdr:to>
    <xdr:sp macro="" textlink="">
      <xdr:nvSpPr>
        <xdr:cNvPr id="45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4626778" y="116544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11</xdr:col>
      <xdr:colOff>358666</xdr:colOff>
      <xdr:row>3</xdr:row>
      <xdr:rowOff>53221</xdr:rowOff>
    </xdr:from>
    <xdr:to>
      <xdr:col>12</xdr:col>
      <xdr:colOff>805304</xdr:colOff>
      <xdr:row>4</xdr:row>
      <xdr:rowOff>244578</xdr:rowOff>
    </xdr:to>
    <xdr:sp macro="" textlink="">
      <xdr:nvSpPr>
        <xdr:cNvPr id="46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16817866" y="115812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924988</xdr:colOff>
      <xdr:row>3</xdr:row>
      <xdr:rowOff>73108</xdr:rowOff>
    </xdr:from>
    <xdr:to>
      <xdr:col>14</xdr:col>
      <xdr:colOff>487141</xdr:colOff>
      <xdr:row>4</xdr:row>
      <xdr:rowOff>264465</xdr:rowOff>
    </xdr:to>
    <xdr:sp macro="" textlink="">
      <xdr:nvSpPr>
        <xdr:cNvPr id="47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8946288" y="117800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635786</xdr:colOff>
      <xdr:row>1</xdr:row>
      <xdr:rowOff>239752</xdr:rowOff>
    </xdr:from>
    <xdr:to>
      <xdr:col>16</xdr:col>
      <xdr:colOff>487142</xdr:colOff>
      <xdr:row>2</xdr:row>
      <xdr:rowOff>431109</xdr:rowOff>
    </xdr:to>
    <xdr:sp macro="" textlink="">
      <xdr:nvSpPr>
        <xdr:cNvPr id="48" name="Rectangle à coins arrondis 4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1476486" y="468352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648594</xdr:colOff>
      <xdr:row>3</xdr:row>
      <xdr:rowOff>55790</xdr:rowOff>
    </xdr:from>
    <xdr:to>
      <xdr:col>16</xdr:col>
      <xdr:colOff>500825</xdr:colOff>
      <xdr:row>4</xdr:row>
      <xdr:rowOff>247147</xdr:rowOff>
    </xdr:to>
    <xdr:sp macro="" textlink="">
      <xdr:nvSpPr>
        <xdr:cNvPr id="49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1489294" y="116069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99</xdr:row>
      <xdr:rowOff>98540</xdr:rowOff>
    </xdr:from>
    <xdr:to>
      <xdr:col>18</xdr:col>
      <xdr:colOff>238760</xdr:colOff>
      <xdr:row>102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108</xdr:row>
      <xdr:rowOff>47163</xdr:rowOff>
    </xdr:from>
    <xdr:to>
      <xdr:col>18</xdr:col>
      <xdr:colOff>216535</xdr:colOff>
      <xdr:row>110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653367" y="311932"/>
          <a:ext cx="18638106" cy="1617835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321854</xdr:rowOff>
    </xdr:from>
    <xdr:to>
      <xdr:col>5</xdr:col>
      <xdr:colOff>909337</xdr:colOff>
      <xdr:row>4</xdr:row>
      <xdr:rowOff>234785</xdr:rowOff>
    </xdr:to>
    <xdr:sp macro="" textlink="">
      <xdr:nvSpPr>
        <xdr:cNvPr id="59" name="Rectangle à coins arrondis 5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6877050" y="55045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1110902</xdr:colOff>
      <xdr:row>1</xdr:row>
      <xdr:rowOff>247650</xdr:rowOff>
    </xdr:from>
    <xdr:to>
      <xdr:col>7</xdr:col>
      <xdr:colOff>93564</xdr:colOff>
      <xdr:row>3</xdr:row>
      <xdr:rowOff>126</xdr:rowOff>
    </xdr:to>
    <xdr:sp macro="" textlink="">
      <xdr:nvSpPr>
        <xdr:cNvPr id="60" name="Rectangle à coins arrondis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9588152" y="47625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1136766</xdr:colOff>
      <xdr:row>3</xdr:row>
      <xdr:rowOff>74189</xdr:rowOff>
    </xdr:from>
    <xdr:to>
      <xdr:col>7</xdr:col>
      <xdr:colOff>74838</xdr:colOff>
      <xdr:row>4</xdr:row>
      <xdr:rowOff>264815</xdr:rowOff>
    </xdr:to>
    <xdr:sp macro="" textlink="">
      <xdr:nvSpPr>
        <xdr:cNvPr id="61" name="Rectangle à coins arrondis 6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9614016" y="117908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183143</xdr:colOff>
      <xdr:row>1</xdr:row>
      <xdr:rowOff>261260</xdr:rowOff>
    </xdr:from>
    <xdr:to>
      <xdr:col>9</xdr:col>
      <xdr:colOff>1031129</xdr:colOff>
      <xdr:row>3</xdr:row>
      <xdr:rowOff>13736</xdr:rowOff>
    </xdr:to>
    <xdr:sp macro="" textlink="">
      <xdr:nvSpPr>
        <xdr:cNvPr id="62" name="Rectangle à coins arrondis 6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11898893" y="489860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7</xdr:col>
      <xdr:colOff>183143</xdr:colOff>
      <xdr:row>3</xdr:row>
      <xdr:rowOff>67048</xdr:rowOff>
    </xdr:from>
    <xdr:to>
      <xdr:col>9</xdr:col>
      <xdr:colOff>1031129</xdr:colOff>
      <xdr:row>4</xdr:row>
      <xdr:rowOff>257674</xdr:rowOff>
    </xdr:to>
    <xdr:sp macro="" textlink="">
      <xdr:nvSpPr>
        <xdr:cNvPr id="63" name="Rectangle à coins arrondis 6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11898893" y="117194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1118023</xdr:colOff>
      <xdr:row>1</xdr:row>
      <xdr:rowOff>258109</xdr:rowOff>
    </xdr:from>
    <xdr:to>
      <xdr:col>10</xdr:col>
      <xdr:colOff>1134808</xdr:colOff>
      <xdr:row>3</xdr:row>
      <xdr:rowOff>11316</xdr:rowOff>
    </xdr:to>
    <xdr:sp macro="" textlink="">
      <xdr:nvSpPr>
        <xdr:cNvPr id="64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14186323" y="48670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10</xdr:col>
      <xdr:colOff>1293162</xdr:colOff>
      <xdr:row>1</xdr:row>
      <xdr:rowOff>258111</xdr:rowOff>
    </xdr:from>
    <xdr:to>
      <xdr:col>12</xdr:col>
      <xdr:colOff>334498</xdr:colOff>
      <xdr:row>3</xdr:row>
      <xdr:rowOff>11318</xdr:rowOff>
    </xdr:to>
    <xdr:sp macro="" textlink="">
      <xdr:nvSpPr>
        <xdr:cNvPr id="65" name="Rectangle à coins arrondis 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16361712" y="486711"/>
          <a:ext cx="1994086" cy="629507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468834</xdr:colOff>
      <xdr:row>1</xdr:row>
      <xdr:rowOff>258109</xdr:rowOff>
    </xdr:from>
    <xdr:to>
      <xdr:col>14</xdr:col>
      <xdr:colOff>30184</xdr:colOff>
      <xdr:row>3</xdr:row>
      <xdr:rowOff>11316</xdr:rowOff>
    </xdr:to>
    <xdr:sp macro="" textlink="">
      <xdr:nvSpPr>
        <xdr:cNvPr id="66" name="Rectangle à coins arrondis 6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18490134" y="486709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1101278</xdr:colOff>
      <xdr:row>3</xdr:row>
      <xdr:rowOff>79598</xdr:rowOff>
    </xdr:from>
    <xdr:to>
      <xdr:col>10</xdr:col>
      <xdr:colOff>1153648</xdr:colOff>
      <xdr:row>4</xdr:row>
      <xdr:rowOff>270955</xdr:rowOff>
    </xdr:to>
    <xdr:sp macro="" textlink="">
      <xdr:nvSpPr>
        <xdr:cNvPr id="67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4169578" y="118449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10</xdr:col>
      <xdr:colOff>1292116</xdr:colOff>
      <xdr:row>3</xdr:row>
      <xdr:rowOff>72271</xdr:rowOff>
    </xdr:from>
    <xdr:to>
      <xdr:col>12</xdr:col>
      <xdr:colOff>348104</xdr:colOff>
      <xdr:row>4</xdr:row>
      <xdr:rowOff>263628</xdr:rowOff>
    </xdr:to>
    <xdr:sp macro="" textlink="">
      <xdr:nvSpPr>
        <xdr:cNvPr id="68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16360666" y="117717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467788</xdr:colOff>
      <xdr:row>3</xdr:row>
      <xdr:rowOff>92158</xdr:rowOff>
    </xdr:from>
    <xdr:to>
      <xdr:col>14</xdr:col>
      <xdr:colOff>29941</xdr:colOff>
      <xdr:row>4</xdr:row>
      <xdr:rowOff>283515</xdr:rowOff>
    </xdr:to>
    <xdr:sp macro="" textlink="">
      <xdr:nvSpPr>
        <xdr:cNvPr id="69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8489088" y="119705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178586</xdr:colOff>
      <xdr:row>1</xdr:row>
      <xdr:rowOff>258802</xdr:rowOff>
    </xdr:from>
    <xdr:to>
      <xdr:col>16</xdr:col>
      <xdr:colOff>29942</xdr:colOff>
      <xdr:row>3</xdr:row>
      <xdr:rowOff>12009</xdr:rowOff>
    </xdr:to>
    <xdr:sp macro="" textlink="">
      <xdr:nvSpPr>
        <xdr:cNvPr id="70" name="Rectangle à coins arrondis 6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21019286" y="487402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191394</xdr:colOff>
      <xdr:row>3</xdr:row>
      <xdr:rowOff>74840</xdr:rowOff>
    </xdr:from>
    <xdr:to>
      <xdr:col>16</xdr:col>
      <xdr:colOff>43625</xdr:colOff>
      <xdr:row>4</xdr:row>
      <xdr:rowOff>266197</xdr:rowOff>
    </xdr:to>
    <xdr:sp macro="" textlink="">
      <xdr:nvSpPr>
        <xdr:cNvPr id="71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21032094" y="117974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95</xdr:row>
      <xdr:rowOff>98540</xdr:rowOff>
    </xdr:from>
    <xdr:to>
      <xdr:col>18</xdr:col>
      <xdr:colOff>238760</xdr:colOff>
      <xdr:row>98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104</xdr:row>
      <xdr:rowOff>47163</xdr:rowOff>
    </xdr:from>
    <xdr:to>
      <xdr:col>18</xdr:col>
      <xdr:colOff>216535</xdr:colOff>
      <xdr:row>106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53367" y="311932"/>
          <a:ext cx="18638106" cy="1617835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302804</xdr:rowOff>
    </xdr:from>
    <xdr:to>
      <xdr:col>5</xdr:col>
      <xdr:colOff>909337</xdr:colOff>
      <xdr:row>4</xdr:row>
      <xdr:rowOff>215735</xdr:rowOff>
    </xdr:to>
    <xdr:sp macro="" textlink="">
      <xdr:nvSpPr>
        <xdr:cNvPr id="52" name="Rectangle à coins arrondis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6877050" y="53140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1110902</xdr:colOff>
      <xdr:row>1</xdr:row>
      <xdr:rowOff>228600</xdr:rowOff>
    </xdr:from>
    <xdr:to>
      <xdr:col>7</xdr:col>
      <xdr:colOff>93564</xdr:colOff>
      <xdr:row>2</xdr:row>
      <xdr:rowOff>419226</xdr:rowOff>
    </xdr:to>
    <xdr:sp macro="" textlink="">
      <xdr:nvSpPr>
        <xdr:cNvPr id="53" name="Rectangle à coins arrondis 5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9588152" y="45720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1136766</xdr:colOff>
      <xdr:row>3</xdr:row>
      <xdr:rowOff>55139</xdr:rowOff>
    </xdr:from>
    <xdr:to>
      <xdr:col>7</xdr:col>
      <xdr:colOff>74838</xdr:colOff>
      <xdr:row>4</xdr:row>
      <xdr:rowOff>245765</xdr:rowOff>
    </xdr:to>
    <xdr:sp macro="" textlink="">
      <xdr:nvSpPr>
        <xdr:cNvPr id="54" name="Rectangle à coins arrondis 5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9614016" y="116003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183143</xdr:colOff>
      <xdr:row>1</xdr:row>
      <xdr:rowOff>242210</xdr:rowOff>
    </xdr:from>
    <xdr:to>
      <xdr:col>9</xdr:col>
      <xdr:colOff>1031129</xdr:colOff>
      <xdr:row>2</xdr:row>
      <xdr:rowOff>432836</xdr:rowOff>
    </xdr:to>
    <xdr:sp macro="" textlink="">
      <xdr:nvSpPr>
        <xdr:cNvPr id="55" name="Rectangle à coins arrondis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>
          <a:off x="11898893" y="470810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7</xdr:col>
      <xdr:colOff>183143</xdr:colOff>
      <xdr:row>3</xdr:row>
      <xdr:rowOff>47998</xdr:rowOff>
    </xdr:from>
    <xdr:to>
      <xdr:col>9</xdr:col>
      <xdr:colOff>1031129</xdr:colOff>
      <xdr:row>4</xdr:row>
      <xdr:rowOff>238624</xdr:rowOff>
    </xdr:to>
    <xdr:sp macro="" textlink="">
      <xdr:nvSpPr>
        <xdr:cNvPr id="56" name="Rectangle à coins arrondis 5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11898893" y="115289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1118023</xdr:colOff>
      <xdr:row>1</xdr:row>
      <xdr:rowOff>239059</xdr:rowOff>
    </xdr:from>
    <xdr:to>
      <xdr:col>10</xdr:col>
      <xdr:colOff>1134808</xdr:colOff>
      <xdr:row>2</xdr:row>
      <xdr:rowOff>430416</xdr:rowOff>
    </xdr:to>
    <xdr:sp macro="" textlink="">
      <xdr:nvSpPr>
        <xdr:cNvPr id="57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14186323" y="46765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10</xdr:col>
      <xdr:colOff>1293162</xdr:colOff>
      <xdr:row>1</xdr:row>
      <xdr:rowOff>239061</xdr:rowOff>
    </xdr:from>
    <xdr:to>
      <xdr:col>12</xdr:col>
      <xdr:colOff>334498</xdr:colOff>
      <xdr:row>2</xdr:row>
      <xdr:rowOff>430418</xdr:rowOff>
    </xdr:to>
    <xdr:sp macro="" textlink="">
      <xdr:nvSpPr>
        <xdr:cNvPr id="58" name="Rectangle à coins arrondis 5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16361712" y="467661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468834</xdr:colOff>
      <xdr:row>1</xdr:row>
      <xdr:rowOff>239059</xdr:rowOff>
    </xdr:from>
    <xdr:to>
      <xdr:col>14</xdr:col>
      <xdr:colOff>30184</xdr:colOff>
      <xdr:row>2</xdr:row>
      <xdr:rowOff>430416</xdr:rowOff>
    </xdr:to>
    <xdr:sp macro="" textlink="">
      <xdr:nvSpPr>
        <xdr:cNvPr id="59" name="Rectangle à coins arrondis 5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18490134" y="467659"/>
          <a:ext cx="2380750" cy="629507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1101278</xdr:colOff>
      <xdr:row>3</xdr:row>
      <xdr:rowOff>60548</xdr:rowOff>
    </xdr:from>
    <xdr:to>
      <xdr:col>10</xdr:col>
      <xdr:colOff>1153648</xdr:colOff>
      <xdr:row>4</xdr:row>
      <xdr:rowOff>251905</xdr:rowOff>
    </xdr:to>
    <xdr:sp macro="" textlink="">
      <xdr:nvSpPr>
        <xdr:cNvPr id="60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14169578" y="116544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10</xdr:col>
      <xdr:colOff>1292116</xdr:colOff>
      <xdr:row>3</xdr:row>
      <xdr:rowOff>53221</xdr:rowOff>
    </xdr:from>
    <xdr:to>
      <xdr:col>12</xdr:col>
      <xdr:colOff>348104</xdr:colOff>
      <xdr:row>4</xdr:row>
      <xdr:rowOff>244578</xdr:rowOff>
    </xdr:to>
    <xdr:sp macro="" textlink="">
      <xdr:nvSpPr>
        <xdr:cNvPr id="61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16360666" y="115812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467788</xdr:colOff>
      <xdr:row>3</xdr:row>
      <xdr:rowOff>73108</xdr:rowOff>
    </xdr:from>
    <xdr:to>
      <xdr:col>14</xdr:col>
      <xdr:colOff>29941</xdr:colOff>
      <xdr:row>4</xdr:row>
      <xdr:rowOff>264465</xdr:rowOff>
    </xdr:to>
    <xdr:sp macro="" textlink="">
      <xdr:nvSpPr>
        <xdr:cNvPr id="62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18489088" y="117800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178586</xdr:colOff>
      <xdr:row>1</xdr:row>
      <xdr:rowOff>239752</xdr:rowOff>
    </xdr:from>
    <xdr:to>
      <xdr:col>16</xdr:col>
      <xdr:colOff>29942</xdr:colOff>
      <xdr:row>2</xdr:row>
      <xdr:rowOff>431109</xdr:rowOff>
    </xdr:to>
    <xdr:sp macro="" textlink="">
      <xdr:nvSpPr>
        <xdr:cNvPr id="63" name="Rectangle à coins arrondis 6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21019286" y="468352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191394</xdr:colOff>
      <xdr:row>3</xdr:row>
      <xdr:rowOff>55790</xdr:rowOff>
    </xdr:from>
    <xdr:to>
      <xdr:col>16</xdr:col>
      <xdr:colOff>43625</xdr:colOff>
      <xdr:row>4</xdr:row>
      <xdr:rowOff>247147</xdr:rowOff>
    </xdr:to>
    <xdr:sp macro="" textlink="">
      <xdr:nvSpPr>
        <xdr:cNvPr id="64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1032094" y="116069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95</xdr:row>
      <xdr:rowOff>98540</xdr:rowOff>
    </xdr:from>
    <xdr:to>
      <xdr:col>18</xdr:col>
      <xdr:colOff>238760</xdr:colOff>
      <xdr:row>98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2983940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104</xdr:row>
      <xdr:rowOff>47163</xdr:rowOff>
    </xdr:from>
    <xdr:to>
      <xdr:col>18</xdr:col>
      <xdr:colOff>216535</xdr:colOff>
      <xdr:row>106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36536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6653367" y="311932"/>
          <a:ext cx="18638106" cy="1617835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1</xdr:row>
      <xdr:rowOff>302804</xdr:rowOff>
    </xdr:from>
    <xdr:to>
      <xdr:col>5</xdr:col>
      <xdr:colOff>966487</xdr:colOff>
      <xdr:row>4</xdr:row>
      <xdr:rowOff>215735</xdr:rowOff>
    </xdr:to>
    <xdr:sp macro="" textlink="">
      <xdr:nvSpPr>
        <xdr:cNvPr id="50" name="Rectangle à coins arrondis 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6934200" y="53140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1168052</xdr:colOff>
      <xdr:row>1</xdr:row>
      <xdr:rowOff>228600</xdr:rowOff>
    </xdr:from>
    <xdr:to>
      <xdr:col>7</xdr:col>
      <xdr:colOff>150714</xdr:colOff>
      <xdr:row>2</xdr:row>
      <xdr:rowOff>419226</xdr:rowOff>
    </xdr:to>
    <xdr:sp macro="" textlink="">
      <xdr:nvSpPr>
        <xdr:cNvPr id="51" name="Rectangle à coins arrondis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>
          <a:off x="9645302" y="45720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1193916</xdr:colOff>
      <xdr:row>3</xdr:row>
      <xdr:rowOff>55139</xdr:rowOff>
    </xdr:from>
    <xdr:to>
      <xdr:col>7</xdr:col>
      <xdr:colOff>131988</xdr:colOff>
      <xdr:row>4</xdr:row>
      <xdr:rowOff>245765</xdr:rowOff>
    </xdr:to>
    <xdr:sp macro="" textlink="">
      <xdr:nvSpPr>
        <xdr:cNvPr id="52" name="Rectangle à coins arrondis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9671166" y="116003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240293</xdr:colOff>
      <xdr:row>1</xdr:row>
      <xdr:rowOff>242210</xdr:rowOff>
    </xdr:from>
    <xdr:to>
      <xdr:col>9</xdr:col>
      <xdr:colOff>1088279</xdr:colOff>
      <xdr:row>2</xdr:row>
      <xdr:rowOff>432836</xdr:rowOff>
    </xdr:to>
    <xdr:sp macro="" textlink="">
      <xdr:nvSpPr>
        <xdr:cNvPr id="53" name="Rectangle à coins arrondis 5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11956043" y="470810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7</xdr:col>
      <xdr:colOff>240293</xdr:colOff>
      <xdr:row>3</xdr:row>
      <xdr:rowOff>47998</xdr:rowOff>
    </xdr:from>
    <xdr:to>
      <xdr:col>9</xdr:col>
      <xdr:colOff>1088279</xdr:colOff>
      <xdr:row>4</xdr:row>
      <xdr:rowOff>238624</xdr:rowOff>
    </xdr:to>
    <xdr:sp macro="" textlink="">
      <xdr:nvSpPr>
        <xdr:cNvPr id="54" name="Rectangle à coins arrondis 5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11956043" y="115289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1175173</xdr:colOff>
      <xdr:row>1</xdr:row>
      <xdr:rowOff>239059</xdr:rowOff>
    </xdr:from>
    <xdr:to>
      <xdr:col>10</xdr:col>
      <xdr:colOff>1191958</xdr:colOff>
      <xdr:row>2</xdr:row>
      <xdr:rowOff>430416</xdr:rowOff>
    </xdr:to>
    <xdr:sp macro="" textlink="">
      <xdr:nvSpPr>
        <xdr:cNvPr id="55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>
          <a:off x="14243473" y="46765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10</xdr:col>
      <xdr:colOff>1350312</xdr:colOff>
      <xdr:row>1</xdr:row>
      <xdr:rowOff>239061</xdr:rowOff>
    </xdr:from>
    <xdr:to>
      <xdr:col>12</xdr:col>
      <xdr:colOff>391648</xdr:colOff>
      <xdr:row>2</xdr:row>
      <xdr:rowOff>430418</xdr:rowOff>
    </xdr:to>
    <xdr:sp macro="" textlink="">
      <xdr:nvSpPr>
        <xdr:cNvPr id="56" name="Rectangle à coins arrondis 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>
          <a:off x="16418862" y="467661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525984</xdr:colOff>
      <xdr:row>1</xdr:row>
      <xdr:rowOff>239059</xdr:rowOff>
    </xdr:from>
    <xdr:to>
      <xdr:col>14</xdr:col>
      <xdr:colOff>87334</xdr:colOff>
      <xdr:row>2</xdr:row>
      <xdr:rowOff>430416</xdr:rowOff>
    </xdr:to>
    <xdr:sp macro="" textlink="">
      <xdr:nvSpPr>
        <xdr:cNvPr id="57" name="Rectangle à coins arrondis 5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>
          <a:off x="18547284" y="467659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1158428</xdr:colOff>
      <xdr:row>3</xdr:row>
      <xdr:rowOff>60548</xdr:rowOff>
    </xdr:from>
    <xdr:to>
      <xdr:col>10</xdr:col>
      <xdr:colOff>1210798</xdr:colOff>
      <xdr:row>4</xdr:row>
      <xdr:rowOff>251905</xdr:rowOff>
    </xdr:to>
    <xdr:sp macro="" textlink="">
      <xdr:nvSpPr>
        <xdr:cNvPr id="58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14226728" y="116544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10</xdr:col>
      <xdr:colOff>1349266</xdr:colOff>
      <xdr:row>3</xdr:row>
      <xdr:rowOff>53221</xdr:rowOff>
    </xdr:from>
    <xdr:to>
      <xdr:col>12</xdr:col>
      <xdr:colOff>405254</xdr:colOff>
      <xdr:row>4</xdr:row>
      <xdr:rowOff>244578</xdr:rowOff>
    </xdr:to>
    <xdr:sp macro="" textlink="">
      <xdr:nvSpPr>
        <xdr:cNvPr id="59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16417816" y="115812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524938</xdr:colOff>
      <xdr:row>3</xdr:row>
      <xdr:rowOff>73108</xdr:rowOff>
    </xdr:from>
    <xdr:to>
      <xdr:col>14</xdr:col>
      <xdr:colOff>87091</xdr:colOff>
      <xdr:row>4</xdr:row>
      <xdr:rowOff>264465</xdr:rowOff>
    </xdr:to>
    <xdr:sp macro="" textlink="">
      <xdr:nvSpPr>
        <xdr:cNvPr id="60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18546238" y="117800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235736</xdr:colOff>
      <xdr:row>1</xdr:row>
      <xdr:rowOff>239752</xdr:rowOff>
    </xdr:from>
    <xdr:to>
      <xdr:col>16</xdr:col>
      <xdr:colOff>87092</xdr:colOff>
      <xdr:row>2</xdr:row>
      <xdr:rowOff>431109</xdr:rowOff>
    </xdr:to>
    <xdr:sp macro="" textlink="">
      <xdr:nvSpPr>
        <xdr:cNvPr id="61" name="Rectangle à coins arrondis 6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21076436" y="468352"/>
          <a:ext cx="2594556" cy="629507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248544</xdr:colOff>
      <xdr:row>3</xdr:row>
      <xdr:rowOff>55790</xdr:rowOff>
    </xdr:from>
    <xdr:to>
      <xdr:col>16</xdr:col>
      <xdr:colOff>100775</xdr:colOff>
      <xdr:row>4</xdr:row>
      <xdr:rowOff>247147</xdr:rowOff>
    </xdr:to>
    <xdr:sp macro="" textlink="">
      <xdr:nvSpPr>
        <xdr:cNvPr id="62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21089244" y="116069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602922"/>
          <a:ext cx="0" cy="717320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99</xdr:row>
      <xdr:rowOff>98540</xdr:rowOff>
    </xdr:from>
    <xdr:to>
      <xdr:col>0</xdr:col>
      <xdr:colOff>238760</xdr:colOff>
      <xdr:row>102</xdr:row>
      <xdr:rowOff>90747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>
          <a:cxnSpLocks noChangeShapeType="1"/>
        </xdr:cNvCxnSpPr>
      </xdr:nvCxnSpPr>
      <xdr:spPr bwMode="auto">
        <a:xfrm>
          <a:off x="25108535" y="37312715"/>
          <a:ext cx="0" cy="477982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108</xdr:row>
      <xdr:rowOff>47163</xdr:rowOff>
    </xdr:from>
    <xdr:to>
      <xdr:col>0</xdr:col>
      <xdr:colOff>216535</xdr:colOff>
      <xdr:row>110</xdr:row>
      <xdr:rowOff>122612</xdr:rowOff>
    </xdr:to>
    <xdr:cxnSp macro="">
      <xdr:nvCxnSpPr>
        <xdr:cNvPr id="5" name="AutoShape 3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>
          <a:cxnSpLocks noChangeShapeType="1"/>
        </xdr:cNvCxnSpPr>
      </xdr:nvCxnSpPr>
      <xdr:spPr bwMode="auto">
        <a:xfrm>
          <a:off x="25086310" y="38718663"/>
          <a:ext cx="0" cy="39929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23" name="Image 22" descr="ocp_loL_4c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3183" y="2078182"/>
          <a:ext cx="1639453" cy="86590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>
          <a:spLocks noChangeArrowheads="1"/>
        </xdr:cNvSpPr>
      </xdr:nvSpPr>
      <xdr:spPr bwMode="auto">
        <a:xfrm>
          <a:off x="276226" y="1600199"/>
          <a:ext cx="2544640" cy="44914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>
          <a:spLocks noChangeArrowheads="1"/>
        </xdr:cNvSpPr>
      </xdr:nvSpPr>
      <xdr:spPr bwMode="auto">
        <a:xfrm>
          <a:off x="474051" y="1385520"/>
          <a:ext cx="2148987" cy="26963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19509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179" y="304067"/>
          <a:ext cx="1276350" cy="106680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1024960</xdr:colOff>
      <xdr:row>1</xdr:row>
      <xdr:rowOff>162303</xdr:rowOff>
    </xdr:from>
    <xdr:to>
      <xdr:col>8</xdr:col>
      <xdr:colOff>2008909</xdr:colOff>
      <xdr:row>5</xdr:row>
      <xdr:rowOff>86593</xdr:rowOff>
    </xdr:to>
    <xdr:grpSp>
      <xdr:nvGrpSpPr>
        <xdr:cNvPr id="84" name="Groupe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GrpSpPr/>
      </xdr:nvGrpSpPr>
      <xdr:grpSpPr>
        <a:xfrm>
          <a:off x="5507313" y="431244"/>
          <a:ext cx="12963037" cy="1672408"/>
          <a:chOff x="5324817" y="434446"/>
          <a:chExt cx="12958235" cy="1666004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3" name="Rectangle à coins arrondis 6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64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65" name="Rectangle à coins arrondis 6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66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67" name="Rectangle à coins arrondis 6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68" name="Rectangle à coins arrondis 6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69" name="Rectangle à coins arrondis 68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70" name="Rectangle à coins arrondis 6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71" name="Rectangle à coins arrondis 70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72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73" name="Rectangle à coins arrondis 7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74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75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211397</xdr:rowOff>
    </xdr:from>
    <xdr:to>
      <xdr:col>0</xdr:col>
      <xdr:colOff>0</xdr:colOff>
      <xdr:row>24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99</xdr:row>
      <xdr:rowOff>98540</xdr:rowOff>
    </xdr:from>
    <xdr:to>
      <xdr:col>0</xdr:col>
      <xdr:colOff>238760</xdr:colOff>
      <xdr:row>102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108</xdr:row>
      <xdr:rowOff>47163</xdr:rowOff>
    </xdr:from>
    <xdr:to>
      <xdr:col>0</xdr:col>
      <xdr:colOff>216535</xdr:colOff>
      <xdr:row>110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886691</xdr:colOff>
      <xdr:row>1</xdr:row>
      <xdr:rowOff>166254</xdr:rowOff>
    </xdr:from>
    <xdr:to>
      <xdr:col>8</xdr:col>
      <xdr:colOff>1874599</xdr:colOff>
      <xdr:row>5</xdr:row>
      <xdr:rowOff>114294</xdr:rowOff>
    </xdr:to>
    <xdr:grpSp>
      <xdr:nvGrpSpPr>
        <xdr:cNvPr id="105" name="Groupe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GrpSpPr/>
      </xdr:nvGrpSpPr>
      <xdr:grpSpPr>
        <a:xfrm>
          <a:off x="5189750" y="435195"/>
          <a:ext cx="12966996" cy="1696158"/>
          <a:chOff x="5324817" y="434446"/>
          <a:chExt cx="12958235" cy="1666004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7" name="Rectangle à coins arrondis 10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6B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108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109" name="Rectangle à coins arrondis 10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6D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110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6E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111" name="Rectangle à coins arrondis 1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700-00006F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112" name="Rectangle à coins arrondis 1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113" name="Rectangle à coins arrondis 1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114" name="Rectangle à coins arrondis 1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115" name="Rectangle à coins arrondis 1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116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117" name="Rectangle à coins arrondis 11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118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119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98</xdr:row>
      <xdr:rowOff>98540</xdr:rowOff>
    </xdr:from>
    <xdr:to>
      <xdr:col>0</xdr:col>
      <xdr:colOff>238760</xdr:colOff>
      <xdr:row>101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107</xdr:row>
      <xdr:rowOff>47163</xdr:rowOff>
    </xdr:from>
    <xdr:to>
      <xdr:col>0</xdr:col>
      <xdr:colOff>216535</xdr:colOff>
      <xdr:row>109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928254</xdr:colOff>
      <xdr:row>1</xdr:row>
      <xdr:rowOff>193963</xdr:rowOff>
    </xdr:from>
    <xdr:to>
      <xdr:col>8</xdr:col>
      <xdr:colOff>1916162</xdr:colOff>
      <xdr:row>5</xdr:row>
      <xdr:rowOff>142003</xdr:rowOff>
    </xdr:to>
    <xdr:grpSp>
      <xdr:nvGrpSpPr>
        <xdr:cNvPr id="39" name="Group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5231313" y="462904"/>
          <a:ext cx="12966996" cy="1696158"/>
          <a:chOff x="5324817" y="434446"/>
          <a:chExt cx="12958235" cy="1666004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1" name="Rectangle à coins arrondis 4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42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43" name="Rectangle à coins arrondis 4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44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45" name="Rectangle à coins arrondis 4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46" name="Rectangle à coins arrondis 4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47" name="Rectangle à coins arrondis 4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48" name="Rectangle à coins arrondis 4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49" name="Rectangle à coins arrondis 4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50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51" name="Rectangle à coins arrondis 5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52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800-000034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53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99</xdr:row>
      <xdr:rowOff>98540</xdr:rowOff>
    </xdr:from>
    <xdr:to>
      <xdr:col>0</xdr:col>
      <xdr:colOff>238760</xdr:colOff>
      <xdr:row>102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108</xdr:row>
      <xdr:rowOff>47163</xdr:rowOff>
    </xdr:from>
    <xdr:to>
      <xdr:col>0</xdr:col>
      <xdr:colOff>216535</xdr:colOff>
      <xdr:row>110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914400</xdr:colOff>
      <xdr:row>1</xdr:row>
      <xdr:rowOff>166255</xdr:rowOff>
    </xdr:from>
    <xdr:to>
      <xdr:col>8</xdr:col>
      <xdr:colOff>1902308</xdr:colOff>
      <xdr:row>5</xdr:row>
      <xdr:rowOff>114295</xdr:rowOff>
    </xdr:to>
    <xdr:grpSp>
      <xdr:nvGrpSpPr>
        <xdr:cNvPr id="39" name="Group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5217459" y="435196"/>
          <a:ext cx="12966996" cy="1696158"/>
          <a:chOff x="5324817" y="434446"/>
          <a:chExt cx="12958235" cy="1666004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1" name="Rectangle à coins arrondis 4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42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43" name="Rectangle à coins arrondis 4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44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45" name="Rectangle à coins arrondis 4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46" name="Rectangle à coins arrondis 4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47" name="Rectangle à coins arrondis 4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48" name="Rectangle à coins arrondis 4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900-000030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49" name="Rectangle à coins arrondis 4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50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51" name="Rectangle à coins arrondis 5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900-000033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52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53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98</xdr:row>
      <xdr:rowOff>98540</xdr:rowOff>
    </xdr:from>
    <xdr:to>
      <xdr:col>0</xdr:col>
      <xdr:colOff>238760</xdr:colOff>
      <xdr:row>101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107</xdr:row>
      <xdr:rowOff>47163</xdr:rowOff>
    </xdr:from>
    <xdr:to>
      <xdr:col>0</xdr:col>
      <xdr:colOff>216535</xdr:colOff>
      <xdr:row>109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886691</xdr:colOff>
      <xdr:row>1</xdr:row>
      <xdr:rowOff>193964</xdr:rowOff>
    </xdr:from>
    <xdr:to>
      <xdr:col>8</xdr:col>
      <xdr:colOff>1874599</xdr:colOff>
      <xdr:row>5</xdr:row>
      <xdr:rowOff>142004</xdr:rowOff>
    </xdr:to>
    <xdr:grpSp>
      <xdr:nvGrpSpPr>
        <xdr:cNvPr id="54" name="Groupe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GrpSpPr/>
      </xdr:nvGrpSpPr>
      <xdr:grpSpPr>
        <a:xfrm>
          <a:off x="5189750" y="462905"/>
          <a:ext cx="12966996" cy="1696158"/>
          <a:chOff x="5324817" y="434446"/>
          <a:chExt cx="12958235" cy="1666004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A00-000037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6" name="Rectangle à coins arrondis 5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57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58" name="Rectangle à coins arrondis 5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59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60" name="Rectangle à coins arrondis 5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A00-00003C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61" name="Rectangle à coins arrondis 6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62" name="Rectangle à coins arrondis 6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63" name="Rectangle à coins arrondis 6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64" name="Rectangle à coins arrondis 6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65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66" name="Rectangle à coins arrondis 6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A00-000042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67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A00-000043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68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98</xdr:row>
      <xdr:rowOff>98540</xdr:rowOff>
    </xdr:from>
    <xdr:to>
      <xdr:col>0</xdr:col>
      <xdr:colOff>238760</xdr:colOff>
      <xdr:row>101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107</xdr:row>
      <xdr:rowOff>47163</xdr:rowOff>
    </xdr:from>
    <xdr:to>
      <xdr:col>0</xdr:col>
      <xdr:colOff>216535</xdr:colOff>
      <xdr:row>109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803563</xdr:colOff>
      <xdr:row>1</xdr:row>
      <xdr:rowOff>96982</xdr:rowOff>
    </xdr:from>
    <xdr:to>
      <xdr:col>8</xdr:col>
      <xdr:colOff>1791471</xdr:colOff>
      <xdr:row>5</xdr:row>
      <xdr:rowOff>45022</xdr:rowOff>
    </xdr:to>
    <xdr:grpSp>
      <xdr:nvGrpSpPr>
        <xdr:cNvPr id="45" name="Groupe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GrpSpPr/>
      </xdr:nvGrpSpPr>
      <xdr:grpSpPr>
        <a:xfrm>
          <a:off x="5106622" y="365923"/>
          <a:ext cx="12966996" cy="1696158"/>
          <a:chOff x="5324817" y="434446"/>
          <a:chExt cx="12958235" cy="1666004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7" name="Rectangle à coins arrondis 4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B00-00002F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48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49" name="Rectangle à coins arrondis 4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50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51" name="Rectangle à coins arrondis 5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52" name="Rectangle à coins arrondis 5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53" name="Rectangle à coins arrondis 5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54" name="Rectangle à coins arrondis 5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55" name="Rectangle à coins arrondis 5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56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57" name="Rectangle à coins arrondis 5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58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59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B00-00003B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%20yaakoubi/OneDrive%20-%20OCP/Manutention%20PW/digitalisation%20du%20RJ/RJ%20+%20minute/Rapport%20Journalier%20BFA%2012_-11-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ocuments/RPJ%20DIGITA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ocuments/RJ.DIGITAL%20FEVRIER/Digital%20report-rapport%20de%20tonnage%20PW%2003-02-202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esktop/Avril%202023/Rapport%20%20PW%2021-04-202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AppData/Roaming/Microsoft/Windows/Network%20Shortcuts/Copie%20de%20Rapport%20%20journalier%20PW%2021-04-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ocuments/RJ%20Digital%20JUIN%202021/Rapport%20%20jounalier%20PW%2029-06-2021%20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esktop/Mars/Rapport%20%20journalier%20PW%2030-03-2023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esktop/Mars/Rapport%20%20journalier%20PW%2029-03-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enu"/>
      <sheetName val="Index_Fl"/>
      <sheetName val="Arrêt_Fl"/>
      <sheetName val="Index_Dec_Adapt"/>
      <sheetName val="Arrêt_adap"/>
      <sheetName val="Index_Br_Adapt"/>
    </sheetNames>
    <sheetDataSet>
      <sheetData sheetId="0">
        <row r="4">
          <cell r="L4" t="str">
            <v>Nature d'arrêt</v>
          </cell>
        </row>
        <row r="5">
          <cell r="M5" t="str">
            <v>BacsMécanique</v>
          </cell>
        </row>
        <row r="6">
          <cell r="M6" t="str">
            <v>BacsMécanique</v>
          </cell>
        </row>
        <row r="7">
          <cell r="M7" t="str">
            <v>BacsMécanique</v>
          </cell>
        </row>
        <row r="8">
          <cell r="M8" t="str">
            <v>BacsMécanique</v>
          </cell>
        </row>
        <row r="9">
          <cell r="M9" t="str">
            <v>BacsMécanique</v>
          </cell>
        </row>
        <row r="10">
          <cell r="M10" t="str">
            <v>BacsMécanique</v>
          </cell>
        </row>
        <row r="11">
          <cell r="M11" t="str">
            <v>BacsMécanique</v>
          </cell>
        </row>
        <row r="12">
          <cell r="M12" t="str">
            <v>BacsMécanique</v>
          </cell>
        </row>
        <row r="13">
          <cell r="M13" t="str">
            <v>BacsMécanique</v>
          </cell>
        </row>
        <row r="14">
          <cell r="M14" t="str">
            <v>BacsMécanique</v>
          </cell>
        </row>
        <row r="15">
          <cell r="M15" t="str">
            <v>BacsMécanique</v>
          </cell>
        </row>
        <row r="16">
          <cell r="M16" t="str">
            <v>BacsMécanique</v>
          </cell>
        </row>
        <row r="17">
          <cell r="M17" t="str">
            <v>BacsMécanique</v>
          </cell>
        </row>
        <row r="18">
          <cell r="A18" t="str">
            <v>Planifié</v>
          </cell>
          <cell r="M18" t="str">
            <v>BacsMécanique</v>
          </cell>
        </row>
        <row r="19">
          <cell r="A19" t="str">
            <v>Subit</v>
          </cell>
          <cell r="M19" t="str">
            <v>BacsMécanique</v>
          </cell>
        </row>
        <row r="20">
          <cell r="M20" t="str">
            <v>BacsMécanique</v>
          </cell>
        </row>
        <row r="21">
          <cell r="M21" t="str">
            <v>BacsElectrique</v>
          </cell>
        </row>
        <row r="22">
          <cell r="B22" t="str">
            <v>Maintenance</v>
          </cell>
          <cell r="M22" t="str">
            <v>BacsElectrique</v>
          </cell>
          <cell r="T22" t="str">
            <v>Adaptation</v>
          </cell>
        </row>
        <row r="23">
          <cell r="B23" t="str">
            <v>Mécanique</v>
          </cell>
          <cell r="M23" t="str">
            <v>BacsElectrique</v>
          </cell>
          <cell r="T23" t="str">
            <v>Bacs</v>
          </cell>
        </row>
        <row r="24">
          <cell r="B24" t="str">
            <v>Electrique</v>
          </cell>
          <cell r="M24" t="str">
            <v>BacsElectrique</v>
          </cell>
          <cell r="T24" t="str">
            <v>Tanks</v>
          </cell>
        </row>
        <row r="25">
          <cell r="B25" t="str">
            <v>Régulation</v>
          </cell>
          <cell r="M25" t="str">
            <v>BacsElectrique</v>
          </cell>
          <cell r="T25" t="str">
            <v>Décanteurs</v>
          </cell>
        </row>
        <row r="26">
          <cell r="B26" t="str">
            <v>Exploitation</v>
          </cell>
          <cell r="M26" t="str">
            <v>BacsElectrique</v>
          </cell>
          <cell r="T26" t="str">
            <v>Broyeurs</v>
          </cell>
        </row>
        <row r="27">
          <cell r="B27" t="str">
            <v>Pipeline</v>
          </cell>
          <cell r="M27" t="str">
            <v>BacsElectrique</v>
          </cell>
          <cell r="T27" t="str">
            <v>Compresseurs_Ad</v>
          </cell>
        </row>
        <row r="28">
          <cell r="B28" t="str">
            <v>Maroc central</v>
          </cell>
          <cell r="M28" t="str">
            <v>BacsElectrique</v>
          </cell>
        </row>
        <row r="29">
          <cell r="B29" t="str">
            <v>Flux</v>
          </cell>
          <cell r="M29" t="str">
            <v>BacsElectrique</v>
          </cell>
        </row>
        <row r="30">
          <cell r="B30" t="str">
            <v>Externe</v>
          </cell>
          <cell r="M30" t="str">
            <v>BacsElectrique</v>
          </cell>
        </row>
        <row r="31">
          <cell r="M31" t="str">
            <v>BacsRégulation</v>
          </cell>
        </row>
        <row r="32">
          <cell r="M32" t="str">
            <v>BacsRégulation</v>
          </cell>
        </row>
        <row r="33">
          <cell r="M33" t="str">
            <v>BacsRégulation</v>
          </cell>
        </row>
        <row r="34">
          <cell r="M34" t="str">
            <v>BacsRégulation</v>
          </cell>
        </row>
        <row r="35">
          <cell r="M35" t="str">
            <v>BacsRégulation</v>
          </cell>
        </row>
        <row r="36">
          <cell r="M36" t="str">
            <v>BacsRégulation</v>
          </cell>
        </row>
        <row r="37">
          <cell r="M37" t="str">
            <v>BacsRégulation</v>
          </cell>
        </row>
        <row r="38">
          <cell r="M38" t="str">
            <v>BacsExploitation</v>
          </cell>
        </row>
        <row r="39">
          <cell r="M39" t="str">
            <v>BacsExploitation</v>
          </cell>
        </row>
        <row r="40">
          <cell r="M40" t="str">
            <v>BacsExploitation</v>
          </cell>
        </row>
        <row r="41">
          <cell r="M41" t="str">
            <v>BacsRégulation</v>
          </cell>
        </row>
        <row r="42">
          <cell r="M42" t="str">
            <v>BacsExploitation</v>
          </cell>
        </row>
        <row r="43">
          <cell r="M43" t="str">
            <v>TanksMécanique</v>
          </cell>
        </row>
        <row r="44">
          <cell r="M44" t="str">
            <v>TanksMécanique</v>
          </cell>
        </row>
        <row r="45">
          <cell r="M45" t="str">
            <v>TanksMécanique</v>
          </cell>
        </row>
        <row r="46">
          <cell r="M46" t="str">
            <v>TanksMécanique</v>
          </cell>
        </row>
        <row r="47">
          <cell r="M47" t="str">
            <v>TanksMécanique</v>
          </cell>
        </row>
        <row r="48">
          <cell r="M48" t="str">
            <v>TanksMécanique</v>
          </cell>
        </row>
        <row r="49">
          <cell r="M49" t="str">
            <v>TanksMécanique</v>
          </cell>
        </row>
        <row r="50">
          <cell r="M50" t="str">
            <v>TanksMécanique</v>
          </cell>
        </row>
        <row r="51">
          <cell r="M51" t="str">
            <v>TanksMécanique</v>
          </cell>
        </row>
        <row r="52">
          <cell r="M52" t="str">
            <v>TanksMécanique</v>
          </cell>
        </row>
        <row r="53">
          <cell r="M53" t="str">
            <v>TanksMécanique</v>
          </cell>
        </row>
        <row r="54">
          <cell r="M54" t="str">
            <v>TanksMécanique</v>
          </cell>
        </row>
        <row r="55">
          <cell r="M55" t="str">
            <v>TanksMécanique</v>
          </cell>
        </row>
        <row r="56">
          <cell r="M56" t="str">
            <v>TanksMécanique</v>
          </cell>
        </row>
        <row r="57">
          <cell r="M57" t="str">
            <v>TanksMécanique</v>
          </cell>
        </row>
        <row r="58">
          <cell r="M58" t="str">
            <v>TanksMécanique</v>
          </cell>
        </row>
        <row r="59">
          <cell r="M59" t="str">
            <v>TanksMécanique</v>
          </cell>
        </row>
        <row r="60">
          <cell r="M60" t="str">
            <v>TanksMécanique</v>
          </cell>
        </row>
        <row r="61">
          <cell r="M61" t="str">
            <v>TanksMécanique</v>
          </cell>
        </row>
        <row r="62">
          <cell r="M62" t="str">
            <v>TanksMécanique</v>
          </cell>
        </row>
        <row r="63">
          <cell r="M63" t="str">
            <v>TanksMécanique</v>
          </cell>
        </row>
        <row r="64">
          <cell r="M64" t="str">
            <v>TanksElectrique</v>
          </cell>
        </row>
        <row r="65">
          <cell r="M65" t="str">
            <v>TanksElectrique</v>
          </cell>
        </row>
        <row r="66">
          <cell r="M66" t="str">
            <v>TanksElectrique</v>
          </cell>
        </row>
        <row r="67">
          <cell r="M67" t="str">
            <v>TanksElectrique</v>
          </cell>
        </row>
        <row r="68">
          <cell r="M68" t="str">
            <v>TanksElectrique</v>
          </cell>
        </row>
        <row r="69">
          <cell r="M69" t="str">
            <v>TanksElectrique</v>
          </cell>
        </row>
        <row r="70">
          <cell r="M70" t="str">
            <v>TanksElectrique</v>
          </cell>
        </row>
        <row r="71">
          <cell r="M71" t="str">
            <v>TanksElectrique</v>
          </cell>
        </row>
        <row r="72">
          <cell r="M72" t="str">
            <v>TanksElectrique</v>
          </cell>
        </row>
        <row r="73">
          <cell r="M73" t="str">
            <v>TanksElectrique</v>
          </cell>
        </row>
        <row r="74">
          <cell r="M74" t="str">
            <v>TanksRégulation</v>
          </cell>
        </row>
        <row r="75">
          <cell r="M75" t="str">
            <v>TanksRégulation</v>
          </cell>
        </row>
        <row r="76">
          <cell r="M76" t="str">
            <v>TanksRégulation</v>
          </cell>
        </row>
        <row r="77">
          <cell r="M77" t="str">
            <v>TanksRégulation</v>
          </cell>
        </row>
        <row r="78">
          <cell r="M78" t="str">
            <v>TanksRégulation</v>
          </cell>
        </row>
        <row r="79">
          <cell r="M79" t="str">
            <v>TanksRégulation</v>
          </cell>
        </row>
        <row r="80">
          <cell r="M80" t="str">
            <v>TanksRégulation</v>
          </cell>
        </row>
        <row r="81">
          <cell r="M81" t="str">
            <v>TanksExploitation</v>
          </cell>
        </row>
        <row r="82">
          <cell r="M82" t="str">
            <v>TanksExploitation</v>
          </cell>
        </row>
        <row r="83">
          <cell r="M83" t="str">
            <v>TanksExploitation</v>
          </cell>
        </row>
        <row r="84">
          <cell r="M84" t="str">
            <v>TanksRégulation</v>
          </cell>
        </row>
        <row r="85">
          <cell r="M85" t="str">
            <v>TanksExploitation</v>
          </cell>
        </row>
        <row r="86">
          <cell r="M86" t="str">
            <v>TanksExploitation</v>
          </cell>
        </row>
        <row r="87">
          <cell r="M87" t="str">
            <v>TanksExploitation</v>
          </cell>
        </row>
        <row r="88">
          <cell r="M88" t="str">
            <v>DécanteursMécanique</v>
          </cell>
        </row>
        <row r="89">
          <cell r="M89" t="str">
            <v>DécanteursMécanique</v>
          </cell>
        </row>
        <row r="90">
          <cell r="M90" t="str">
            <v>DécanteursMécanique</v>
          </cell>
        </row>
        <row r="91">
          <cell r="M91" t="str">
            <v>DécanteursMécanique</v>
          </cell>
        </row>
        <row r="92">
          <cell r="M92" t="str">
            <v>DécanteursMécanique</v>
          </cell>
        </row>
        <row r="93">
          <cell r="M93" t="str">
            <v>DécanteursMécanique</v>
          </cell>
        </row>
        <row r="94">
          <cell r="M94" t="str">
            <v>DécanteursMécanique</v>
          </cell>
        </row>
        <row r="95">
          <cell r="M95" t="str">
            <v>DécanteursMécanique</v>
          </cell>
        </row>
        <row r="96">
          <cell r="M96" t="str">
            <v>DécanteursMécanique</v>
          </cell>
        </row>
        <row r="97">
          <cell r="M97" t="str">
            <v>DécanteursMécanique</v>
          </cell>
        </row>
        <row r="98">
          <cell r="M98" t="str">
            <v>DécanteursMécanique</v>
          </cell>
        </row>
        <row r="99">
          <cell r="M99" t="str">
            <v>DécanteursMécanique</v>
          </cell>
        </row>
        <row r="100">
          <cell r="M100" t="str">
            <v>DécanteursMécanique</v>
          </cell>
        </row>
        <row r="101">
          <cell r="M101" t="str">
            <v>DécanteursMécanique</v>
          </cell>
        </row>
        <row r="102">
          <cell r="M102" t="str">
            <v>DécanteursMécanique</v>
          </cell>
        </row>
        <row r="103">
          <cell r="M103" t="str">
            <v>DécanteursMécanique</v>
          </cell>
        </row>
        <row r="104">
          <cell r="M104" t="str">
            <v>DécanteursMécanique</v>
          </cell>
        </row>
        <row r="105">
          <cell r="M105" t="str">
            <v>DécanteursMécanique</v>
          </cell>
        </row>
        <row r="106">
          <cell r="M106" t="str">
            <v>DécanteursMécanique</v>
          </cell>
        </row>
        <row r="107">
          <cell r="M107" t="str">
            <v>DécanteursMécanique</v>
          </cell>
        </row>
        <row r="108">
          <cell r="M108" t="str">
            <v>DécanteursMécanique</v>
          </cell>
        </row>
        <row r="109">
          <cell r="M109" t="str">
            <v>DécanteursElectrique</v>
          </cell>
        </row>
        <row r="110">
          <cell r="M110" t="str">
            <v>DécanteursElectrique</v>
          </cell>
        </row>
        <row r="111">
          <cell r="M111" t="str">
            <v>DécanteursElectrique</v>
          </cell>
        </row>
        <row r="112">
          <cell r="M112" t="str">
            <v>DécanteursElectrique</v>
          </cell>
        </row>
        <row r="113">
          <cell r="M113" t="str">
            <v>DécanteursElectrique</v>
          </cell>
        </row>
        <row r="114">
          <cell r="M114" t="str">
            <v>DécanteursElectrique</v>
          </cell>
        </row>
        <row r="115">
          <cell r="M115" t="str">
            <v>DécanteursElectrique</v>
          </cell>
        </row>
        <row r="116">
          <cell r="M116" t="str">
            <v>DécanteursElectrique</v>
          </cell>
        </row>
        <row r="117">
          <cell r="M117" t="str">
            <v>DécanteursElectrique</v>
          </cell>
        </row>
        <row r="118">
          <cell r="M118" t="str">
            <v>DécanteursElectrique</v>
          </cell>
        </row>
        <row r="119">
          <cell r="M119" t="str">
            <v>DécanteursElectrique</v>
          </cell>
        </row>
        <row r="120">
          <cell r="M120" t="str">
            <v>DécanteursElectrique</v>
          </cell>
        </row>
        <row r="121">
          <cell r="M121" t="str">
            <v>DécanteursElectrique</v>
          </cell>
        </row>
        <row r="122">
          <cell r="M122" t="str">
            <v>DécanteursRégulation</v>
          </cell>
        </row>
        <row r="123">
          <cell r="M123" t="str">
            <v>DécanteursRégulation</v>
          </cell>
        </row>
        <row r="124">
          <cell r="M124" t="str">
            <v>DécanteursRégulation</v>
          </cell>
        </row>
        <row r="125">
          <cell r="M125" t="str">
            <v>DécanteursRégulation</v>
          </cell>
        </row>
        <row r="126">
          <cell r="M126" t="str">
            <v>DécanteursRégulation</v>
          </cell>
        </row>
        <row r="127">
          <cell r="M127" t="str">
            <v>DécanteursRégulation</v>
          </cell>
        </row>
        <row r="128">
          <cell r="M128" t="str">
            <v>DécanteursRégulation</v>
          </cell>
        </row>
        <row r="129">
          <cell r="M129" t="str">
            <v>DécanteursRégulation</v>
          </cell>
        </row>
        <row r="130">
          <cell r="M130" t="str">
            <v>DécanteursRégulation</v>
          </cell>
        </row>
        <row r="131">
          <cell r="M131" t="str">
            <v>DécanteursRégulation</v>
          </cell>
        </row>
        <row r="132">
          <cell r="M132" t="str">
            <v>DécanteursExploitation</v>
          </cell>
        </row>
        <row r="133">
          <cell r="M133" t="str">
            <v>DécanteursExploitation</v>
          </cell>
        </row>
        <row r="134">
          <cell r="M134" t="str">
            <v>DécanteursExploitation</v>
          </cell>
        </row>
        <row r="135">
          <cell r="M135" t="str">
            <v>DécanteursExploitation</v>
          </cell>
        </row>
        <row r="136">
          <cell r="M136" t="str">
            <v>DécanteursExploitation</v>
          </cell>
        </row>
        <row r="137">
          <cell r="M137" t="str">
            <v>DécanteursExploitation</v>
          </cell>
        </row>
        <row r="138">
          <cell r="M138" t="str">
            <v>DécanteursExploitation</v>
          </cell>
        </row>
        <row r="139">
          <cell r="M139" t="str">
            <v>DécanteursExploitation</v>
          </cell>
        </row>
        <row r="140">
          <cell r="M140" t="str">
            <v>BroyeursMécanique</v>
          </cell>
        </row>
        <row r="141">
          <cell r="M141" t="str">
            <v>BroyeursMécanique</v>
          </cell>
        </row>
        <row r="142">
          <cell r="M142" t="str">
            <v>BroyeursMécanique</v>
          </cell>
        </row>
        <row r="143">
          <cell r="M143" t="str">
            <v>BroyeursMécanique</v>
          </cell>
        </row>
        <row r="144">
          <cell r="M144" t="str">
            <v>BroyeursMécanique</v>
          </cell>
        </row>
        <row r="145">
          <cell r="M145" t="str">
            <v>BroyeursMécanique</v>
          </cell>
        </row>
        <row r="146">
          <cell r="M146" t="str">
            <v>BroyeursMécanique</v>
          </cell>
        </row>
        <row r="147">
          <cell r="M147" t="str">
            <v>BroyeursMécanique</v>
          </cell>
        </row>
        <row r="148">
          <cell r="M148" t="str">
            <v>BroyeursElectrique</v>
          </cell>
        </row>
        <row r="149">
          <cell r="M149" t="str">
            <v>BroyeursElectrique</v>
          </cell>
        </row>
        <row r="150">
          <cell r="M150" t="str">
            <v>BroyeursElectrique</v>
          </cell>
        </row>
        <row r="151">
          <cell r="M151" t="str">
            <v>BroyeursElectrique</v>
          </cell>
        </row>
        <row r="152">
          <cell r="M152" t="str">
            <v>BroyeursElectrique</v>
          </cell>
        </row>
        <row r="153">
          <cell r="M153" t="str">
            <v>BroyeursElectrique</v>
          </cell>
        </row>
        <row r="154">
          <cell r="M154" t="str">
            <v>BroyeursElectrique</v>
          </cell>
        </row>
        <row r="155">
          <cell r="M155" t="str">
            <v>BroyeursElectrique</v>
          </cell>
        </row>
        <row r="156">
          <cell r="M156" t="str">
            <v>BroyeursElectrique</v>
          </cell>
        </row>
        <row r="157">
          <cell r="M157" t="str">
            <v>Compresseurs_AdMécanique</v>
          </cell>
        </row>
        <row r="158">
          <cell r="M158" t="str">
            <v>Compresseurs_AdMécanique</v>
          </cell>
        </row>
        <row r="159">
          <cell r="M159" t="str">
            <v>Compresseurs_AdMécanique</v>
          </cell>
        </row>
        <row r="160">
          <cell r="M160" t="str">
            <v>Compresseurs_AdMécanique</v>
          </cell>
        </row>
        <row r="161">
          <cell r="M161" t="str">
            <v>Compresseurs_AdMécanique</v>
          </cell>
        </row>
        <row r="162">
          <cell r="M162" t="str">
            <v>Compresseurs_AdMécanique</v>
          </cell>
        </row>
        <row r="163">
          <cell r="M163" t="str">
            <v>Compresseurs_AdMécanique</v>
          </cell>
        </row>
        <row r="164">
          <cell r="M164" t="str">
            <v>Compresseurs_AdMécanique</v>
          </cell>
        </row>
        <row r="165">
          <cell r="M165" t="str">
            <v>Compresseurs_AdMécanique</v>
          </cell>
        </row>
        <row r="166">
          <cell r="M166" t="str">
            <v>Compresseurs_AdElectrique</v>
          </cell>
        </row>
        <row r="167">
          <cell r="M167" t="str">
            <v>Compresseurs_AdElectrique</v>
          </cell>
        </row>
        <row r="168">
          <cell r="M168" t="str">
            <v>Compresseurs_AdElectrique</v>
          </cell>
        </row>
        <row r="169">
          <cell r="M169" t="str">
            <v>Compresseurs_AdElectrique</v>
          </cell>
        </row>
        <row r="170">
          <cell r="M170" t="str">
            <v>Compresseurs_AdElectrique</v>
          </cell>
        </row>
        <row r="171">
          <cell r="M171" t="str">
            <v>Compresseurs_AdRégulation</v>
          </cell>
        </row>
        <row r="172">
          <cell r="M172" t="str">
            <v>Compresseurs_AdRégulation</v>
          </cell>
        </row>
        <row r="173">
          <cell r="M173" t="str">
            <v>Compresseurs_AdRégulation</v>
          </cell>
        </row>
        <row r="174">
          <cell r="M174" t="str">
            <v>Compresseurs_AdRégulation</v>
          </cell>
        </row>
        <row r="175">
          <cell r="M175" t="str">
            <v>Compresseurs_AdExploitation</v>
          </cell>
        </row>
        <row r="176">
          <cell r="M176" t="str">
            <v>Compresseurs_AdExploitation</v>
          </cell>
        </row>
        <row r="177">
          <cell r="M177" t="str">
            <v>Compresseurs_AdExploitation</v>
          </cell>
        </row>
        <row r="178">
          <cell r="M178" t="str">
            <v>AdaptationMaroc central</v>
          </cell>
        </row>
        <row r="179">
          <cell r="M179" t="str">
            <v>AdaptationMaroc central</v>
          </cell>
        </row>
        <row r="180">
          <cell r="M180" t="str">
            <v>AdaptationMaroc central</v>
          </cell>
        </row>
        <row r="181">
          <cell r="M181" t="str">
            <v>AdaptationExterne</v>
          </cell>
        </row>
        <row r="182">
          <cell r="M182" t="str">
            <v>AdaptationFlux</v>
          </cell>
        </row>
        <row r="183">
          <cell r="M183" t="str">
            <v>AdaptationPipeline</v>
          </cell>
        </row>
        <row r="184">
          <cell r="M184" t="str">
            <v>AdaptationPipeline</v>
          </cell>
        </row>
        <row r="185">
          <cell r="M185" t="str">
            <v>AdaptationPipeline</v>
          </cell>
        </row>
        <row r="186">
          <cell r="M186" t="str">
            <v>AdaptationExploitation</v>
          </cell>
        </row>
        <row r="187">
          <cell r="M187" t="str">
            <v>Adaptationmaintenance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ARRËTS"/>
      <sheetName val="ARRËTS (2)"/>
      <sheetName val="Parametre"/>
      <sheetName val="base"/>
      <sheetName val="QUALITE"/>
      <sheetName val="dest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LITE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/>
      <sheetData sheetId="2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LITE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39997558519241921"/>
    <pageSetUpPr fitToPage="1"/>
  </sheetPr>
  <dimension ref="A1:Z120"/>
  <sheetViews>
    <sheetView showGridLines="0" zoomScale="51" zoomScaleNormal="70" zoomScaleSheetLayoutView="40" workbookViewId="0">
      <selection activeCell="N17" sqref="N17:N27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6" style="4" customWidth="1"/>
    <col min="5" max="5" width="27.125" style="4" bestFit="1" customWidth="1"/>
    <col min="6" max="6" width="19.25" style="4" customWidth="1"/>
    <col min="7" max="7" width="23.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7" width="19.875" style="4" customWidth="1"/>
    <col min="18" max="18" width="22.7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/>
    <row r="2" spans="1:19" ht="34.5" customHeight="1" thickBot="1" x14ac:dyDescent="0.45">
      <c r="B2" s="19"/>
      <c r="C2" s="571"/>
      <c r="D2" s="571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1"/>
      <c r="D3" s="571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2"/>
      <c r="D4" s="572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2"/>
      <c r="D5" s="572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3"/>
      <c r="G6" s="574"/>
      <c r="H6" s="56"/>
      <c r="I6" s="574"/>
      <c r="J6" s="574"/>
      <c r="K6" s="574"/>
      <c r="L6" s="574"/>
      <c r="M6" s="574"/>
      <c r="N6" s="574"/>
      <c r="O6" s="574"/>
      <c r="P6" s="56"/>
      <c r="Q6" s="574"/>
      <c r="R6" s="574"/>
      <c r="S6" s="29"/>
    </row>
    <row r="7" spans="1:19" ht="18.75" customHeight="1" thickBot="1" x14ac:dyDescent="0.25"/>
    <row r="8" spans="1:19" ht="36" customHeight="1" thickBot="1" x14ac:dyDescent="0.25">
      <c r="A8" s="5"/>
      <c r="B8" s="589"/>
      <c r="C8" s="590"/>
      <c r="D8" s="38" t="s">
        <v>0</v>
      </c>
      <c r="E8" s="593" t="s">
        <v>802</v>
      </c>
      <c r="F8" s="593"/>
      <c r="G8" s="593"/>
      <c r="H8" s="593"/>
      <c r="I8" s="593"/>
      <c r="J8" s="593"/>
      <c r="K8" s="593"/>
      <c r="L8" s="593"/>
      <c r="M8" s="593"/>
      <c r="N8" s="593"/>
      <c r="O8" s="593"/>
      <c r="P8" s="593"/>
      <c r="Q8" s="593"/>
      <c r="R8" s="593"/>
    </row>
    <row r="9" spans="1:19" ht="38.25" customHeight="1" thickBot="1" x14ac:dyDescent="0.25">
      <c r="A9" s="5"/>
      <c r="B9" s="591"/>
      <c r="C9" s="592"/>
      <c r="D9" s="38" t="s">
        <v>8</v>
      </c>
      <c r="E9" s="594" t="s">
        <v>100</v>
      </c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</row>
    <row r="10" spans="1:19" ht="38.25" customHeight="1" thickBot="1" x14ac:dyDescent="0.25">
      <c r="A10" s="5"/>
      <c r="B10" s="595" t="s">
        <v>99</v>
      </c>
      <c r="C10" s="596"/>
      <c r="D10" s="38" t="s">
        <v>9</v>
      </c>
      <c r="E10" s="500">
        <v>5</v>
      </c>
      <c r="F10" s="594" t="s">
        <v>125</v>
      </c>
      <c r="G10" s="594"/>
      <c r="H10" s="594"/>
      <c r="I10" s="594"/>
      <c r="J10" s="594"/>
      <c r="K10" s="594"/>
      <c r="L10" s="594"/>
      <c r="M10" s="594"/>
      <c r="N10" s="594"/>
      <c r="O10" s="594"/>
      <c r="P10" s="594"/>
      <c r="Q10" s="594"/>
      <c r="R10" s="37" t="s">
        <v>806</v>
      </c>
    </row>
    <row r="11" spans="1:19" ht="26.25" customHeight="1" x14ac:dyDescent="0.45">
      <c r="A11" s="5"/>
      <c r="B11" s="32" t="s">
        <v>530</v>
      </c>
      <c r="C11" s="30"/>
      <c r="D11" s="31"/>
    </row>
    <row r="12" spans="1:19" ht="5.25" customHeight="1" x14ac:dyDescent="0.2"/>
    <row r="13" spans="1:19" ht="24" customHeight="1" x14ac:dyDescent="0.2">
      <c r="B13" s="583" t="s">
        <v>1</v>
      </c>
      <c r="C13" s="583"/>
      <c r="D13" s="583"/>
      <c r="E13" s="583"/>
      <c r="F13" s="583"/>
      <c r="G13" s="583"/>
      <c r="H13" s="583"/>
      <c r="I13" s="583"/>
      <c r="J13" s="583"/>
      <c r="K13" s="583"/>
      <c r="L13" s="583"/>
      <c r="M13" s="583"/>
      <c r="N13" s="583"/>
      <c r="O13" s="583"/>
      <c r="P13" s="583"/>
      <c r="Q13" s="583"/>
      <c r="R13" s="583"/>
    </row>
    <row r="14" spans="1:19" ht="21" customHeight="1" x14ac:dyDescent="0.2">
      <c r="A14" s="6"/>
      <c r="B14" s="583"/>
      <c r="C14" s="583"/>
      <c r="D14" s="583"/>
      <c r="E14" s="583"/>
      <c r="F14" s="583"/>
      <c r="G14" s="583"/>
      <c r="H14" s="583"/>
      <c r="I14" s="583"/>
      <c r="J14" s="583"/>
      <c r="K14" s="583"/>
      <c r="L14" s="583"/>
      <c r="M14" s="583"/>
      <c r="N14" s="583"/>
      <c r="O14" s="583"/>
      <c r="P14" s="583"/>
      <c r="Q14" s="583"/>
      <c r="R14" s="583"/>
    </row>
    <row r="15" spans="1:19" ht="33.75" customHeight="1" thickBot="1" x14ac:dyDescent="0.5">
      <c r="A15" s="7"/>
      <c r="B15" s="166" t="s">
        <v>92</v>
      </c>
      <c r="C15" s="39"/>
      <c r="E15" s="36"/>
      <c r="J15" s="34"/>
      <c r="K15" s="34"/>
      <c r="P15" s="70" t="s">
        <v>44</v>
      </c>
      <c r="Q15" s="584">
        <v>45038</v>
      </c>
      <c r="R15" s="584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5" t="s">
        <v>83</v>
      </c>
      <c r="I16" s="586"/>
      <c r="J16" s="68" t="s">
        <v>540</v>
      </c>
      <c r="K16" s="83" t="s">
        <v>4</v>
      </c>
      <c r="L16" s="68" t="s">
        <v>538</v>
      </c>
      <c r="M16" s="83" t="s">
        <v>16</v>
      </c>
      <c r="N16" s="68" t="s">
        <v>123</v>
      </c>
      <c r="O16" s="83" t="s">
        <v>6</v>
      </c>
      <c r="P16" s="585" t="s">
        <v>17</v>
      </c>
      <c r="Q16" s="587"/>
      <c r="R16" s="588"/>
      <c r="S16" s="41"/>
    </row>
    <row r="17" spans="1:26" s="393" customFormat="1" ht="32.25" customHeight="1" x14ac:dyDescent="0.5">
      <c r="B17" s="400"/>
      <c r="C17" s="398"/>
      <c r="D17" s="442"/>
      <c r="E17" s="442"/>
      <c r="F17" s="488"/>
      <c r="G17" s="399"/>
      <c r="H17" s="577"/>
      <c r="I17" s="578"/>
      <c r="J17" s="401"/>
      <c r="K17" s="405"/>
      <c r="L17" s="406"/>
      <c r="M17" s="402"/>
      <c r="N17" s="504"/>
      <c r="O17" s="505" t="str">
        <f t="shared" ref="O17" si="0">IF(K17=0,"-",K17/M17)</f>
        <v>-</v>
      </c>
      <c r="P17" s="619"/>
      <c r="Q17" s="620"/>
      <c r="R17" s="621"/>
      <c r="S17" s="453"/>
      <c r="X17" s="394"/>
      <c r="Y17" s="394"/>
      <c r="Z17" s="394"/>
    </row>
    <row r="18" spans="1:26" s="165" customFormat="1" ht="32.25" customHeight="1" x14ac:dyDescent="0.5">
      <c r="B18" s="189"/>
      <c r="C18" s="279"/>
      <c r="D18" s="191"/>
      <c r="E18" s="191"/>
      <c r="F18" s="289"/>
      <c r="G18" s="193"/>
      <c r="H18" s="575"/>
      <c r="I18" s="576"/>
      <c r="J18" s="178"/>
      <c r="K18" s="177">
        <f t="shared" ref="K18:K54" si="1">IF(AND(H18=H17,J18-J17&lt;3000,J18-J17&gt;0),J18-J17,0)</f>
        <v>0</v>
      </c>
      <c r="L18" s="194"/>
      <c r="M18" s="194">
        <f t="shared" ref="M18:M55" si="2">IF(AND(H18=H17,L18-L17&lt;1.1,L18-L17&gt;0),L18-L17,0)</f>
        <v>0</v>
      </c>
      <c r="N18" s="182"/>
      <c r="O18" s="216" t="str">
        <f t="shared" ref="O18:O55" si="3">IF(K18=0,"-",K18/M18)</f>
        <v>-</v>
      </c>
      <c r="P18" s="260"/>
      <c r="Q18" s="545"/>
      <c r="R18" s="546"/>
      <c r="S18" s="75"/>
      <c r="X18" s="75"/>
      <c r="Y18" s="76"/>
      <c r="Z18" s="77"/>
    </row>
    <row r="19" spans="1:26" s="165" customFormat="1" ht="32.25" customHeight="1" x14ac:dyDescent="0.5">
      <c r="B19" s="400"/>
      <c r="C19" s="398"/>
      <c r="D19" s="442"/>
      <c r="E19" s="442"/>
      <c r="F19" s="488"/>
      <c r="G19" s="399"/>
      <c r="H19" s="577"/>
      <c r="I19" s="578"/>
      <c r="J19" s="489"/>
      <c r="K19" s="405"/>
      <c r="L19" s="402"/>
      <c r="M19" s="402"/>
      <c r="N19" s="504"/>
      <c r="O19" s="443" t="str">
        <f t="shared" si="3"/>
        <v>-</v>
      </c>
      <c r="P19" s="490"/>
      <c r="Q19" s="540"/>
      <c r="R19" s="541"/>
      <c r="S19" s="75"/>
      <c r="X19" s="75"/>
      <c r="Y19" s="76"/>
      <c r="Z19" s="77"/>
    </row>
    <row r="20" spans="1:26" s="165" customFormat="1" ht="32.25" customHeight="1" x14ac:dyDescent="0.5">
      <c r="B20" s="189"/>
      <c r="C20" s="279"/>
      <c r="D20" s="191"/>
      <c r="E20" s="191"/>
      <c r="F20" s="289"/>
      <c r="G20" s="193"/>
      <c r="H20" s="575"/>
      <c r="I20" s="576"/>
      <c r="J20" s="178"/>
      <c r="K20" s="177">
        <f t="shared" si="1"/>
        <v>0</v>
      </c>
      <c r="L20" s="187"/>
      <c r="M20" s="194">
        <f t="shared" si="2"/>
        <v>0</v>
      </c>
      <c r="N20" s="182"/>
      <c r="O20" s="216" t="str">
        <f t="shared" si="3"/>
        <v>-</v>
      </c>
      <c r="P20" s="327"/>
      <c r="Q20" s="545"/>
      <c r="R20" s="546"/>
      <c r="S20" s="75"/>
      <c r="X20" s="75"/>
      <c r="Y20" s="76"/>
      <c r="Z20" s="77"/>
    </row>
    <row r="21" spans="1:26" s="165" customFormat="1" ht="32.25" customHeight="1" x14ac:dyDescent="0.5">
      <c r="B21" s="189"/>
      <c r="C21" s="279"/>
      <c r="D21" s="191"/>
      <c r="E21" s="191"/>
      <c r="F21" s="289"/>
      <c r="G21" s="193"/>
      <c r="H21" s="575"/>
      <c r="I21" s="576"/>
      <c r="J21" s="178"/>
      <c r="K21" s="177">
        <f t="shared" si="1"/>
        <v>0</v>
      </c>
      <c r="L21" s="187"/>
      <c r="M21" s="194">
        <f t="shared" si="2"/>
        <v>0</v>
      </c>
      <c r="N21" s="182"/>
      <c r="O21" s="216" t="str">
        <f t="shared" si="3"/>
        <v>-</v>
      </c>
      <c r="P21" s="411"/>
      <c r="Q21" s="412"/>
      <c r="R21" s="413"/>
      <c r="S21" s="75"/>
      <c r="X21" s="75"/>
      <c r="Y21" s="76"/>
      <c r="Z21" s="77"/>
    </row>
    <row r="22" spans="1:26" s="165" customFormat="1" ht="32.25" customHeight="1" x14ac:dyDescent="0.5">
      <c r="B22" s="189"/>
      <c r="C22" s="279"/>
      <c r="D22" s="191"/>
      <c r="E22" s="191"/>
      <c r="F22" s="289"/>
      <c r="G22" s="193"/>
      <c r="H22" s="575"/>
      <c r="I22" s="576"/>
      <c r="J22" s="184"/>
      <c r="K22" s="177">
        <f t="shared" si="1"/>
        <v>0</v>
      </c>
      <c r="L22" s="187"/>
      <c r="M22" s="194">
        <f t="shared" si="2"/>
        <v>0</v>
      </c>
      <c r="N22" s="182"/>
      <c r="O22" s="216" t="str">
        <f t="shared" si="3"/>
        <v>-</v>
      </c>
      <c r="P22" s="327"/>
      <c r="Q22" s="598"/>
      <c r="R22" s="597"/>
      <c r="S22" s="75"/>
      <c r="X22" s="75"/>
      <c r="Y22" s="76"/>
      <c r="Z22" s="77"/>
    </row>
    <row r="23" spans="1:26" s="165" customFormat="1" ht="32.25" customHeight="1" x14ac:dyDescent="0.5">
      <c r="A23" s="271"/>
      <c r="B23" s="189"/>
      <c r="C23" s="279"/>
      <c r="D23" s="191"/>
      <c r="E23" s="191"/>
      <c r="F23" s="289"/>
      <c r="G23" s="193"/>
      <c r="H23" s="575"/>
      <c r="I23" s="576"/>
      <c r="J23" s="178"/>
      <c r="K23" s="177">
        <f t="shared" si="1"/>
        <v>0</v>
      </c>
      <c r="L23" s="187"/>
      <c r="M23" s="194">
        <f t="shared" si="2"/>
        <v>0</v>
      </c>
      <c r="N23" s="182"/>
      <c r="O23" s="216" t="str">
        <f t="shared" si="3"/>
        <v>-</v>
      </c>
      <c r="P23" s="327"/>
      <c r="Q23" s="545"/>
      <c r="R23" s="546"/>
      <c r="S23" s="75"/>
      <c r="X23" s="75"/>
      <c r="Y23" s="76"/>
      <c r="Z23" s="77"/>
    </row>
    <row r="24" spans="1:26" s="310" customFormat="1" ht="32.25" customHeight="1" x14ac:dyDescent="0.5">
      <c r="B24" s="189"/>
      <c r="C24" s="279"/>
      <c r="D24" s="191"/>
      <c r="E24" s="191"/>
      <c r="F24" s="289"/>
      <c r="G24" s="304"/>
      <c r="H24" s="575"/>
      <c r="I24" s="576"/>
      <c r="J24" s="178"/>
      <c r="K24" s="177">
        <f t="shared" si="1"/>
        <v>0</v>
      </c>
      <c r="L24" s="187"/>
      <c r="M24" s="194">
        <f t="shared" si="2"/>
        <v>0</v>
      </c>
      <c r="N24" s="182"/>
      <c r="O24" s="216" t="str">
        <f t="shared" si="3"/>
        <v>-</v>
      </c>
      <c r="P24" s="291"/>
      <c r="Q24" s="545"/>
      <c r="R24" s="546"/>
      <c r="S24" s="309"/>
      <c r="X24" s="309"/>
      <c r="Y24" s="311"/>
      <c r="Z24" s="312"/>
    </row>
    <row r="25" spans="1:26" s="165" customFormat="1" ht="32.25" customHeight="1" x14ac:dyDescent="0.5">
      <c r="B25" s="189"/>
      <c r="C25" s="279"/>
      <c r="D25" s="191"/>
      <c r="E25" s="191"/>
      <c r="F25" s="289"/>
      <c r="G25" s="272"/>
      <c r="H25" s="575"/>
      <c r="I25" s="576"/>
      <c r="J25" s="178"/>
      <c r="K25" s="177">
        <f t="shared" si="1"/>
        <v>0</v>
      </c>
      <c r="L25" s="187"/>
      <c r="M25" s="194">
        <f t="shared" si="2"/>
        <v>0</v>
      </c>
      <c r="N25" s="182"/>
      <c r="O25" s="216" t="str">
        <f t="shared" si="3"/>
        <v>-</v>
      </c>
      <c r="P25" s="260"/>
      <c r="Q25" s="545"/>
      <c r="R25" s="546"/>
      <c r="S25" s="75"/>
      <c r="X25" s="75"/>
      <c r="Y25" s="76"/>
      <c r="Z25" s="77"/>
    </row>
    <row r="26" spans="1:26" s="271" customFormat="1" ht="32.25" customHeight="1" x14ac:dyDescent="0.5">
      <c r="B26" s="189"/>
      <c r="C26" s="279"/>
      <c r="D26" s="191"/>
      <c r="E26" s="191"/>
      <c r="F26" s="289"/>
      <c r="G26" s="304"/>
      <c r="H26" s="575"/>
      <c r="I26" s="576"/>
      <c r="J26" s="184"/>
      <c r="K26" s="177">
        <f t="shared" si="1"/>
        <v>0</v>
      </c>
      <c r="L26" s="366"/>
      <c r="M26" s="194">
        <f t="shared" si="2"/>
        <v>0</v>
      </c>
      <c r="N26" s="182"/>
      <c r="O26" s="216" t="str">
        <f t="shared" si="3"/>
        <v>-</v>
      </c>
      <c r="P26" s="327"/>
      <c r="Q26" s="544"/>
      <c r="R26" s="597"/>
      <c r="S26" s="332"/>
      <c r="X26" s="332"/>
      <c r="Y26" s="333"/>
      <c r="Z26" s="334"/>
    </row>
    <row r="27" spans="1:26" s="165" customFormat="1" ht="32.25" customHeight="1" x14ac:dyDescent="0.5">
      <c r="B27" s="189"/>
      <c r="C27" s="279"/>
      <c r="D27" s="191"/>
      <c r="E27" s="191"/>
      <c r="F27" s="289"/>
      <c r="G27" s="304"/>
      <c r="H27" s="575"/>
      <c r="I27" s="576"/>
      <c r="J27" s="374"/>
      <c r="K27" s="177">
        <f t="shared" si="1"/>
        <v>0</v>
      </c>
      <c r="L27" s="358"/>
      <c r="M27" s="194">
        <f t="shared" si="2"/>
        <v>0</v>
      </c>
      <c r="N27" s="375"/>
      <c r="O27" s="301" t="str">
        <f t="shared" si="3"/>
        <v>-</v>
      </c>
      <c r="P27" s="291"/>
      <c r="Q27" s="544"/>
      <c r="R27" s="543"/>
      <c r="S27" s="75"/>
      <c r="X27" s="75"/>
      <c r="Y27" s="76"/>
      <c r="Z27" s="77"/>
    </row>
    <row r="28" spans="1:26" s="165" customFormat="1" ht="32.25" customHeight="1" x14ac:dyDescent="0.5">
      <c r="B28" s="400"/>
      <c r="C28" s="398"/>
      <c r="D28" s="442"/>
      <c r="E28" s="442"/>
      <c r="F28" s="488"/>
      <c r="G28" s="399"/>
      <c r="H28" s="577"/>
      <c r="I28" s="578"/>
      <c r="J28" s="489"/>
      <c r="K28" s="405">
        <f t="shared" si="1"/>
        <v>0</v>
      </c>
      <c r="L28" s="451"/>
      <c r="M28" s="402">
        <f t="shared" si="2"/>
        <v>0</v>
      </c>
      <c r="N28" s="504"/>
      <c r="O28" s="443" t="str">
        <f t="shared" si="3"/>
        <v>-</v>
      </c>
      <c r="P28" s="514"/>
      <c r="Q28" s="414"/>
      <c r="R28" s="415"/>
      <c r="S28" s="75"/>
      <c r="X28" s="75"/>
      <c r="Y28" s="76"/>
      <c r="Z28" s="77"/>
    </row>
    <row r="29" spans="1:26" ht="32.25" customHeight="1" x14ac:dyDescent="0.5">
      <c r="A29" s="165"/>
      <c r="B29" s="189"/>
      <c r="C29" s="279"/>
      <c r="D29" s="191"/>
      <c r="E29" s="191"/>
      <c r="F29" s="289"/>
      <c r="G29" s="272"/>
      <c r="H29" s="575"/>
      <c r="I29" s="576"/>
      <c r="J29" s="281"/>
      <c r="K29" s="287">
        <f t="shared" si="1"/>
        <v>0</v>
      </c>
      <c r="L29" s="290"/>
      <c r="M29" s="288">
        <f>IF(AND(H29=H28,L29-L28&lt;1.1,L29-L28&gt;0),L29-L28,0)</f>
        <v>0</v>
      </c>
      <c r="N29" s="375"/>
      <c r="O29" s="216" t="str">
        <f t="shared" si="3"/>
        <v>-</v>
      </c>
      <c r="P29" s="327"/>
      <c r="Q29" s="544"/>
      <c r="R29" s="543"/>
      <c r="S29" s="9"/>
      <c r="X29" s="75"/>
      <c r="Y29" s="76"/>
      <c r="Z29" s="77"/>
    </row>
    <row r="30" spans="1:26" s="165" customFormat="1" ht="32.25" customHeight="1" x14ac:dyDescent="0.5">
      <c r="B30" s="189"/>
      <c r="C30" s="279"/>
      <c r="D30" s="191"/>
      <c r="E30" s="191"/>
      <c r="F30" s="289"/>
      <c r="G30" s="272"/>
      <c r="H30" s="575"/>
      <c r="I30" s="576"/>
      <c r="J30" s="281"/>
      <c r="K30" s="287">
        <f t="shared" si="1"/>
        <v>0</v>
      </c>
      <c r="L30" s="290"/>
      <c r="M30" s="288">
        <f>IF(AND(H30=H29,L30-L29&lt;1.1,L30-L29&gt;0),L30-L29,0)</f>
        <v>0</v>
      </c>
      <c r="N30" s="375"/>
      <c r="O30" s="216" t="str">
        <f t="shared" si="3"/>
        <v>-</v>
      </c>
      <c r="P30" s="260"/>
      <c r="Q30" s="544"/>
      <c r="R30" s="543"/>
      <c r="S30" s="75"/>
      <c r="X30" s="75"/>
      <c r="Y30" s="76"/>
      <c r="Z30" s="77"/>
    </row>
    <row r="31" spans="1:26" ht="32.25" customHeight="1" x14ac:dyDescent="0.5">
      <c r="B31" s="189"/>
      <c r="C31" s="279"/>
      <c r="D31" s="191"/>
      <c r="E31" s="191"/>
      <c r="F31" s="289"/>
      <c r="G31" s="193"/>
      <c r="H31" s="575"/>
      <c r="I31" s="576"/>
      <c r="J31" s="281"/>
      <c r="K31" s="287">
        <f t="shared" si="1"/>
        <v>0</v>
      </c>
      <c r="L31" s="290"/>
      <c r="M31" s="288">
        <f>IF(AND(H31=H30,L31-L30&lt;1.1,L31-L30&gt;0),L31-L30,0)</f>
        <v>0</v>
      </c>
      <c r="N31" s="375"/>
      <c r="O31" s="216" t="str">
        <f t="shared" si="3"/>
        <v>-</v>
      </c>
      <c r="P31" s="260"/>
      <c r="Q31" s="544"/>
      <c r="R31" s="543"/>
      <c r="S31" s="9"/>
      <c r="X31" s="75"/>
      <c r="Y31" s="76"/>
      <c r="Z31" s="77"/>
    </row>
    <row r="32" spans="1:26" ht="32.25" customHeight="1" x14ac:dyDescent="0.5">
      <c r="B32" s="189"/>
      <c r="C32" s="279"/>
      <c r="D32" s="191"/>
      <c r="E32" s="191"/>
      <c r="F32" s="289"/>
      <c r="G32" s="272"/>
      <c r="H32" s="575"/>
      <c r="I32" s="576"/>
      <c r="J32" s="374"/>
      <c r="K32" s="287">
        <f t="shared" si="1"/>
        <v>0</v>
      </c>
      <c r="L32" s="290"/>
      <c r="M32" s="288">
        <f>IF(AND(H32=H31,L32-L31&lt;1.1,L32-L31&gt;0),L32-L31,0)</f>
        <v>0</v>
      </c>
      <c r="N32" s="375"/>
      <c r="O32" s="216" t="str">
        <f t="shared" si="3"/>
        <v>-</v>
      </c>
      <c r="P32" s="327"/>
      <c r="Q32" s="598"/>
      <c r="R32" s="597"/>
      <c r="S32" s="9"/>
      <c r="X32" s="75"/>
      <c r="Y32" s="76"/>
      <c r="Z32" s="77"/>
    </row>
    <row r="33" spans="1:26" ht="32.25" customHeight="1" x14ac:dyDescent="0.5">
      <c r="B33" s="400"/>
      <c r="C33" s="398"/>
      <c r="D33" s="442"/>
      <c r="E33" s="442"/>
      <c r="F33" s="488"/>
      <c r="G33" s="399"/>
      <c r="H33" s="577"/>
      <c r="I33" s="578"/>
      <c r="J33" s="401"/>
      <c r="K33" s="405">
        <f t="shared" si="1"/>
        <v>0</v>
      </c>
      <c r="L33" s="406"/>
      <c r="M33" s="402">
        <f t="shared" si="2"/>
        <v>0</v>
      </c>
      <c r="N33" s="504"/>
      <c r="O33" s="443" t="str">
        <f t="shared" si="3"/>
        <v>-</v>
      </c>
      <c r="P33" s="260"/>
      <c r="Q33" s="545"/>
      <c r="R33" s="546"/>
      <c r="S33" s="9"/>
      <c r="X33" s="75"/>
      <c r="Y33" s="76"/>
      <c r="Z33" s="77"/>
    </row>
    <row r="34" spans="1:26" s="46" customFormat="1" ht="32.25" customHeight="1" x14ac:dyDescent="0.5">
      <c r="B34" s="189"/>
      <c r="C34" s="279"/>
      <c r="D34" s="191"/>
      <c r="E34" s="191"/>
      <c r="F34" s="289"/>
      <c r="G34" s="272"/>
      <c r="H34" s="575"/>
      <c r="I34" s="576"/>
      <c r="J34" s="184"/>
      <c r="K34" s="287">
        <f t="shared" si="1"/>
        <v>0</v>
      </c>
      <c r="L34" s="290"/>
      <c r="M34" s="288">
        <f t="shared" si="2"/>
        <v>0</v>
      </c>
      <c r="N34" s="375"/>
      <c r="O34" s="216" t="str">
        <f t="shared" si="3"/>
        <v>-</v>
      </c>
      <c r="P34" s="599"/>
      <c r="Q34" s="600"/>
      <c r="R34" s="601"/>
      <c r="S34" s="45"/>
      <c r="X34" s="75"/>
      <c r="Y34" s="76"/>
      <c r="Z34" s="77"/>
    </row>
    <row r="35" spans="1:26" s="271" customFormat="1" ht="32.25" customHeight="1" x14ac:dyDescent="0.5">
      <c r="B35" s="189"/>
      <c r="C35" s="279"/>
      <c r="D35" s="191"/>
      <c r="E35" s="191"/>
      <c r="F35" s="289"/>
      <c r="G35" s="304"/>
      <c r="H35" s="579"/>
      <c r="I35" s="580"/>
      <c r="J35" s="281"/>
      <c r="K35" s="287">
        <f t="shared" ref="K35" si="4">IF(AND(H35=H34,J35-J34&lt;3000,J35-J34&gt;0),J35-J34,0)</f>
        <v>0</v>
      </c>
      <c r="L35" s="290"/>
      <c r="M35" s="288">
        <f t="shared" si="2"/>
        <v>0</v>
      </c>
      <c r="N35" s="375"/>
      <c r="O35" s="216" t="str">
        <f t="shared" si="3"/>
        <v>-</v>
      </c>
      <c r="P35" s="602"/>
      <c r="Q35" s="603"/>
      <c r="R35" s="604"/>
      <c r="S35" s="332"/>
      <c r="X35" s="332"/>
      <c r="Y35" s="333"/>
      <c r="Z35" s="334"/>
    </row>
    <row r="36" spans="1:26" ht="32.25" customHeight="1" x14ac:dyDescent="0.5">
      <c r="A36" s="271"/>
      <c r="B36" s="189"/>
      <c r="C36" s="279"/>
      <c r="D36" s="191"/>
      <c r="E36" s="191"/>
      <c r="F36" s="289"/>
      <c r="G36" s="193"/>
      <c r="H36" s="575"/>
      <c r="I36" s="576"/>
      <c r="J36" s="184"/>
      <c r="K36" s="287">
        <f>IF(AND(H36=H35,J36-J35&lt;3000,J36-J35&gt;0),J36-J35,0)</f>
        <v>0</v>
      </c>
      <c r="L36" s="290"/>
      <c r="M36" s="288">
        <f t="shared" si="2"/>
        <v>0</v>
      </c>
      <c r="N36" s="375"/>
      <c r="O36" s="216" t="str">
        <f t="shared" si="3"/>
        <v>-</v>
      </c>
      <c r="P36" s="602"/>
      <c r="Q36" s="603"/>
      <c r="R36" s="604"/>
      <c r="S36" s="9"/>
      <c r="X36" s="75"/>
      <c r="Y36" s="76"/>
      <c r="Z36" s="77"/>
    </row>
    <row r="37" spans="1:26" ht="32.25" customHeight="1" x14ac:dyDescent="0.5">
      <c r="A37" s="165"/>
      <c r="B37" s="189"/>
      <c r="C37" s="279"/>
      <c r="D37" s="191"/>
      <c r="E37" s="191"/>
      <c r="F37" s="289"/>
      <c r="G37" s="193"/>
      <c r="H37" s="579"/>
      <c r="I37" s="580"/>
      <c r="J37" s="184"/>
      <c r="K37" s="287">
        <f t="shared" si="1"/>
        <v>0</v>
      </c>
      <c r="L37" s="290"/>
      <c r="M37" s="288">
        <f t="shared" si="2"/>
        <v>0</v>
      </c>
      <c r="N37" s="185"/>
      <c r="O37" s="216" t="str">
        <f t="shared" si="3"/>
        <v>-</v>
      </c>
      <c r="P37" s="260"/>
      <c r="Q37" s="545"/>
      <c r="R37" s="546"/>
      <c r="S37" s="9"/>
      <c r="X37" s="75"/>
      <c r="Y37" s="76"/>
      <c r="Z37" s="77"/>
    </row>
    <row r="38" spans="1:26" ht="32.25" customHeight="1" x14ac:dyDescent="0.5">
      <c r="A38" s="296"/>
      <c r="B38" s="189"/>
      <c r="C38" s="279"/>
      <c r="D38" s="191"/>
      <c r="E38" s="191"/>
      <c r="F38" s="289"/>
      <c r="G38" s="193"/>
      <c r="H38" s="579"/>
      <c r="I38" s="580"/>
      <c r="J38" s="184"/>
      <c r="K38" s="287">
        <f t="shared" si="1"/>
        <v>0</v>
      </c>
      <c r="L38" s="290"/>
      <c r="M38" s="288">
        <f t="shared" si="2"/>
        <v>0</v>
      </c>
      <c r="N38" s="185"/>
      <c r="O38" s="216" t="str">
        <f t="shared" si="3"/>
        <v>-</v>
      </c>
      <c r="P38" s="260"/>
      <c r="Q38" s="545"/>
      <c r="R38" s="546"/>
      <c r="S38" s="9"/>
      <c r="X38" s="75"/>
      <c r="Y38" s="76"/>
      <c r="Z38" s="77"/>
    </row>
    <row r="39" spans="1:26" ht="32.25" customHeight="1" x14ac:dyDescent="0.5">
      <c r="B39" s="189"/>
      <c r="C39" s="279"/>
      <c r="D39" s="191"/>
      <c r="E39" s="191"/>
      <c r="F39" s="289"/>
      <c r="G39" s="193"/>
      <c r="H39" s="579"/>
      <c r="I39" s="580"/>
      <c r="J39" s="418"/>
      <c r="K39" s="287">
        <f t="shared" si="1"/>
        <v>0</v>
      </c>
      <c r="L39" s="290"/>
      <c r="M39" s="288">
        <f t="shared" si="2"/>
        <v>0</v>
      </c>
      <c r="N39" s="423"/>
      <c r="O39" s="326" t="str">
        <f t="shared" si="3"/>
        <v>-</v>
      </c>
      <c r="P39" s="260"/>
      <c r="Q39" s="545"/>
      <c r="R39" s="546"/>
      <c r="S39" s="9"/>
      <c r="X39" s="75"/>
      <c r="Y39" s="76"/>
      <c r="Z39" s="77"/>
    </row>
    <row r="40" spans="1:26" s="247" customFormat="1" ht="32.25" customHeight="1" x14ac:dyDescent="0.5">
      <c r="B40" s="189"/>
      <c r="C40" s="279"/>
      <c r="D40" s="191"/>
      <c r="E40" s="191"/>
      <c r="F40" s="289"/>
      <c r="G40" s="441"/>
      <c r="H40" s="579"/>
      <c r="I40" s="580"/>
      <c r="J40" s="184"/>
      <c r="K40" s="287">
        <f>IF(AND(H40=H39,J40-J39&lt;3000,J40-J39&gt;0),J40-J39,0)</f>
        <v>0</v>
      </c>
      <c r="L40" s="290"/>
      <c r="M40" s="288">
        <f t="shared" si="2"/>
        <v>0</v>
      </c>
      <c r="N40" s="185"/>
      <c r="O40" s="216" t="str">
        <f t="shared" si="3"/>
        <v>-</v>
      </c>
      <c r="P40" s="260"/>
      <c r="Q40" s="545"/>
      <c r="R40" s="546"/>
      <c r="S40" s="246"/>
      <c r="X40" s="246"/>
      <c r="Y40" s="248"/>
      <c r="Z40" s="249"/>
    </row>
    <row r="41" spans="1:26" s="247" customFormat="1" ht="32.25" customHeight="1" x14ac:dyDescent="0.5">
      <c r="B41" s="189"/>
      <c r="C41" s="190"/>
      <c r="D41" s="231"/>
      <c r="E41" s="231"/>
      <c r="F41" s="192"/>
      <c r="G41" s="441"/>
      <c r="H41" s="581"/>
      <c r="I41" s="582"/>
      <c r="J41" s="184"/>
      <c r="K41" s="287">
        <f t="shared" si="1"/>
        <v>0</v>
      </c>
      <c r="L41" s="290"/>
      <c r="M41" s="288">
        <f t="shared" si="2"/>
        <v>0</v>
      </c>
      <c r="N41" s="185"/>
      <c r="O41" s="216" t="str">
        <f t="shared" si="3"/>
        <v>-</v>
      </c>
      <c r="P41" s="260"/>
      <c r="Q41" s="545"/>
      <c r="R41" s="546"/>
      <c r="S41" s="246"/>
      <c r="X41" s="246"/>
      <c r="Y41" s="248"/>
      <c r="Z41" s="249"/>
    </row>
    <row r="42" spans="1:26" ht="32.25" customHeight="1" x14ac:dyDescent="0.5">
      <c r="B42" s="189"/>
      <c r="C42" s="190"/>
      <c r="D42" s="231"/>
      <c r="E42" s="231"/>
      <c r="F42" s="192"/>
      <c r="G42" s="441"/>
      <c r="H42" s="581"/>
      <c r="I42" s="582"/>
      <c r="J42" s="184"/>
      <c r="K42" s="287">
        <f t="shared" si="1"/>
        <v>0</v>
      </c>
      <c r="L42" s="290"/>
      <c r="M42" s="288">
        <f t="shared" si="2"/>
        <v>0</v>
      </c>
      <c r="N42" s="185"/>
      <c r="O42" s="216" t="str">
        <f t="shared" si="3"/>
        <v>-</v>
      </c>
      <c r="P42" s="260"/>
      <c r="Q42" s="545"/>
      <c r="R42" s="546"/>
      <c r="S42" s="9"/>
      <c r="X42" s="75"/>
      <c r="Y42" s="76"/>
      <c r="Z42" s="77"/>
    </row>
    <row r="43" spans="1:26" ht="32.25" customHeight="1" x14ac:dyDescent="0.5">
      <c r="B43" s="189"/>
      <c r="C43" s="190"/>
      <c r="D43" s="231"/>
      <c r="E43" s="231"/>
      <c r="F43" s="192"/>
      <c r="G43" s="441"/>
      <c r="H43" s="581"/>
      <c r="I43" s="582"/>
      <c r="J43" s="184"/>
      <c r="K43" s="287">
        <f t="shared" si="1"/>
        <v>0</v>
      </c>
      <c r="L43" s="290"/>
      <c r="M43" s="288">
        <f t="shared" si="2"/>
        <v>0</v>
      </c>
      <c r="N43" s="185"/>
      <c r="O43" s="216" t="str">
        <f t="shared" si="3"/>
        <v>-</v>
      </c>
      <c r="P43" s="260"/>
      <c r="Q43" s="545"/>
      <c r="R43" s="546"/>
      <c r="S43" s="9"/>
      <c r="X43" s="75"/>
      <c r="Y43" s="76"/>
      <c r="Z43" s="77"/>
    </row>
    <row r="44" spans="1:26" ht="32.25" customHeight="1" x14ac:dyDescent="0.5">
      <c r="B44" s="189"/>
      <c r="C44" s="190"/>
      <c r="D44" s="231"/>
      <c r="E44" s="231"/>
      <c r="F44" s="192"/>
      <c r="G44" s="441"/>
      <c r="H44" s="581"/>
      <c r="I44" s="582"/>
      <c r="J44" s="184"/>
      <c r="K44" s="287">
        <f t="shared" si="1"/>
        <v>0</v>
      </c>
      <c r="L44" s="290"/>
      <c r="M44" s="288">
        <f t="shared" si="2"/>
        <v>0</v>
      </c>
      <c r="N44" s="185"/>
      <c r="O44" s="216" t="str">
        <f t="shared" si="3"/>
        <v>-</v>
      </c>
      <c r="P44" s="260"/>
      <c r="Q44" s="545"/>
      <c r="R44" s="546"/>
      <c r="S44" s="9"/>
      <c r="X44" s="75"/>
      <c r="Y44" s="76"/>
      <c r="Z44" s="77"/>
    </row>
    <row r="45" spans="1:26" ht="32.25" customHeight="1" x14ac:dyDescent="0.5">
      <c r="B45" s="189"/>
      <c r="C45" s="190"/>
      <c r="D45" s="231"/>
      <c r="E45" s="231"/>
      <c r="F45" s="192"/>
      <c r="G45" s="295"/>
      <c r="H45" s="581"/>
      <c r="I45" s="582"/>
      <c r="J45" s="184"/>
      <c r="K45" s="287">
        <f t="shared" si="1"/>
        <v>0</v>
      </c>
      <c r="L45" s="290"/>
      <c r="M45" s="288">
        <f t="shared" si="2"/>
        <v>0</v>
      </c>
      <c r="N45" s="185"/>
      <c r="O45" s="216" t="str">
        <f t="shared" si="3"/>
        <v>-</v>
      </c>
      <c r="P45" s="318"/>
      <c r="Q45" s="610"/>
      <c r="R45" s="611"/>
      <c r="S45" s="9"/>
      <c r="X45" s="75"/>
      <c r="Y45" s="76"/>
      <c r="Z45" s="77"/>
    </row>
    <row r="46" spans="1:26" ht="32.25" customHeight="1" x14ac:dyDescent="0.5">
      <c r="B46" s="189"/>
      <c r="C46" s="190"/>
      <c r="D46" s="231"/>
      <c r="E46" s="231"/>
      <c r="F46" s="143"/>
      <c r="G46" s="295"/>
      <c r="H46" s="581"/>
      <c r="I46" s="582"/>
      <c r="J46" s="184"/>
      <c r="K46" s="287">
        <f t="shared" si="1"/>
        <v>0</v>
      </c>
      <c r="L46" s="290"/>
      <c r="M46" s="288">
        <f t="shared" si="2"/>
        <v>0</v>
      </c>
      <c r="N46" s="185"/>
      <c r="O46" s="216" t="str">
        <f t="shared" si="3"/>
        <v>-</v>
      </c>
      <c r="P46" s="260"/>
      <c r="Q46" s="545"/>
      <c r="R46" s="546"/>
      <c r="S46" s="9"/>
      <c r="X46" s="75"/>
      <c r="Y46" s="76"/>
      <c r="Z46" s="77"/>
    </row>
    <row r="47" spans="1:26" ht="32.25" customHeight="1" x14ac:dyDescent="0.7">
      <c r="B47" s="199"/>
      <c r="C47" s="200"/>
      <c r="D47" s="201" t="s">
        <v>122</v>
      </c>
      <c r="E47" s="202"/>
      <c r="F47" s="203"/>
      <c r="G47" s="204"/>
      <c r="H47" s="606"/>
      <c r="I47" s="607"/>
      <c r="J47" s="180"/>
      <c r="K47" s="359">
        <f t="shared" si="1"/>
        <v>0</v>
      </c>
      <c r="L47" s="360"/>
      <c r="M47" s="361">
        <f t="shared" si="2"/>
        <v>0</v>
      </c>
      <c r="N47" s="205"/>
      <c r="O47" s="250" t="str">
        <f t="shared" si="3"/>
        <v>-</v>
      </c>
      <c r="P47" s="261"/>
      <c r="Q47" s="608"/>
      <c r="R47" s="609"/>
      <c r="S47" s="9"/>
      <c r="X47" s="75"/>
      <c r="Y47" s="76"/>
      <c r="Z47" s="77"/>
    </row>
    <row r="48" spans="1:26" s="165" customFormat="1" ht="32.25" customHeight="1" x14ac:dyDescent="0.5">
      <c r="B48" s="400"/>
      <c r="C48" s="398"/>
      <c r="D48" s="442"/>
      <c r="E48" s="442"/>
      <c r="F48" s="488"/>
      <c r="G48" s="399"/>
      <c r="H48" s="577"/>
      <c r="I48" s="578"/>
      <c r="J48" s="510"/>
      <c r="K48" s="405"/>
      <c r="L48" s="449"/>
      <c r="M48" s="402"/>
      <c r="N48" s="403"/>
      <c r="O48" s="443" t="str">
        <f t="shared" si="3"/>
        <v>-</v>
      </c>
      <c r="P48" s="490"/>
      <c r="Q48" s="540"/>
      <c r="R48" s="541"/>
      <c r="S48" s="75"/>
      <c r="X48" s="75"/>
      <c r="Y48" s="76"/>
      <c r="Z48" s="77"/>
    </row>
    <row r="49" spans="2:26" ht="32.25" customHeight="1" x14ac:dyDescent="0.5">
      <c r="B49" s="316"/>
      <c r="C49" s="279"/>
      <c r="D49" s="294"/>
      <c r="E49" s="294"/>
      <c r="F49" s="289"/>
      <c r="G49" s="304"/>
      <c r="H49" s="575"/>
      <c r="I49" s="576"/>
      <c r="J49" s="281"/>
      <c r="K49" s="299">
        <f t="shared" si="1"/>
        <v>0</v>
      </c>
      <c r="L49" s="290"/>
      <c r="M49" s="288">
        <f t="shared" si="2"/>
        <v>0</v>
      </c>
      <c r="N49" s="292"/>
      <c r="O49" s="301" t="str">
        <f t="shared" si="3"/>
        <v>-</v>
      </c>
      <c r="P49" s="291"/>
      <c r="Q49" s="542"/>
      <c r="R49" s="543"/>
      <c r="S49" s="9"/>
      <c r="X49" s="75"/>
      <c r="Y49" s="76"/>
      <c r="Z49" s="77"/>
    </row>
    <row r="50" spans="2:26" ht="32.25" customHeight="1" x14ac:dyDescent="0.5">
      <c r="B50" s="316"/>
      <c r="C50" s="279"/>
      <c r="D50" s="294"/>
      <c r="E50" s="294"/>
      <c r="F50" s="289"/>
      <c r="G50" s="304"/>
      <c r="H50" s="575"/>
      <c r="I50" s="576"/>
      <c r="J50" s="281"/>
      <c r="K50" s="299">
        <f t="shared" si="1"/>
        <v>0</v>
      </c>
      <c r="L50" s="290"/>
      <c r="M50" s="288">
        <f t="shared" si="2"/>
        <v>0</v>
      </c>
      <c r="N50" s="292"/>
      <c r="O50" s="301" t="str">
        <f t="shared" si="3"/>
        <v>-</v>
      </c>
      <c r="P50" s="291"/>
      <c r="Q50" s="544"/>
      <c r="R50" s="543"/>
      <c r="S50" s="9"/>
      <c r="X50" s="75"/>
      <c r="Y50" s="76"/>
      <c r="Z50" s="77"/>
    </row>
    <row r="51" spans="2:26" s="271" customFormat="1" ht="32.25" customHeight="1" x14ac:dyDescent="0.5">
      <c r="B51" s="297"/>
      <c r="C51" s="336"/>
      <c r="D51" s="338"/>
      <c r="E51" s="338"/>
      <c r="F51" s="342"/>
      <c r="G51" s="337"/>
      <c r="H51" s="630"/>
      <c r="I51" s="631"/>
      <c r="J51" s="330"/>
      <c r="K51" s="299">
        <f t="shared" si="1"/>
        <v>0</v>
      </c>
      <c r="L51" s="331"/>
      <c r="M51" s="300">
        <f t="shared" si="2"/>
        <v>0</v>
      </c>
      <c r="N51" s="343"/>
      <c r="O51" s="344" t="str">
        <f t="shared" si="3"/>
        <v>-</v>
      </c>
      <c r="P51" s="339"/>
      <c r="Q51" s="340"/>
      <c r="R51" s="345"/>
      <c r="S51" s="332"/>
      <c r="X51" s="332"/>
      <c r="Y51" s="333"/>
      <c r="Z51" s="334"/>
    </row>
    <row r="52" spans="2:26" ht="32.25" customHeight="1" x14ac:dyDescent="0.5">
      <c r="B52" s="322"/>
      <c r="C52" s="323"/>
      <c r="D52" s="270"/>
      <c r="E52" s="270"/>
      <c r="F52" s="324"/>
      <c r="G52" s="272"/>
      <c r="H52" s="632"/>
      <c r="I52" s="633"/>
      <c r="J52" s="325"/>
      <c r="K52" s="287">
        <f>IF(AND(H52=H51,J52-J51&lt;3000,J52-J51&gt;0),J52-J51,0)</f>
        <v>0</v>
      </c>
      <c r="L52" s="290"/>
      <c r="M52" s="288">
        <f>IF(AND(H52=H51,L52-L51&lt;1.1,L52-L51&gt;0),L52-L51,0)</f>
        <v>0</v>
      </c>
      <c r="N52" s="328"/>
      <c r="O52" s="326" t="str">
        <f t="shared" ref="O52" si="5">IF(K52=0,"-",K52/M52)</f>
        <v>-</v>
      </c>
      <c r="P52" s="260"/>
      <c r="Q52" s="320"/>
      <c r="R52" s="321"/>
      <c r="S52" s="9"/>
      <c r="X52" s="75"/>
      <c r="Y52" s="76"/>
      <c r="Z52" s="77"/>
    </row>
    <row r="53" spans="2:26" ht="32.25" customHeight="1" x14ac:dyDescent="0.5">
      <c r="B53" s="189"/>
      <c r="C53" s="190"/>
      <c r="D53" s="231"/>
      <c r="E53" s="231"/>
      <c r="F53" s="143"/>
      <c r="G53" s="193"/>
      <c r="H53" s="634"/>
      <c r="I53" s="635"/>
      <c r="J53" s="184"/>
      <c r="K53" s="287">
        <f t="shared" si="1"/>
        <v>0</v>
      </c>
      <c r="L53" s="290"/>
      <c r="M53" s="288">
        <f t="shared" si="2"/>
        <v>0</v>
      </c>
      <c r="N53" s="185"/>
      <c r="O53" s="216" t="str">
        <f t="shared" si="3"/>
        <v>-</v>
      </c>
      <c r="P53" s="260"/>
      <c r="Q53" s="320"/>
      <c r="R53" s="321"/>
      <c r="S53" s="9"/>
      <c r="X53" s="75"/>
      <c r="Y53" s="76"/>
      <c r="Z53" s="77"/>
    </row>
    <row r="54" spans="2:26" ht="32.25" customHeight="1" x14ac:dyDescent="0.5">
      <c r="B54" s="196"/>
      <c r="C54" s="206"/>
      <c r="D54" s="198"/>
      <c r="E54" s="198"/>
      <c r="F54" s="143"/>
      <c r="G54" s="131"/>
      <c r="H54" s="628"/>
      <c r="I54" s="629"/>
      <c r="J54" s="179"/>
      <c r="K54" s="287">
        <f t="shared" si="1"/>
        <v>0</v>
      </c>
      <c r="L54" s="362"/>
      <c r="M54" s="288">
        <f t="shared" si="2"/>
        <v>0</v>
      </c>
      <c r="N54" s="183"/>
      <c r="O54" s="216" t="str">
        <f t="shared" si="3"/>
        <v>-</v>
      </c>
      <c r="P54" s="260" t="str">
        <f>IF(F54="sc-ba"," SC-BA","")</f>
        <v/>
      </c>
      <c r="Q54" s="545"/>
      <c r="R54" s="546"/>
      <c r="S54" s="9"/>
      <c r="X54" s="75"/>
      <c r="Y54" s="76"/>
      <c r="Z54" s="77"/>
    </row>
    <row r="55" spans="2:26" ht="32.25" customHeight="1" thickBot="1" x14ac:dyDescent="0.55000000000000004">
      <c r="B55" s="207"/>
      <c r="C55" s="133"/>
      <c r="D55" s="208"/>
      <c r="E55" s="208"/>
      <c r="F55" s="209"/>
      <c r="G55" s="210"/>
      <c r="H55" s="557"/>
      <c r="I55" s="558"/>
      <c r="J55" s="181"/>
      <c r="K55" s="363">
        <f>IF(AND(H55=H54,J55-J54&lt;3000,J55-J54&gt;0),J55-J54,0)</f>
        <v>0</v>
      </c>
      <c r="L55" s="364"/>
      <c r="M55" s="365">
        <f t="shared" si="2"/>
        <v>0</v>
      </c>
      <c r="N55" s="213"/>
      <c r="O55" s="355" t="str">
        <f t="shared" si="3"/>
        <v>-</v>
      </c>
      <c r="P55" s="262" t="str">
        <f>IF(F55="sc-ba"," SC-BA","")</f>
        <v/>
      </c>
      <c r="Q55" s="547"/>
      <c r="R55" s="548"/>
      <c r="S55" s="9"/>
      <c r="X55" s="75"/>
      <c r="Y55" s="76"/>
      <c r="Z55" s="77"/>
    </row>
    <row r="56" spans="2:26" ht="17.25" customHeight="1" thickBot="1" x14ac:dyDescent="0.25">
      <c r="H56" s="568"/>
      <c r="I56" s="568"/>
      <c r="X56" s="75"/>
      <c r="Y56" s="76"/>
      <c r="Z56" s="77"/>
    </row>
    <row r="57" spans="2:26" ht="30.4" customHeight="1" thickBot="1" x14ac:dyDescent="0.25">
      <c r="B57" s="569" t="s">
        <v>13</v>
      </c>
      <c r="C57" s="570"/>
      <c r="D57" s="255" t="s">
        <v>3</v>
      </c>
      <c r="E57" s="570" t="s">
        <v>15</v>
      </c>
      <c r="F57" s="570"/>
      <c r="G57" s="570" t="s">
        <v>7</v>
      </c>
      <c r="H57" s="570"/>
      <c r="I57" s="570"/>
      <c r="J57" s="255" t="s">
        <v>5</v>
      </c>
      <c r="K57" s="570" t="s">
        <v>6</v>
      </c>
      <c r="L57" s="627"/>
      <c r="M57" s="57"/>
      <c r="N57" s="57"/>
      <c r="P57" s="82" t="s">
        <v>15</v>
      </c>
      <c r="Q57" s="83" t="s">
        <v>16</v>
      </c>
      <c r="R57" s="84" t="s">
        <v>6</v>
      </c>
      <c r="S57" s="58"/>
      <c r="X57" s="75"/>
      <c r="Y57" s="76"/>
      <c r="Z57" s="77"/>
    </row>
    <row r="58" spans="2:26" ht="32.25" customHeight="1" x14ac:dyDescent="0.5">
      <c r="B58" s="564" t="s">
        <v>34</v>
      </c>
      <c r="C58" s="565"/>
      <c r="D58" s="253" t="s">
        <v>117</v>
      </c>
      <c r="E58" s="563">
        <f>SUMIFS('RPT1'!$K$17:$K$55,'RPT1'!$C$17:$C$55,'RPT1'!B58,'RPT1'!$F$17:$F$55,D58)</f>
        <v>0</v>
      </c>
      <c r="F58" s="563"/>
      <c r="G58" s="563">
        <f>SUMIFS('RPT1'!$D$87:$D$120,'RPT1'!$B$87:$B$120,'RPT1'!D58,'RPT1'!$C$87:$C$120,'RPT1'!B58)*E58</f>
        <v>0</v>
      </c>
      <c r="H58" s="563"/>
      <c r="I58" s="563"/>
      <c r="J58" s="135">
        <f>SUMIFS('RPT1'!$M$17:$M$55,'RPT1'!$C$17:$C$55,'RPT1'!B58,'RPT1'!$F$17:$F$55,D58)</f>
        <v>0</v>
      </c>
      <c r="K58" s="566" t="str">
        <f t="shared" ref="K58:K65" si="6">IF(E58=0,"-",E58/J58)</f>
        <v>-</v>
      </c>
      <c r="L58" s="567"/>
      <c r="M58" s="10"/>
      <c r="N58" s="59" t="s">
        <v>124</v>
      </c>
      <c r="O58" s="64">
        <v>1</v>
      </c>
      <c r="P58" s="168">
        <f>SUMIFS('RPT1'!$K$17:$K$55,'RPT1'!$N$17:$N$55,O58)</f>
        <v>0</v>
      </c>
      <c r="Q58" s="174">
        <f>SUMIFS('RPT1'!$M$17:$M$55,'RPT1'!$N$17:$N$55,O58)</f>
        <v>0</v>
      </c>
      <c r="R58" s="169" t="e">
        <f>P58/Q58</f>
        <v>#DIV/0!</v>
      </c>
      <c r="S58" s="11"/>
      <c r="X58" s="75"/>
      <c r="Y58" s="76"/>
      <c r="Z58" s="77"/>
    </row>
    <row r="59" spans="2:26" ht="32.25" customHeight="1" x14ac:dyDescent="0.5">
      <c r="B59" s="561" t="s">
        <v>36</v>
      </c>
      <c r="C59" s="562"/>
      <c r="D59" s="253" t="s">
        <v>116</v>
      </c>
      <c r="E59" s="563">
        <f>SUMIFS('RPT1'!$K$17:$K$55,'RPT1'!$C$17:$C$55,'RPT1'!B59,'RPT1'!$F$17:$F$55,D59)</f>
        <v>0</v>
      </c>
      <c r="F59" s="563"/>
      <c r="G59" s="563">
        <f>SUMIFS('RPT1'!$D$87:$D$120,'RPT1'!$B$87:$B$120,'RPT1'!D59,'RPT1'!$C$87:$C$120,'RPT1'!B59)*E59</f>
        <v>0</v>
      </c>
      <c r="H59" s="563"/>
      <c r="I59" s="563"/>
      <c r="J59" s="135">
        <f>SUMIFS('RPT1'!$M$17:$M$55,'RPT1'!$C$17:$C$55,'RPT1'!B59,'RPT1'!$F$17:$F$55,D59)</f>
        <v>0</v>
      </c>
      <c r="K59" s="559" t="str">
        <f t="shared" si="6"/>
        <v>-</v>
      </c>
      <c r="L59" s="560"/>
      <c r="M59" s="10"/>
      <c r="N59" s="60" t="s">
        <v>124</v>
      </c>
      <c r="O59" s="65">
        <v>2</v>
      </c>
      <c r="P59" s="170">
        <f>SUMIFS('RPT1'!$K$17:$K$55,'RPT1'!$N$17:$N$55,O59)</f>
        <v>0</v>
      </c>
      <c r="Q59" s="175">
        <f>SUMIFS('RPT1'!$M$17:$M$55,'RPT1'!$N$17:$N$55,O59)</f>
        <v>0</v>
      </c>
      <c r="R59" s="171" t="e">
        <f>P59/Q59</f>
        <v>#DIV/0!</v>
      </c>
      <c r="S59" s="11"/>
      <c r="X59" s="75"/>
      <c r="Y59" s="76"/>
      <c r="Z59" s="77"/>
    </row>
    <row r="60" spans="2:26" ht="32.25" customHeight="1" thickBot="1" x14ac:dyDescent="0.55000000000000004">
      <c r="B60" s="561" t="s">
        <v>33</v>
      </c>
      <c r="C60" s="562"/>
      <c r="D60" s="134" t="s">
        <v>117</v>
      </c>
      <c r="E60" s="563">
        <f>SUMIFS('RPT1'!$K$17:$K$55,'RPT1'!$C$17:$C$55,'RPT1'!B60,'RPT1'!$F$17:$F$55,D60)</f>
        <v>0</v>
      </c>
      <c r="F60" s="563"/>
      <c r="G60" s="563">
        <f>SUMIFS('RPT1'!$D$87:$D$120,'RPT1'!$B$87:$B$120,'RPT1'!D60,'RPT1'!$C$87:$C$120,'RPT1'!B60)*E60</f>
        <v>0</v>
      </c>
      <c r="H60" s="563"/>
      <c r="I60" s="563"/>
      <c r="J60" s="135">
        <f>SUMIFS('RPT1'!$M$17:$M$55,'RPT1'!$C$17:$C$55,'RPT1'!B60,'RPT1'!$F$17:$F$55,D60)</f>
        <v>0</v>
      </c>
      <c r="K60" s="559" t="str">
        <f t="shared" si="6"/>
        <v>-</v>
      </c>
      <c r="L60" s="560"/>
      <c r="M60" s="10"/>
      <c r="N60" s="61" t="s">
        <v>124</v>
      </c>
      <c r="O60" s="66">
        <v>3</v>
      </c>
      <c r="P60" s="172">
        <f>SUMIFS('RPT1'!$K$17:$K$55,'RPT1'!$N$17:$N$55,O60)</f>
        <v>0</v>
      </c>
      <c r="Q60" s="176">
        <f>SUMIFS('RPT1'!$M$17:$M$55,'RPT1'!$N$17:$N$55,O60)</f>
        <v>0</v>
      </c>
      <c r="R60" s="173" t="e">
        <f>P60/Q60</f>
        <v>#DIV/0!</v>
      </c>
      <c r="S60" s="11"/>
    </row>
    <row r="61" spans="2:26" ht="32.25" customHeight="1" x14ac:dyDescent="0.5">
      <c r="B61" s="561"/>
      <c r="C61" s="562"/>
      <c r="D61" s="134"/>
      <c r="E61" s="563">
        <f>SUMIFS('RPT1'!$K$17:$K$55,'RPT1'!$C$17:$C$55,'RPT1'!B61,'RPT1'!$F$17:$F$55,D61)</f>
        <v>0</v>
      </c>
      <c r="F61" s="563"/>
      <c r="G61" s="563">
        <f>SUMIFS('RPT1'!$D$87:$D$120,'RPT1'!$B$87:$B$120,'RPT1'!D61,'RPT1'!$C$87:$C$120,'RPT1'!B61)*E61</f>
        <v>0</v>
      </c>
      <c r="H61" s="563"/>
      <c r="I61" s="563"/>
      <c r="J61" s="135">
        <f>SUMIFS('RPT1'!$M$17:$M$55,'RPT1'!$C$17:$C$55,'RPT1'!B61,'RPT1'!$F$17:$F$55,D61)</f>
        <v>0</v>
      </c>
      <c r="K61" s="559" t="str">
        <f t="shared" si="6"/>
        <v>-</v>
      </c>
      <c r="L61" s="560"/>
      <c r="M61" s="10"/>
      <c r="N61" s="10"/>
      <c r="O61" s="605"/>
      <c r="P61" s="605"/>
      <c r="Q61" s="605"/>
      <c r="R61" s="605"/>
      <c r="S61" s="11"/>
    </row>
    <row r="62" spans="2:26" ht="32.25" customHeight="1" thickBot="1" x14ac:dyDescent="0.55000000000000004">
      <c r="B62" s="561"/>
      <c r="C62" s="562"/>
      <c r="D62" s="134"/>
      <c r="E62" s="563">
        <f>SUMIFS('RPT1'!$K$17:$K$55,'RPT1'!$C$17:$C$55,'RPT1'!B62,'RPT1'!$F$17:$F$55,D62)</f>
        <v>0</v>
      </c>
      <c r="F62" s="563"/>
      <c r="G62" s="563">
        <f>SUMIFS('RPT1'!$D$87:$D$120,'RPT1'!$B$87:$B$120,'RPT1'!D62,'RPT1'!$C$87:$C$120,'RPT1'!B62)*E62</f>
        <v>0</v>
      </c>
      <c r="H62" s="563"/>
      <c r="I62" s="563"/>
      <c r="J62" s="135">
        <f>SUMIFS('RPT1'!$M$17:$M$55,'RPT1'!$C$17:$C$55,'RPT1'!B62,'RPT1'!$F$17:$F$55,D62)</f>
        <v>0</v>
      </c>
      <c r="K62" s="559" t="str">
        <f t="shared" si="6"/>
        <v>-</v>
      </c>
      <c r="L62" s="560"/>
      <c r="M62" s="10"/>
      <c r="N62" s="10"/>
      <c r="O62" s="11"/>
      <c r="P62" s="11"/>
      <c r="Q62" s="11"/>
      <c r="R62" s="11"/>
      <c r="S62" s="11"/>
    </row>
    <row r="63" spans="2:26" ht="32.25" customHeight="1" thickBot="1" x14ac:dyDescent="0.55000000000000004">
      <c r="B63" s="561"/>
      <c r="C63" s="562"/>
      <c r="D63" s="134"/>
      <c r="E63" s="563">
        <f>SUMIFS('RPT1'!$K$17:$K$55,'RPT1'!$C$17:$C$55,'RPT1'!B63,'RPT1'!$F$17:$F$55,D63)</f>
        <v>0</v>
      </c>
      <c r="F63" s="563"/>
      <c r="G63" s="563">
        <f>SUMIFS('RPT1'!$D$87:$D$120,'RPT1'!$B$87:$B$120,'RPT1'!D63,'RPT1'!$C$87:$C$120,'RPT1'!B63)*E63</f>
        <v>0</v>
      </c>
      <c r="H63" s="563"/>
      <c r="I63" s="563"/>
      <c r="J63" s="135">
        <f>SUMIFS('RPT1'!$M$17:$M$55,'RPT1'!$C$17:$C$55,'RPT1'!B63,'RPT1'!$F$17:$F$55,D63)</f>
        <v>0</v>
      </c>
      <c r="K63" s="559" t="str">
        <f t="shared" si="6"/>
        <v>-</v>
      </c>
      <c r="L63" s="560"/>
      <c r="M63" s="10"/>
      <c r="P63" s="128" t="s">
        <v>16</v>
      </c>
      <c r="Q63" s="11"/>
      <c r="R63" s="11"/>
      <c r="S63" s="11"/>
    </row>
    <row r="64" spans="2:26" ht="32.25" customHeight="1" thickBot="1" x14ac:dyDescent="0.55000000000000004">
      <c r="B64" s="561"/>
      <c r="C64" s="562"/>
      <c r="D64" s="134"/>
      <c r="E64" s="563">
        <f>SUMIFS('RPT1'!$K$17:$K$55,'RPT1'!$C$17:$C$55,'RPT1'!B64,'RPT1'!$F$17:$F$55,D64)</f>
        <v>0</v>
      </c>
      <c r="F64" s="563"/>
      <c r="G64" s="563">
        <f>SUMIFS('RPT1'!$D$87:$D$120,'RPT1'!$B$87:$B$120,'RPT1'!D64,'RPT1'!$C$87:$C$120,'RPT1'!B64)*E64</f>
        <v>0</v>
      </c>
      <c r="H64" s="563"/>
      <c r="I64" s="563"/>
      <c r="J64" s="135">
        <f>SUMIFS('RPT1'!$M$17:$M$55,'RPT1'!$C$17:$C$55,'RPT1'!B64,'RPT1'!$F$17:$F$55,D64)</f>
        <v>0</v>
      </c>
      <c r="K64" s="559" t="str">
        <f t="shared" si="6"/>
        <v>-</v>
      </c>
      <c r="L64" s="560"/>
      <c r="M64" s="10"/>
      <c r="N64" s="622" t="s">
        <v>46</v>
      </c>
      <c r="O64" s="623"/>
      <c r="P64" s="376">
        <f>SUMIFS('RPT1'!$M$17:$M$54,'RPT1'!$H$17:$H$54,'RPT1'!N64)</f>
        <v>0</v>
      </c>
      <c r="Q64" s="11"/>
      <c r="R64" s="11"/>
      <c r="S64" s="11"/>
    </row>
    <row r="65" spans="2:19" ht="32.25" customHeight="1" thickBot="1" x14ac:dyDescent="0.55000000000000004">
      <c r="B65" s="624"/>
      <c r="C65" s="625"/>
      <c r="D65" s="136"/>
      <c r="E65" s="626">
        <f>SUMIFS('RPT1'!$K$17:$K$55,'RPT1'!$C$17:$C$55,'RPT1'!B65,'RPT1'!$F$17:$F$55,D65)</f>
        <v>0</v>
      </c>
      <c r="F65" s="626"/>
      <c r="G65" s="626">
        <f>SUMIFS('RPT1'!$D$87:$D$120,'RPT1'!$B$87:$B$120,'RPT1'!D65,'RPT1'!$C$87:$C$120,'RPT1'!B65)*E65</f>
        <v>0</v>
      </c>
      <c r="H65" s="626"/>
      <c r="I65" s="626"/>
      <c r="J65" s="137">
        <f>SUMIFS('RPT1'!$M$17:$M$55,'RPT1'!$C$17:$C$55,'RPT1'!B65,'RPT1'!$F$17:$F$55,D65)</f>
        <v>0</v>
      </c>
      <c r="K65" s="636" t="str">
        <f t="shared" si="6"/>
        <v>-</v>
      </c>
      <c r="L65" s="637"/>
      <c r="N65" s="622" t="s">
        <v>47</v>
      </c>
      <c r="O65" s="623"/>
      <c r="P65" s="376">
        <f>SUMIFS('RPT1'!$M$17:$M$54,'RPT1'!$H$17:$H$54,'RPT1'!N65)</f>
        <v>0</v>
      </c>
      <c r="Q65" s="9"/>
      <c r="R65" s="9"/>
      <c r="S65" s="11"/>
    </row>
    <row r="66" spans="2:19" ht="43.5" customHeight="1" thickBot="1" x14ac:dyDescent="0.25">
      <c r="B66" s="554" t="s">
        <v>753</v>
      </c>
      <c r="C66" s="555"/>
      <c r="D66" s="556"/>
      <c r="E66" s="553">
        <f>SUM(E58:F65)</f>
        <v>0</v>
      </c>
      <c r="F66" s="551"/>
      <c r="G66" s="549">
        <f>SUM(G58:I65)</f>
        <v>0</v>
      </c>
      <c r="H66" s="550"/>
      <c r="I66" s="551"/>
      <c r="J66" s="164">
        <f>SUM(J58:J65)</f>
        <v>0</v>
      </c>
      <c r="K66" s="549" t="e">
        <f>E66/J66</f>
        <v>#DIV/0!</v>
      </c>
      <c r="L66" s="552"/>
      <c r="N66" s="373" t="s">
        <v>753</v>
      </c>
      <c r="O66" s="377"/>
      <c r="P66" s="376">
        <f>SUM(P64:P65)</f>
        <v>0</v>
      </c>
    </row>
    <row r="67" spans="2:19" ht="32.25" customHeight="1" thickBot="1" x14ac:dyDescent="0.25">
      <c r="N67" s="378"/>
      <c r="O67" s="378"/>
      <c r="P67" s="378"/>
    </row>
    <row r="68" spans="2:19" ht="33.6" customHeight="1" thickBot="1" x14ac:dyDescent="0.25">
      <c r="B68" s="616"/>
      <c r="C68" s="617"/>
      <c r="D68" s="130" t="s">
        <v>3</v>
      </c>
      <c r="E68" s="618" t="s">
        <v>15</v>
      </c>
      <c r="F68" s="618"/>
      <c r="G68" s="618" t="s">
        <v>7</v>
      </c>
      <c r="H68" s="618"/>
      <c r="I68" s="618"/>
      <c r="J68" s="130" t="s">
        <v>5</v>
      </c>
      <c r="K68" s="618" t="s">
        <v>6</v>
      </c>
      <c r="L68" s="618"/>
    </row>
    <row r="69" spans="2:19" ht="32.25" customHeight="1" thickBot="1" x14ac:dyDescent="0.25">
      <c r="B69" s="612"/>
      <c r="C69" s="613"/>
      <c r="D69" s="155" t="s">
        <v>116</v>
      </c>
      <c r="E69" s="614">
        <f>SUMIFS('RPT1'!$E$58:$E$65,'RPT1'!$D$58:$D$65,D69)</f>
        <v>0</v>
      </c>
      <c r="F69" s="614"/>
      <c r="G69" s="615">
        <f>SUMIFS('RPT1'!$G$58:$G$65,'RPT1'!$D$58:$D$65,D69)</f>
        <v>0</v>
      </c>
      <c r="H69" s="615"/>
      <c r="I69" s="615"/>
      <c r="J69" s="156">
        <f>SUMIFS('RPT1'!$J$58:$J$65,'RPT1'!$D$58:$D$65,D69)</f>
        <v>0</v>
      </c>
      <c r="K69" s="615" t="str">
        <f>IF(E69=0,"-",E69/J69)</f>
        <v>-</v>
      </c>
      <c r="L69" s="615"/>
      <c r="M69" s="10"/>
      <c r="N69" s="10"/>
      <c r="O69" s="62"/>
      <c r="P69" s="63"/>
      <c r="Q69" s="63"/>
      <c r="R69" s="63"/>
      <c r="S69" s="11"/>
    </row>
    <row r="70" spans="2:19" ht="32.25" customHeight="1" thickBot="1" x14ac:dyDescent="0.25">
      <c r="B70" s="612"/>
      <c r="C70" s="613"/>
      <c r="D70" s="155" t="s">
        <v>117</v>
      </c>
      <c r="E70" s="614">
        <f>SUMIFS('RPT1'!$E$58:$E$65,'RPT1'!$D$58:$D$65,D70)</f>
        <v>0</v>
      </c>
      <c r="F70" s="614"/>
      <c r="G70" s="615">
        <f>SUMIFS('RPT1'!$G$58:$G$65,'RPT1'!$D$58:$D$65,D70)</f>
        <v>0</v>
      </c>
      <c r="H70" s="615"/>
      <c r="I70" s="615"/>
      <c r="J70" s="156">
        <f>SUMIFS('RPT1'!$J$58:$J$65,'RPT1'!$D$58:$D$65,D70)</f>
        <v>0</v>
      </c>
      <c r="K70" s="615" t="str">
        <f>IF(E70=0,"-",E70/J70)</f>
        <v>-</v>
      </c>
      <c r="L70" s="615"/>
      <c r="P70" s="9"/>
      <c r="Q70" s="9"/>
      <c r="R70" s="9"/>
      <c r="S70" s="11"/>
    </row>
    <row r="71" spans="2:19" ht="13.5" thickBot="1" x14ac:dyDescent="0.25"/>
    <row r="72" spans="2:19" ht="36" customHeight="1" thickBot="1" x14ac:dyDescent="0.25">
      <c r="D72" s="162" t="s">
        <v>754</v>
      </c>
      <c r="E72" s="152">
        <f>SUM(M17:M46)</f>
        <v>0</v>
      </c>
      <c r="Q72" s="48"/>
      <c r="R72" s="49"/>
    </row>
    <row r="73" spans="2:19" x14ac:dyDescent="0.2">
      <c r="Q73" s="48"/>
      <c r="R73" s="49"/>
    </row>
    <row r="74" spans="2:19" x14ac:dyDescent="0.2">
      <c r="Q74" s="50"/>
      <c r="R74" s="49"/>
    </row>
    <row r="75" spans="2:19" x14ac:dyDescent="0.2">
      <c r="Q75" s="48"/>
      <c r="R75" s="49"/>
    </row>
    <row r="76" spans="2:19" x14ac:dyDescent="0.2">
      <c r="Q76" s="48"/>
      <c r="R76" s="49"/>
    </row>
    <row r="77" spans="2:19" x14ac:dyDescent="0.2">
      <c r="Q77" s="48"/>
      <c r="R77" s="49"/>
    </row>
    <row r="78" spans="2:19" x14ac:dyDescent="0.2">
      <c r="Q78" s="48"/>
      <c r="R78" s="51"/>
    </row>
    <row r="80" spans="2:19" ht="15.75" x14ac:dyDescent="0.2">
      <c r="D80" s="47"/>
      <c r="E80" s="47"/>
      <c r="F80" s="47"/>
      <c r="G80" s="47"/>
      <c r="H80" s="47"/>
      <c r="I80" s="47"/>
      <c r="J80" s="47"/>
      <c r="K80" s="47"/>
    </row>
    <row r="81" spans="2:11" ht="15.75" x14ac:dyDescent="0.2">
      <c r="D81" s="47"/>
      <c r="E81" s="47"/>
      <c r="F81" s="47"/>
      <c r="G81" s="47"/>
      <c r="H81" s="47"/>
      <c r="I81" s="47"/>
      <c r="J81" s="47"/>
      <c r="K81" s="47"/>
    </row>
    <row r="82" spans="2:11" ht="15.75" x14ac:dyDescent="0.2">
      <c r="D82" s="47"/>
      <c r="E82" s="47"/>
      <c r="F82" s="47"/>
      <c r="G82" s="47"/>
      <c r="H82" s="47"/>
      <c r="I82" s="47"/>
      <c r="J82" s="47"/>
      <c r="K82" s="47"/>
    </row>
    <row r="83" spans="2:11" ht="15.75" x14ac:dyDescent="0.2">
      <c r="D83" s="47"/>
      <c r="E83" s="47"/>
      <c r="F83" s="47"/>
      <c r="G83" s="47"/>
      <c r="H83" s="47"/>
      <c r="I83" s="47"/>
      <c r="J83" s="47"/>
      <c r="K83" s="47"/>
    </row>
    <row r="84" spans="2:11" ht="15.75" x14ac:dyDescent="0.2">
      <c r="D84" s="47"/>
      <c r="E84" s="47"/>
      <c r="F84" s="47"/>
      <c r="G84" s="47"/>
      <c r="H84" s="47"/>
      <c r="I84" s="47"/>
      <c r="J84" s="47"/>
      <c r="K84" s="47"/>
    </row>
    <row r="86" spans="2:11" x14ac:dyDescent="0.2">
      <c r="B86" s="54" t="s">
        <v>126</v>
      </c>
      <c r="C86" s="54" t="s">
        <v>13</v>
      </c>
      <c r="D86" s="54" t="s">
        <v>114</v>
      </c>
    </row>
    <row r="87" spans="2:11" ht="18" x14ac:dyDescent="0.2">
      <c r="B87" s="71" t="s">
        <v>116</v>
      </c>
      <c r="C87" s="52" t="s">
        <v>34</v>
      </c>
      <c r="D87" s="379">
        <v>0.6</v>
      </c>
    </row>
    <row r="88" spans="2:11" ht="18" x14ac:dyDescent="0.2">
      <c r="B88" s="71" t="s">
        <v>116</v>
      </c>
      <c r="C88" s="52" t="s">
        <v>35</v>
      </c>
      <c r="D88" s="379">
        <v>0.56000000000000005</v>
      </c>
    </row>
    <row r="89" spans="2:11" ht="18" x14ac:dyDescent="0.2">
      <c r="B89" s="71" t="s">
        <v>116</v>
      </c>
      <c r="C89" s="52" t="s">
        <v>26</v>
      </c>
      <c r="D89" s="379">
        <v>0.76</v>
      </c>
    </row>
    <row r="90" spans="2:11" ht="18" x14ac:dyDescent="0.2">
      <c r="B90" s="71" t="s">
        <v>116</v>
      </c>
      <c r="C90" s="52" t="s">
        <v>30</v>
      </c>
      <c r="D90" s="379">
        <v>0.79</v>
      </c>
    </row>
    <row r="91" spans="2:11" ht="18" x14ac:dyDescent="0.2">
      <c r="B91" s="71" t="s">
        <v>116</v>
      </c>
      <c r="C91" s="52" t="s">
        <v>33</v>
      </c>
      <c r="D91" s="379">
        <v>0.64</v>
      </c>
    </row>
    <row r="92" spans="2:11" ht="18" x14ac:dyDescent="0.2">
      <c r="B92" s="71" t="s">
        <v>116</v>
      </c>
      <c r="C92" s="52" t="s">
        <v>36</v>
      </c>
      <c r="D92" s="379">
        <v>0.49</v>
      </c>
    </row>
    <row r="93" spans="2:11" ht="18" x14ac:dyDescent="0.2">
      <c r="B93" s="71" t="s">
        <v>116</v>
      </c>
      <c r="C93" s="52" t="s">
        <v>22</v>
      </c>
      <c r="D93" s="379">
        <v>0.82</v>
      </c>
    </row>
    <row r="94" spans="2:11" ht="18" hidden="1" x14ac:dyDescent="0.2">
      <c r="B94" s="71" t="s">
        <v>130</v>
      </c>
      <c r="C94" s="52" t="s">
        <v>109</v>
      </c>
      <c r="D94" s="379">
        <v>0.4</v>
      </c>
    </row>
    <row r="95" spans="2:11" ht="18" hidden="1" x14ac:dyDescent="0.2">
      <c r="B95" s="71" t="s">
        <v>118</v>
      </c>
      <c r="C95" s="52" t="s">
        <v>110</v>
      </c>
      <c r="D95" s="379">
        <v>0.82</v>
      </c>
    </row>
    <row r="96" spans="2:11" ht="18" hidden="1" x14ac:dyDescent="0.2">
      <c r="B96" s="71" t="s">
        <v>118</v>
      </c>
      <c r="C96" s="52" t="s">
        <v>543</v>
      </c>
      <c r="D96" s="379">
        <v>0.82</v>
      </c>
    </row>
    <row r="97" spans="2:4" ht="18" hidden="1" x14ac:dyDescent="0.2">
      <c r="B97" s="71" t="s">
        <v>118</v>
      </c>
      <c r="C97" s="52" t="s">
        <v>111</v>
      </c>
      <c r="D97" s="379">
        <v>0.82</v>
      </c>
    </row>
    <row r="98" spans="2:4" ht="18" hidden="1" x14ac:dyDescent="0.2">
      <c r="B98" s="71" t="s">
        <v>118</v>
      </c>
      <c r="C98" s="52" t="s">
        <v>128</v>
      </c>
      <c r="D98" s="379">
        <v>0.82</v>
      </c>
    </row>
    <row r="99" spans="2:4" ht="18" hidden="1" x14ac:dyDescent="0.2">
      <c r="B99" s="71" t="s">
        <v>118</v>
      </c>
      <c r="C99" s="52" t="s">
        <v>112</v>
      </c>
      <c r="D99" s="379">
        <v>0.84</v>
      </c>
    </row>
    <row r="100" spans="2:4" ht="18" hidden="1" x14ac:dyDescent="0.2">
      <c r="B100" s="71" t="s">
        <v>118</v>
      </c>
      <c r="C100" s="52" t="s">
        <v>113</v>
      </c>
      <c r="D100" s="379">
        <v>0.85</v>
      </c>
    </row>
    <row r="101" spans="2:4" ht="18" hidden="1" x14ac:dyDescent="0.2">
      <c r="B101" s="71" t="s">
        <v>118</v>
      </c>
      <c r="C101" s="52" t="s">
        <v>127</v>
      </c>
      <c r="D101" s="379">
        <v>0.84</v>
      </c>
    </row>
    <row r="102" spans="2:4" ht="18" hidden="1" x14ac:dyDescent="0.2">
      <c r="B102" s="71" t="s">
        <v>118</v>
      </c>
      <c r="C102" s="52" t="s">
        <v>129</v>
      </c>
      <c r="D102" s="379">
        <v>0.84</v>
      </c>
    </row>
    <row r="103" spans="2:4" ht="18" hidden="1" x14ac:dyDescent="0.2">
      <c r="B103" s="71" t="s">
        <v>118</v>
      </c>
      <c r="C103" s="52" t="s">
        <v>35</v>
      </c>
      <c r="D103" s="379">
        <v>0.75</v>
      </c>
    </row>
    <row r="104" spans="2:4" ht="18" hidden="1" x14ac:dyDescent="0.2">
      <c r="B104" s="71" t="s">
        <v>118</v>
      </c>
      <c r="C104" s="52" t="s">
        <v>34</v>
      </c>
      <c r="D104" s="379">
        <v>0.76</v>
      </c>
    </row>
    <row r="105" spans="2:4" ht="18" hidden="1" x14ac:dyDescent="0.2">
      <c r="B105" s="71" t="s">
        <v>118</v>
      </c>
      <c r="C105" s="52" t="s">
        <v>36</v>
      </c>
      <c r="D105" s="379">
        <v>0.71</v>
      </c>
    </row>
    <row r="106" spans="2:4" ht="18" hidden="1" x14ac:dyDescent="0.2">
      <c r="B106" s="72" t="s">
        <v>118</v>
      </c>
      <c r="C106" s="73" t="s">
        <v>544</v>
      </c>
      <c r="D106" s="380">
        <v>0.8</v>
      </c>
    </row>
    <row r="107" spans="2:4" ht="18" hidden="1" x14ac:dyDescent="0.2">
      <c r="B107" s="72" t="s">
        <v>118</v>
      </c>
      <c r="C107" s="73" t="s">
        <v>26</v>
      </c>
      <c r="D107" s="380">
        <v>0.8</v>
      </c>
    </row>
    <row r="108" spans="2:4" ht="18" hidden="1" x14ac:dyDescent="0.2">
      <c r="B108" s="72" t="s">
        <v>118</v>
      </c>
      <c r="C108" s="73" t="s">
        <v>30</v>
      </c>
      <c r="D108" s="380">
        <v>0.79</v>
      </c>
    </row>
    <row r="109" spans="2:4" ht="18" hidden="1" x14ac:dyDescent="0.2">
      <c r="B109" s="72" t="s">
        <v>118</v>
      </c>
      <c r="C109" s="73" t="s">
        <v>33</v>
      </c>
      <c r="D109" s="380">
        <v>0.78</v>
      </c>
    </row>
    <row r="110" spans="2:4" ht="18" x14ac:dyDescent="0.2">
      <c r="B110" s="72" t="s">
        <v>117</v>
      </c>
      <c r="C110" s="73" t="s">
        <v>34</v>
      </c>
      <c r="D110" s="380">
        <v>0.63</v>
      </c>
    </row>
    <row r="111" spans="2:4" ht="18" x14ac:dyDescent="0.2">
      <c r="B111" s="72" t="s">
        <v>117</v>
      </c>
      <c r="C111" s="73" t="s">
        <v>35</v>
      </c>
      <c r="D111" s="380">
        <v>0.6</v>
      </c>
    </row>
    <row r="112" spans="2:4" ht="18" x14ac:dyDescent="0.2">
      <c r="B112" s="72" t="s">
        <v>117</v>
      </c>
      <c r="C112" s="73" t="s">
        <v>30</v>
      </c>
      <c r="D112" s="380">
        <v>0.66</v>
      </c>
    </row>
    <row r="113" spans="2:4" ht="18" x14ac:dyDescent="0.2">
      <c r="B113" s="72" t="s">
        <v>117</v>
      </c>
      <c r="C113" s="73" t="s">
        <v>33</v>
      </c>
      <c r="D113" s="380">
        <v>0.66</v>
      </c>
    </row>
    <row r="114" spans="2:4" ht="18" x14ac:dyDescent="0.2">
      <c r="B114" s="72" t="s">
        <v>117</v>
      </c>
      <c r="C114" s="73" t="s">
        <v>36</v>
      </c>
      <c r="D114" s="380">
        <v>0.44</v>
      </c>
    </row>
    <row r="115" spans="2:4" ht="18" hidden="1" x14ac:dyDescent="0.2">
      <c r="B115" s="72" t="s">
        <v>119</v>
      </c>
      <c r="C115" s="73" t="s">
        <v>34</v>
      </c>
      <c r="D115" s="74">
        <v>0.62</v>
      </c>
    </row>
    <row r="116" spans="2:4" ht="18" hidden="1" x14ac:dyDescent="0.2">
      <c r="B116" s="72" t="s">
        <v>119</v>
      </c>
      <c r="C116" s="73" t="s">
        <v>35</v>
      </c>
      <c r="D116" s="74">
        <v>0.57999999999999996</v>
      </c>
    </row>
    <row r="117" spans="2:4" ht="18" hidden="1" x14ac:dyDescent="0.2">
      <c r="B117" s="72" t="s">
        <v>119</v>
      </c>
      <c r="C117" s="73" t="s">
        <v>26</v>
      </c>
      <c r="D117" s="74">
        <v>0.69</v>
      </c>
    </row>
    <row r="118" spans="2:4" ht="18" hidden="1" x14ac:dyDescent="0.2">
      <c r="B118" s="72" t="s">
        <v>119</v>
      </c>
      <c r="C118" s="73" t="s">
        <v>30</v>
      </c>
      <c r="D118" s="74">
        <v>0.71</v>
      </c>
    </row>
    <row r="119" spans="2:4" ht="18" hidden="1" x14ac:dyDescent="0.2">
      <c r="B119" s="72" t="s">
        <v>119</v>
      </c>
      <c r="C119" s="73" t="s">
        <v>33</v>
      </c>
      <c r="D119" s="74">
        <v>0.69</v>
      </c>
    </row>
    <row r="120" spans="2:4" ht="18" hidden="1" x14ac:dyDescent="0.2">
      <c r="B120" s="72" t="s">
        <v>119</v>
      </c>
      <c r="C120" s="73" t="s">
        <v>36</v>
      </c>
      <c r="D120" s="74">
        <v>0.55000000000000004</v>
      </c>
    </row>
  </sheetData>
  <protectedRanges>
    <protectedRange algorithmName="SHA-512" hashValue="WjK6vzJ67MEDWFG6NFR2PhcYLmL8klFlSXOxEkB1OxRfcEFwpcJzps4NIhyMO+FAtDUtcq6DJ9/O997+FJuUKw==" saltValue="Kp1srWGv2e7Ku7/hogPyXw==" spinCount="100000" sqref="D55:G55 N55 L55 Q55:R55 J55 F52 F49:F50 F18:F46" name="Plage3" securityDescriptor="O:WDG:WDD:(A;;CC;;;S-1-5-21-3126896699-2736327119-1644971827-159763)"/>
    <protectedRange algorithmName="SHA-512" hashValue="Td1f/oxXZ9QqBOOxnqJB3FCa9l9IuHmeLWVTTsLi7L/58+lN3uZ989/zQJkddt+4Z29xDNdIjkyAejEopOoAKQ==" saltValue="wG0KXY5KvEUiw1IgGTNK7g==" spinCount="100000" sqref="Q15" name="Plage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E47:G47 D69:D70 B41:B47 B58:D65 L30 D53:E54 G53:G54 J53:J54 H53:I55 F53:F55 B53:C55 L32:L47 J18:J21 J23:J25 L20:L25 B51:J52 C47 Q18:R55 L49:L55 J48 C49:J50 J27:J28 L27:L28 C18:I31 N18:N55 C32:J36 C37:G46 H37:J47" name="Plage1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D47" name="Plage1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P18:P55" name="Plage1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2" name="Plage1_18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31" name="Plage1_18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31" name="Plage1_18_5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9 J29:J30" name="Plage1_18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48:B50" name="Plage1_1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18:B40" name="Plage1_11_1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L48" name="Plage1_6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6" name="Plage1_2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6" name="Plage1_18_6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17 Q17:R17 N17 G17:J17 D17:E17 G48:I48 D48:E48" name="Plage1_7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P17" name="Plage1_2_4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F17 F48" name="Plage3_1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C17 F17 C48 F48" name="Plage1_4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17" name="Plage1_11_1_2_2" securityDescriptor="O:WDG:WDD:(A;;CC;;;S-1-5-21-3126896699-2736327119-1644971827-159763)"/>
  </protectedRanges>
  <mergeCells count="145">
    <mergeCell ref="P17:R17"/>
    <mergeCell ref="N65:O65"/>
    <mergeCell ref="N64:O64"/>
    <mergeCell ref="H48:I48"/>
    <mergeCell ref="B64:C64"/>
    <mergeCell ref="E64:F64"/>
    <mergeCell ref="G64:I64"/>
    <mergeCell ref="K64:L64"/>
    <mergeCell ref="B65:C65"/>
    <mergeCell ref="E65:F65"/>
    <mergeCell ref="G65:I65"/>
    <mergeCell ref="K57:L57"/>
    <mergeCell ref="H49:I49"/>
    <mergeCell ref="H50:I50"/>
    <mergeCell ref="H54:I54"/>
    <mergeCell ref="E59:F59"/>
    <mergeCell ref="G59:I59"/>
    <mergeCell ref="K59:L59"/>
    <mergeCell ref="H51:I51"/>
    <mergeCell ref="H52:I52"/>
    <mergeCell ref="H53:I53"/>
    <mergeCell ref="K65:L65"/>
    <mergeCell ref="B60:C60"/>
    <mergeCell ref="E60:F60"/>
    <mergeCell ref="G60:I60"/>
    <mergeCell ref="B63:C63"/>
    <mergeCell ref="E63:F63"/>
    <mergeCell ref="B70:C70"/>
    <mergeCell ref="E70:F70"/>
    <mergeCell ref="G70:I70"/>
    <mergeCell ref="K70:L70"/>
    <mergeCell ref="B68:C68"/>
    <mergeCell ref="E68:F68"/>
    <mergeCell ref="G68:I68"/>
    <mergeCell ref="K68:L68"/>
    <mergeCell ref="B69:C69"/>
    <mergeCell ref="E69:F69"/>
    <mergeCell ref="G69:I69"/>
    <mergeCell ref="K69:L69"/>
    <mergeCell ref="G63:I63"/>
    <mergeCell ref="K63:L63"/>
    <mergeCell ref="O61:R61"/>
    <mergeCell ref="B62:C62"/>
    <mergeCell ref="E62:F62"/>
    <mergeCell ref="G62:I62"/>
    <mergeCell ref="K62:L62"/>
    <mergeCell ref="Q31:R31"/>
    <mergeCell ref="Q32:R32"/>
    <mergeCell ref="Q33:R33"/>
    <mergeCell ref="Q37:R37"/>
    <mergeCell ref="H46:I46"/>
    <mergeCell ref="H47:I47"/>
    <mergeCell ref="H38:I38"/>
    <mergeCell ref="H39:I39"/>
    <mergeCell ref="H40:I40"/>
    <mergeCell ref="H41:I41"/>
    <mergeCell ref="Q40:R40"/>
    <mergeCell ref="Q41:R41"/>
    <mergeCell ref="H43:I43"/>
    <mergeCell ref="H44:I44"/>
    <mergeCell ref="Q42:R42"/>
    <mergeCell ref="Q46:R46"/>
    <mergeCell ref="Q47:R47"/>
    <mergeCell ref="Q44:R44"/>
    <mergeCell ref="Q45:R45"/>
    <mergeCell ref="Q19:R19"/>
    <mergeCell ref="Q20:R20"/>
    <mergeCell ref="Q22:R22"/>
    <mergeCell ref="Q23:R23"/>
    <mergeCell ref="Q24:R24"/>
    <mergeCell ref="Q38:R38"/>
    <mergeCell ref="Q39:R39"/>
    <mergeCell ref="Q43:R43"/>
    <mergeCell ref="P34:R34"/>
    <mergeCell ref="P35:R35"/>
    <mergeCell ref="P36:R36"/>
    <mergeCell ref="H45:I45"/>
    <mergeCell ref="M6:O6"/>
    <mergeCell ref="B13:R14"/>
    <mergeCell ref="Q15:R15"/>
    <mergeCell ref="H16:I16"/>
    <mergeCell ref="P16:R16"/>
    <mergeCell ref="H17:I17"/>
    <mergeCell ref="Q6:R6"/>
    <mergeCell ref="B8:C9"/>
    <mergeCell ref="E8:R8"/>
    <mergeCell ref="E9:R9"/>
    <mergeCell ref="B10:C10"/>
    <mergeCell ref="F10:Q10"/>
    <mergeCell ref="H29:I29"/>
    <mergeCell ref="H30:I30"/>
    <mergeCell ref="H25:I25"/>
    <mergeCell ref="H26:I26"/>
    <mergeCell ref="H27:I27"/>
    <mergeCell ref="Q25:R25"/>
    <mergeCell ref="Q26:R26"/>
    <mergeCell ref="Q27:R27"/>
    <mergeCell ref="Q29:R29"/>
    <mergeCell ref="Q30:R30"/>
    <mergeCell ref="Q18:R18"/>
    <mergeCell ref="C2:D3"/>
    <mergeCell ref="C4:D5"/>
    <mergeCell ref="F6:G6"/>
    <mergeCell ref="I6:J6"/>
    <mergeCell ref="K6:L6"/>
    <mergeCell ref="H21:I21"/>
    <mergeCell ref="H28:I28"/>
    <mergeCell ref="H35:I35"/>
    <mergeCell ref="H42:I42"/>
    <mergeCell ref="H22:I22"/>
    <mergeCell ref="H23:I23"/>
    <mergeCell ref="H18:I18"/>
    <mergeCell ref="H19:I19"/>
    <mergeCell ref="H20:I20"/>
    <mergeCell ref="H36:I36"/>
    <mergeCell ref="H37:I37"/>
    <mergeCell ref="H31:I31"/>
    <mergeCell ref="H33:I33"/>
    <mergeCell ref="H34:I34"/>
    <mergeCell ref="H32:I32"/>
    <mergeCell ref="H24:I24"/>
    <mergeCell ref="Q48:R48"/>
    <mergeCell ref="Q49:R49"/>
    <mergeCell ref="Q50:R50"/>
    <mergeCell ref="Q54:R54"/>
    <mergeCell ref="Q55:R55"/>
    <mergeCell ref="G66:I66"/>
    <mergeCell ref="K66:L66"/>
    <mergeCell ref="E66:F66"/>
    <mergeCell ref="B66:D66"/>
    <mergeCell ref="H55:I55"/>
    <mergeCell ref="K60:L60"/>
    <mergeCell ref="B61:C61"/>
    <mergeCell ref="E61:F61"/>
    <mergeCell ref="G61:I61"/>
    <mergeCell ref="K61:L61"/>
    <mergeCell ref="B58:C58"/>
    <mergeCell ref="E58:F58"/>
    <mergeCell ref="G58:I58"/>
    <mergeCell ref="K58:L58"/>
    <mergeCell ref="B59:C59"/>
    <mergeCell ref="H56:I56"/>
    <mergeCell ref="B57:C57"/>
    <mergeCell ref="E57:F57"/>
    <mergeCell ref="G57:I57"/>
  </mergeCells>
  <conditionalFormatting sqref="C41:C46">
    <cfRule type="cellIs" dxfId="944" priority="1401" operator="equal">
      <formula>MT</formula>
    </cfRule>
  </conditionalFormatting>
  <conditionalFormatting sqref="C51 C53:C54">
    <cfRule type="cellIs" dxfId="943" priority="1301" operator="equal">
      <formula>MT</formula>
    </cfRule>
  </conditionalFormatting>
  <conditionalFormatting sqref="P18:R18 Q19:R20">
    <cfRule type="expression" dxfId="942" priority="1161">
      <formula>IF(OR($F18="SC-BA"),$O18&lt;1400)</formula>
    </cfRule>
    <cfRule type="expression" dxfId="941" priority="1162">
      <formula>IF(OR($F18="SC-PW"),$O18&lt;1800)</formula>
    </cfRule>
  </conditionalFormatting>
  <conditionalFormatting sqref="P19">
    <cfRule type="expression" dxfId="940" priority="1105">
      <formula>IF(OR($F19="SC-BA"),$O19&lt;1400)</formula>
    </cfRule>
    <cfRule type="expression" dxfId="939" priority="1106">
      <formula>IF(OR($F19="SC-PW"),$O19&lt;1800)</formula>
    </cfRule>
  </conditionalFormatting>
  <conditionalFormatting sqref="P20">
    <cfRule type="expression" dxfId="938" priority="1103">
      <formula>IF(OR($F20="SC-BA"),$O20&lt;1400)</formula>
    </cfRule>
    <cfRule type="expression" dxfId="937" priority="1104">
      <formula>IF(OR($F20="SC-PW"),$O20&lt;1800)</formula>
    </cfRule>
  </conditionalFormatting>
  <conditionalFormatting sqref="P21">
    <cfRule type="expression" dxfId="936" priority="1101">
      <formula>IF(OR($F21="SC-BA"),$O21&lt;1400)</formula>
    </cfRule>
    <cfRule type="expression" dxfId="935" priority="1102">
      <formula>IF(OR($F21="SC-PW"),$O21&lt;1800)</formula>
    </cfRule>
  </conditionalFormatting>
  <conditionalFormatting sqref="P22:R22">
    <cfRule type="expression" dxfId="934" priority="1099">
      <formula>IF(OR($F22="SC-BA"),$O22&lt;1400)</formula>
    </cfRule>
    <cfRule type="expression" dxfId="933" priority="1100">
      <formula>IF(OR($F22="SC-PW"),$O22&lt;1800)</formula>
    </cfRule>
  </conditionalFormatting>
  <conditionalFormatting sqref="P23:R24">
    <cfRule type="expression" dxfId="932" priority="1097">
      <formula>IF(OR($F23="SC-BA"),$O23&lt;1400)</formula>
    </cfRule>
    <cfRule type="expression" dxfId="931" priority="1098">
      <formula>IF(OR($F23="SC-PW"),$O23&lt;1800)</formula>
    </cfRule>
  </conditionalFormatting>
  <conditionalFormatting sqref="P25:R25">
    <cfRule type="expression" dxfId="930" priority="1095">
      <formula>IF(OR($F25="SC-BA"),$O25&lt;1400)</formula>
    </cfRule>
    <cfRule type="expression" dxfId="929" priority="1096">
      <formula>IF(OR($F25="SC-PW"),$O25&lt;1800)</formula>
    </cfRule>
  </conditionalFormatting>
  <conditionalFormatting sqref="Q33:R33">
    <cfRule type="expression" dxfId="928" priority="1039">
      <formula>IF(OR($F33="SC-BA"),$O33&lt;1400)</formula>
    </cfRule>
    <cfRule type="expression" dxfId="927" priority="1040">
      <formula>IF(OR($F33="SC-PW"),$O33&lt;1800)</formula>
    </cfRule>
  </conditionalFormatting>
  <conditionalFormatting sqref="P26:R26">
    <cfRule type="expression" dxfId="926" priority="1093">
      <formula>IF(OR($F26="SC-BA"),$O26&lt;1400)</formula>
    </cfRule>
    <cfRule type="expression" dxfId="925" priority="1094">
      <formula>IF(OR($F26="SC-PW"),$O26&lt;1800)</formula>
    </cfRule>
  </conditionalFormatting>
  <conditionalFormatting sqref="P27:R27">
    <cfRule type="expression" dxfId="924" priority="1091">
      <formula>IF(OR($F27="SC-BA"),$O27&lt;1400)</formula>
    </cfRule>
    <cfRule type="expression" dxfId="923" priority="1092">
      <formula>IF(OR($F27="SC-PW"),$O27&lt;1800)</formula>
    </cfRule>
  </conditionalFormatting>
  <conditionalFormatting sqref="P28">
    <cfRule type="expression" dxfId="922" priority="1089">
      <formula>IF(OR($F28="SC-BA"),$O28&lt;1400)</formula>
    </cfRule>
    <cfRule type="expression" dxfId="921" priority="1090">
      <formula>IF(OR($F28="SC-PW"),$O28&lt;1800)</formula>
    </cfRule>
  </conditionalFormatting>
  <conditionalFormatting sqref="P29">
    <cfRule type="expression" dxfId="920" priority="1083">
      <formula>IF(OR($F29="SC-BA"),$O29&lt;1400)</formula>
    </cfRule>
    <cfRule type="expression" dxfId="919" priority="1084">
      <formula>IF(OR($F29="SC-PW"),$O29&lt;1800)</formula>
    </cfRule>
  </conditionalFormatting>
  <conditionalFormatting sqref="P30">
    <cfRule type="expression" dxfId="918" priority="1081">
      <formula>IF(OR($F30="SC-BA"),$O30&lt;1400)</formula>
    </cfRule>
    <cfRule type="expression" dxfId="917" priority="1082">
      <formula>IF(OR($F30="SC-PW"),$O30&lt;1800)</formula>
    </cfRule>
  </conditionalFormatting>
  <conditionalFormatting sqref="P31">
    <cfRule type="expression" dxfId="916" priority="1079">
      <formula>IF(OR($F31="SC-BA"),$O31&lt;1400)</formula>
    </cfRule>
    <cfRule type="expression" dxfId="915" priority="1080">
      <formula>IF(OR($F31="SC-PW"),$O31&lt;1800)</formula>
    </cfRule>
  </conditionalFormatting>
  <conditionalFormatting sqref="P32">
    <cfRule type="expression" dxfId="914" priority="1077">
      <formula>IF(OR($F32="SC-BA"),$O32&lt;1400)</formula>
    </cfRule>
    <cfRule type="expression" dxfId="913" priority="1078">
      <formula>IF(OR($F32="SC-PW"),$O32&lt;1800)</formula>
    </cfRule>
  </conditionalFormatting>
  <conditionalFormatting sqref="P33">
    <cfRule type="expression" dxfId="912" priority="1075">
      <formula>IF(OR($F33="SC-BA"),$O33&lt;1400)</formula>
    </cfRule>
    <cfRule type="expression" dxfId="911" priority="1076">
      <formula>IF(OR($F33="SC-PW"),$O33&lt;1800)</formula>
    </cfRule>
  </conditionalFormatting>
  <conditionalFormatting sqref="P34">
    <cfRule type="expression" dxfId="910" priority="1073">
      <formula>IF(OR($F34="SC-BA"),$O34&lt;1400)</formula>
    </cfRule>
    <cfRule type="expression" dxfId="909" priority="1074">
      <formula>IF(OR($F34="SC-PW"),$O34&lt;1800)</formula>
    </cfRule>
  </conditionalFormatting>
  <conditionalFormatting sqref="P35">
    <cfRule type="expression" dxfId="908" priority="1071">
      <formula>IF(OR($F35="SC-BA"),$O35&lt;1400)</formula>
    </cfRule>
    <cfRule type="expression" dxfId="907" priority="1072">
      <formula>IF(OR($F35="SC-PW"),$O35&lt;1800)</formula>
    </cfRule>
  </conditionalFormatting>
  <conditionalFormatting sqref="P37">
    <cfRule type="expression" dxfId="906" priority="1067">
      <formula>IF(OR($F37="SC-BA"),$O37&lt;1400)</formula>
    </cfRule>
    <cfRule type="expression" dxfId="905" priority="1068">
      <formula>IF(OR($F37="SC-PW"),$O37&lt;1800)</formula>
    </cfRule>
  </conditionalFormatting>
  <conditionalFormatting sqref="P46:R46">
    <cfRule type="expression" dxfId="904" priority="1055">
      <formula>IF(OR($F46="SC-BA"),$O46&lt;1400)</formula>
    </cfRule>
    <cfRule type="expression" dxfId="903" priority="1056">
      <formula>IF(OR($F46="SC-PW"),$O46&lt;1800)</formula>
    </cfRule>
  </conditionalFormatting>
  <conditionalFormatting sqref="P49:R49">
    <cfRule type="expression" dxfId="902" priority="1053">
      <formula>IF(OR($F49="SC-BA"),$O49&lt;1400)</formula>
    </cfRule>
    <cfRule type="expression" dxfId="901" priority="1054">
      <formula>IF(OR($F49="SC-PW"),$O49&lt;1800)</formula>
    </cfRule>
  </conditionalFormatting>
  <conditionalFormatting sqref="P50:R53">
    <cfRule type="expression" dxfId="900" priority="1051">
      <formula>IF(OR($F50="SC-BA"),$O50&lt;1400)</formula>
    </cfRule>
    <cfRule type="expression" dxfId="899" priority="1052">
      <formula>IF(OR($F50="SC-PW"),$O50&lt;1800)</formula>
    </cfRule>
  </conditionalFormatting>
  <conditionalFormatting sqref="P54:R54">
    <cfRule type="expression" dxfId="898" priority="1049">
      <formula>IF(OR($F54="SC-BA"),$O54&lt;1400)</formula>
    </cfRule>
    <cfRule type="expression" dxfId="897" priority="1050">
      <formula>IF(OR($F54="SC-PW"),$O54&lt;1800)</formula>
    </cfRule>
  </conditionalFormatting>
  <conditionalFormatting sqref="P55:R55">
    <cfRule type="expression" dxfId="896" priority="1047">
      <formula>IF(OR($F55="SC-BA"),$O55&lt;1400)</formula>
    </cfRule>
    <cfRule type="expression" dxfId="895" priority="1048">
      <formula>IF(OR($F55="SC-PW"),$O55&lt;1800)</formula>
    </cfRule>
  </conditionalFormatting>
  <conditionalFormatting sqref="P47:R47">
    <cfRule type="expression" dxfId="894" priority="1045">
      <formula>IF(OR($F47="SC-BA"),$O47&lt;1400)</formula>
    </cfRule>
    <cfRule type="expression" dxfId="893" priority="1046">
      <formula>IF(OR($F47="SC-PW"),$O47&lt;1800)</formula>
    </cfRule>
  </conditionalFormatting>
  <conditionalFormatting sqref="P48:R48">
    <cfRule type="expression" dxfId="892" priority="1043">
      <formula>IF(OR($F48="SC-BA"),$O48&lt;1400)</formula>
    </cfRule>
    <cfRule type="expression" dxfId="891" priority="1044">
      <formula>IF(OR($F48="SC-PW"),$O48&lt;1800)</formula>
    </cfRule>
  </conditionalFormatting>
  <conditionalFormatting sqref="Q37:R37">
    <cfRule type="expression" dxfId="890" priority="1037">
      <formula>IF(OR($F37="SC-BA"),$O37&lt;1400)</formula>
    </cfRule>
    <cfRule type="expression" dxfId="889" priority="1038">
      <formula>IF(OR($F37="SC-PW"),$O37&lt;1800)</formula>
    </cfRule>
  </conditionalFormatting>
  <conditionalFormatting sqref="C18:C40">
    <cfRule type="cellIs" dxfId="888" priority="996" operator="equal">
      <formula>MT</formula>
    </cfRule>
  </conditionalFormatting>
  <conditionalFormatting sqref="O53:O55 O18:O51">
    <cfRule type="expression" dxfId="887" priority="701">
      <formula>IF(OR($F18="SC-BA"),$O18&lt;1400)</formula>
    </cfRule>
    <cfRule type="expression" dxfId="886" priority="702">
      <formula>IF(OR($F18="SC-PW"),$O18&lt;1999)</formula>
    </cfRule>
  </conditionalFormatting>
  <conditionalFormatting sqref="Q32:R32">
    <cfRule type="expression" dxfId="885" priority="663">
      <formula>IF(OR($F32="SC-BA"),$O32&lt;1400)</formula>
    </cfRule>
    <cfRule type="expression" dxfId="884" priority="664">
      <formula>IF(OR($F32="SC-PW"),$O32&lt;1800)</formula>
    </cfRule>
  </conditionalFormatting>
  <conditionalFormatting sqref="C52">
    <cfRule type="cellIs" dxfId="883" priority="590" operator="equal">
      <formula>MT</formula>
    </cfRule>
  </conditionalFormatting>
  <conditionalFormatting sqref="O52">
    <cfRule type="expression" dxfId="882" priority="553">
      <formula>IF(OR($F52="SC-BA"),$O52&lt;1400)</formula>
    </cfRule>
    <cfRule type="expression" dxfId="881" priority="554">
      <formula>IF(OR($F52="SC-PW"),$O52&lt;1999)</formula>
    </cfRule>
  </conditionalFormatting>
  <conditionalFormatting sqref="P38:P45">
    <cfRule type="expression" dxfId="880" priority="407">
      <formula>IF(OR($F38="SC-BA"),$O38&lt;1400)</formula>
    </cfRule>
    <cfRule type="expression" dxfId="879" priority="408">
      <formula>IF(OR($F38="SC-PW"),$O38&lt;1800)</formula>
    </cfRule>
  </conditionalFormatting>
  <conditionalFormatting sqref="Q38:R45">
    <cfRule type="expression" dxfId="878" priority="405">
      <formula>IF(OR($F38="SC-BA"),$O38&lt;1400)</formula>
    </cfRule>
    <cfRule type="expression" dxfId="877" priority="406">
      <formula>IF(OR($F38="SC-PW"),$O38&lt;1800)</formula>
    </cfRule>
  </conditionalFormatting>
  <conditionalFormatting sqref="Q29:R31">
    <cfRule type="expression" dxfId="876" priority="331">
      <formula>IF(OR($F29="SC-BA"),$O29&lt;1400)</formula>
    </cfRule>
    <cfRule type="expression" dxfId="875" priority="332">
      <formula>IF(OR($F29="SC-PW"),$O29&lt;1800)</formula>
    </cfRule>
  </conditionalFormatting>
  <conditionalFormatting sqref="C49:C50">
    <cfRule type="cellIs" dxfId="874" priority="294" operator="equal">
      <formula>MT</formula>
    </cfRule>
  </conditionalFormatting>
  <conditionalFormatting sqref="P36">
    <cfRule type="expression" dxfId="873" priority="149">
      <formula>IF(OR($F36="SC-BA"),$O36&lt;1400)</formula>
    </cfRule>
    <cfRule type="expression" dxfId="872" priority="150">
      <formula>IF(OR($F36="SC-PW"),$O36&lt;1800)</formula>
    </cfRule>
  </conditionalFormatting>
  <conditionalFormatting sqref="C48">
    <cfRule type="cellIs" dxfId="871" priority="36" operator="equal">
      <formula>MT</formula>
    </cfRule>
  </conditionalFormatting>
  <conditionalFormatting sqref="O17">
    <cfRule type="expression" dxfId="870" priority="75">
      <formula>IF(OR($F17="SC-BA"),$O17&lt;1400)</formula>
    </cfRule>
    <cfRule type="expression" dxfId="869" priority="76">
      <formula>IF(OR($F17="SC-PW"),$O17&lt;1999)</formula>
    </cfRule>
  </conditionalFormatting>
  <conditionalFormatting sqref="P17">
    <cfRule type="expression" dxfId="868" priority="73">
      <formula>IF(OR($F17="SC-BA"),$O17&lt;1400)</formula>
    </cfRule>
    <cfRule type="expression" dxfId="867" priority="74">
      <formula>IF(OR($F17="SC-PW"),$O17&lt;1800)</formula>
    </cfRule>
  </conditionalFormatting>
  <conditionalFormatting sqref="C17">
    <cfRule type="cellIs" dxfId="866" priority="72" operator="equal">
      <formula>MT</formula>
    </cfRule>
  </conditionalFormatting>
  <dataValidations count="1">
    <dataValidation type="list" allowBlank="1" showInputMessage="1" showErrorMessage="1" sqref="B69:C70">
      <formula1>$A$2:$A$15</formula1>
    </dataValidation>
  </dataValidations>
  <printOptions horizontalCentered="1" verticalCentered="1"/>
  <pageMargins left="0" right="0.19685039370078741" top="0" bottom="0" header="0" footer="0"/>
  <pageSetup paperSize="9" scale="29" orientation="landscape" horizontalDpi="180" verticalDpi="180" r:id="rId1"/>
  <headerFooter alignWithMargins="0"/>
  <rowBreaks count="1" manualBreakCount="1">
    <brk id="65" max="18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20" operator="equal" id="{02B4A98D-D2A4-42E1-B39C-F26683EED24D}">
            <xm:f>QUALITE!$A$18</xm:f>
            <x14:dxf>
              <font>
                <color rgb="FFFF0000"/>
              </font>
            </x14:dxf>
          </x14:cfRule>
          <x14:cfRule type="cellIs" priority="1421" operator="equal" id="{3456FF2C-53A8-4268-A969-37EFADF0B49C}">
            <xm:f>QUALITE!$A$17</xm:f>
            <x14:dxf>
              <font>
                <color rgb="FF00B0F0"/>
              </font>
            </x14:dxf>
          </x14:cfRule>
          <x14:cfRule type="cellIs" priority="1422" operator="equal" id="{8F26062A-0AC5-4C45-A9A7-88AE63F50384}">
            <xm:f>QUALITE!$A$16</xm:f>
            <x14:dxf>
              <font>
                <color theme="2" tint="-0.499984740745262"/>
              </font>
            </x14:dxf>
          </x14:cfRule>
          <x14:cfRule type="cellIs" priority="1423" operator="equal" id="{7CCF9E53-8810-477F-A10C-65037A72AE06}">
            <xm:f>QUALITE!$A$15</xm:f>
            <x14:dxf>
              <font>
                <color theme="2" tint="-0.499984740745262"/>
              </font>
            </x14:dxf>
          </x14:cfRule>
          <x14:cfRule type="cellIs" priority="1424" operator="equal" id="{1C3D62C4-3CE8-4933-8BB0-5925266B20FB}">
            <xm:f>QUALITE!$A$14</xm:f>
            <x14:dxf>
              <font>
                <color rgb="FFFF0000"/>
              </font>
            </x14:dxf>
          </x14:cfRule>
          <x14:cfRule type="cellIs" priority="1425" operator="equal" id="{05B3BE0D-C1FF-4E62-A0B6-C616ADEEA94B}">
            <xm:f>QUALITE!$A$13</xm:f>
            <x14:dxf>
              <font>
                <color rgb="FFFF0000"/>
              </font>
            </x14:dxf>
          </x14:cfRule>
          <x14:cfRule type="cellIs" priority="1426" operator="equal" id="{C389DC8D-0ADC-4A30-B58B-7B569E3A55E2}">
            <xm:f>QUALITE!$A$12</xm:f>
            <x14:dxf>
              <font>
                <color rgb="FF00B050"/>
              </font>
            </x14:dxf>
          </x14:cfRule>
          <x14:cfRule type="cellIs" priority="1427" operator="equal" id="{0738D844-D62C-431A-A941-4BF84FDFB614}">
            <xm:f>QUALITE!$A$11</xm:f>
            <x14:dxf>
              <font>
                <color rgb="FF0070C0"/>
              </font>
            </x14:dxf>
          </x14:cfRule>
          <x14:cfRule type="cellIs" priority="1428" operator="equal" id="{92145B44-5F56-42F9-9D7C-AD5DECECC017}">
            <xm:f>QUALITE!$A$10</xm:f>
            <x14:dxf>
              <font>
                <color rgb="FF00B0F0"/>
              </font>
            </x14:dxf>
          </x14:cfRule>
          <x14:cfRule type="cellIs" priority="1429" operator="equal" id="{CED275C4-0240-4334-A4C4-6B90D0B7FC7D}">
            <xm:f>QUALITE!$A$9</xm:f>
            <x14:dxf>
              <font>
                <color theme="2" tint="-0.499984740745262"/>
              </font>
            </x14:dxf>
          </x14:cfRule>
          <x14:cfRule type="cellIs" priority="1430" operator="equal" id="{1E9C58CE-13CE-44C6-8121-44BA352060DB}">
            <xm:f>QUALITE!$A$8</xm:f>
            <x14:dxf>
              <font>
                <color rgb="FFC00000"/>
              </font>
            </x14:dxf>
          </x14:cfRule>
          <x14:cfRule type="cellIs" priority="1431" operator="equal" id="{8403E2D9-7120-4DA4-A44E-3F5333989BFF}">
            <xm:f>QUALITE!$A$7</xm:f>
            <x14:dxf>
              <font>
                <color rgb="FFFFC000"/>
              </font>
            </x14:dxf>
          </x14:cfRule>
          <x14:cfRule type="cellIs" priority="1432" operator="equal" id="{499A7196-01A1-4012-8740-C349DA0CCFF1}">
            <xm:f>QUALITE!$A$6</xm:f>
            <x14:dxf>
              <font>
                <color rgb="FF00B050"/>
              </font>
            </x14:dxf>
          </x14:cfRule>
          <x14:cfRule type="cellIs" priority="1433" operator="equal" id="{A60EB0AB-CEF2-480A-96FC-D723B115D74A}">
            <xm:f>QUALITE!$A$5</xm:f>
            <x14:dxf>
              <font>
                <color rgb="FFFF0000"/>
              </font>
            </x14:dxf>
          </x14:cfRule>
          <x14:cfRule type="cellIs" priority="1434" operator="equal" id="{FCC8C3DA-B3B1-47CC-95CB-E4A78D9E1B32}">
            <xm:f>QUALITE!$A$4</xm:f>
            <x14:dxf>
              <font>
                <color rgb="FFFF0000"/>
              </font>
            </x14:dxf>
          </x14:cfRule>
          <x14:cfRule type="cellIs" priority="1435" operator="equal" id="{FF3AE5F9-B571-45C9-86C6-833A2DB30CE0}">
            <xm:f>QUALITE!$A$3</xm:f>
            <x14:dxf>
              <font>
                <color rgb="FF0070C0"/>
              </font>
            </x14:dxf>
          </x14:cfRule>
          <x14:cfRule type="cellIs" priority="1436" operator="equal" id="{C62F4D40-C7CA-43EF-8B44-62193D7935CF}">
            <xm:f>QUALITE!$A$2</xm:f>
            <x14:dxf>
              <font>
                <color rgb="FF00B0F0"/>
              </font>
            </x14:dxf>
          </x14:cfRule>
          <xm:sqref>C55</xm:sqref>
        </x14:conditionalFormatting>
        <x14:conditionalFormatting xmlns:xm="http://schemas.microsoft.com/office/excel/2006/main">
          <x14:cfRule type="cellIs" priority="1402" operator="equal" id="{5917F252-CC90-4434-BBCE-EC085E537F8C}">
            <xm:f>QUALITE!$A$18</xm:f>
            <x14:dxf>
              <font>
                <color rgb="FFFF0000"/>
              </font>
            </x14:dxf>
          </x14:cfRule>
          <x14:cfRule type="cellIs" priority="1403" operator="equal" id="{A31B26E3-722E-40AF-B4FE-761E1555A18B}">
            <xm:f>QUALITE!$A$17</xm:f>
            <x14:dxf>
              <font>
                <color rgb="FF00B0F0"/>
              </font>
            </x14:dxf>
          </x14:cfRule>
          <x14:cfRule type="cellIs" priority="1404" operator="equal" id="{FF245854-59AF-4DA8-9249-D1EF7CF00AF3}">
            <xm:f>QUALITE!$A$16</xm:f>
            <x14:dxf>
              <font>
                <color theme="2" tint="-0.499984740745262"/>
              </font>
            </x14:dxf>
          </x14:cfRule>
          <x14:cfRule type="cellIs" priority="1405" operator="equal" id="{F39CA784-B717-42FD-B8CE-171079CCBF50}">
            <xm:f>QUALITE!$A$15</xm:f>
            <x14:dxf>
              <font>
                <color theme="2" tint="-0.499984740745262"/>
              </font>
            </x14:dxf>
          </x14:cfRule>
          <x14:cfRule type="cellIs" priority="1406" operator="equal" id="{DA717097-1262-49D2-820A-C3991170313A}">
            <xm:f>QUALITE!$A$14</xm:f>
            <x14:dxf>
              <font>
                <color rgb="FFFF0000"/>
              </font>
            </x14:dxf>
          </x14:cfRule>
          <x14:cfRule type="cellIs" priority="1407" operator="equal" id="{C85B6ECE-D3E8-4D92-875A-3DD5B4351C76}">
            <xm:f>QUALITE!$A$13</xm:f>
            <x14:dxf>
              <font>
                <color rgb="FFFF0000"/>
              </font>
            </x14:dxf>
          </x14:cfRule>
          <x14:cfRule type="cellIs" priority="1408" operator="equal" id="{4B7F3BC7-BD29-49D7-9659-AC1A99AD6B0D}">
            <xm:f>QUALITE!$A$12</xm:f>
            <x14:dxf>
              <font>
                <color rgb="FF00B050"/>
              </font>
            </x14:dxf>
          </x14:cfRule>
          <x14:cfRule type="cellIs" priority="1409" operator="equal" id="{0132B1C6-823D-43C1-AF51-EC5C4BA7B28C}">
            <xm:f>QUALITE!$A$11</xm:f>
            <x14:dxf>
              <font>
                <color rgb="FF0070C0"/>
              </font>
            </x14:dxf>
          </x14:cfRule>
          <x14:cfRule type="cellIs" priority="1410" operator="equal" id="{D0E6DBC6-3017-4439-B206-42FAB54055B0}">
            <xm:f>QUALITE!$A$10</xm:f>
            <x14:dxf>
              <font>
                <color rgb="FF00B0F0"/>
              </font>
            </x14:dxf>
          </x14:cfRule>
          <x14:cfRule type="cellIs" priority="1411" operator="equal" id="{163F0A29-D225-4A84-814F-7A7972782A74}">
            <xm:f>QUALITE!$A$9</xm:f>
            <x14:dxf>
              <font>
                <color theme="2" tint="-0.499984740745262"/>
              </font>
            </x14:dxf>
          </x14:cfRule>
          <x14:cfRule type="cellIs" priority="1412" operator="equal" id="{A3DAF0B0-514B-46CD-AA1F-C53EDD2F9185}">
            <xm:f>QUALITE!$A$8</xm:f>
            <x14:dxf>
              <font>
                <color rgb="FFC00000"/>
              </font>
            </x14:dxf>
          </x14:cfRule>
          <x14:cfRule type="cellIs" priority="1413" operator="equal" id="{0598989A-33FF-46C5-A35A-1F8CA27028E9}">
            <xm:f>QUALITE!$A$7</xm:f>
            <x14:dxf>
              <font>
                <color auto="1"/>
              </font>
            </x14:dxf>
          </x14:cfRule>
          <x14:cfRule type="cellIs" priority="1414" operator="equal" id="{BED80C5D-67CB-4A27-B620-961F5328A064}">
            <xm:f>QUALITE!$A$6</xm:f>
            <x14:dxf>
              <font>
                <color rgb="FF00B050"/>
              </font>
            </x14:dxf>
          </x14:cfRule>
          <x14:cfRule type="cellIs" priority="1415" operator="equal" id="{4D4B7301-F4FE-43E0-9DE6-47508FDB842D}">
            <xm:f>QUALITE!$A$5</xm:f>
            <x14:dxf>
              <font>
                <color rgb="FFFF0000"/>
              </font>
            </x14:dxf>
          </x14:cfRule>
          <x14:cfRule type="cellIs" priority="1416" operator="equal" id="{39F2EF75-BE79-4E64-87E9-F9817209C2FC}">
            <xm:f>QUALITE!$A$4</xm:f>
            <x14:dxf>
              <font>
                <color rgb="FFFF0000"/>
              </font>
            </x14:dxf>
          </x14:cfRule>
          <x14:cfRule type="cellIs" priority="1417" operator="equal" id="{E155FA0A-DAFF-4F19-AE8A-BF9806DDC845}">
            <xm:f>QUALITE!$A$3</xm:f>
            <x14:dxf>
              <font>
                <color rgb="FF0070C0"/>
              </font>
            </x14:dxf>
          </x14:cfRule>
          <x14:cfRule type="cellIs" priority="1418" operator="equal" id="{8FA9DACE-1732-4750-B2E6-B01FB006B8BD}">
            <xm:f>QUALITE!$A$2</xm:f>
            <x14:dxf>
              <font>
                <color rgb="FF00B0F0"/>
              </font>
            </x14:dxf>
          </x14:cfRule>
          <xm:sqref>B58:B65</xm:sqref>
        </x14:conditionalFormatting>
        <x14:conditionalFormatting xmlns:xm="http://schemas.microsoft.com/office/excel/2006/main">
          <x14:cfRule type="cellIs" priority="1399" operator="equal" id="{D7C15778-D87B-4660-878E-CAF31731E94B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1400" operator="equal" id="{00AC1433-A060-4B9A-A09E-88EA4776D61A}">
            <xm:f>'\Users\SDC.ParcWafi\Documents\[RPJ DIGITAL.xlsx]QUALITE'!#REF!</xm:f>
            <x14:dxf/>
          </x14:cfRule>
          <xm:sqref>C41:C46</xm:sqref>
        </x14:conditionalFormatting>
        <x14:conditionalFormatting xmlns:xm="http://schemas.microsoft.com/office/excel/2006/main">
          <x14:cfRule type="cellIs" priority="1388" operator="equal" id="{AE6C1470-A160-4E89-A683-7748654D13A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89" operator="equal" id="{29EC5FBA-D071-4E52-B3FF-181CD360EA77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1390" operator="equal" id="{F397D98C-0030-433E-AC72-A166FDC46D6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1391" operator="equal" id="{13A9137E-FC15-48A6-B761-360C1450951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92" operator="equal" id="{44E4703A-3251-4F94-915B-C71E8B13B67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93" operator="equal" id="{837F8773-B5E7-4F59-B899-54036C22C989}">
            <xm:f>'\Users\SDC.ParcWafi\Documents\[RPJ DIGITAL.xlsx]QUALITE'!#REF!</xm:f>
            <x14:dxf>
              <font>
                <color rgb="FF00B0F0"/>
              </font>
            </x14:dxf>
          </x14:cfRule>
          <xm:sqref>C41:C46</xm:sqref>
        </x14:conditionalFormatting>
        <x14:conditionalFormatting xmlns:xm="http://schemas.microsoft.com/office/excel/2006/main">
          <x14:cfRule type="cellIs" priority="1337" operator="equal" id="{384F8532-2165-4A9C-880D-A62C868C5142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1360" operator="equal" id="{2C00B71E-6BC2-4967-B928-ABB2AD50A5E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361" operator="equal" id="{AC64B68C-8F1A-435D-86B4-DCAC5B7CE109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362" operator="equal" id="{0E7AD64D-A34A-4C5D-9280-055EB664CF68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63" operator="equal" id="{3E825B16-829A-431B-9C82-FA8242462D6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64" operator="equal" id="{9BDA726E-7FE3-434C-87B6-C3CE9F1129F0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365" operator="equal" id="{7751CFA0-313F-4B72-A7AB-0AC22E67DD1E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366" operator="equal" id="{83344D96-461E-45A2-991C-AB3947A52456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367" operator="equal" id="{6FFFBCAF-8393-4353-9F51-F21E21442020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368" operator="equal" id="{DB993AE8-21A8-4301-8B9F-95FDF0D51B68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369" operator="equal" id="{EA7265CD-6ED4-4BDF-9F58-0DB5A45BC066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370" operator="equal" id="{0021F9C7-08BD-4344-A13D-19DED7920476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371" operator="equal" id="{EC9A49D7-382A-4BE6-9C26-4E75DC88E565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372" operator="equal" id="{6E72169F-7A12-4B9F-BACE-50AC42037B13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73" operator="equal" id="{ACED3AB2-7EAC-461B-AAE0-C4DAFB3C8AF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74" operator="equal" id="{01683AE9-9F9D-412A-8796-B524824C6A8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81" operator="equal" id="{347E7F35-6717-4D95-BDE6-0F54570EE7A6}">
            <xm:f>'\Users\SDC.ParcWafi\Documents\[RPJ DIGITAL.xlsx]QUALITE'!#REF!</xm:f>
            <x14:dxf>
              <font>
                <color rgb="FF00B0F0"/>
              </font>
            </x14:dxf>
          </x14:cfRule>
          <xm:sqref>C41:C46</xm:sqref>
        </x14:conditionalFormatting>
        <x14:conditionalFormatting xmlns:xm="http://schemas.microsoft.com/office/excel/2006/main">
          <x14:cfRule type="cellIs" priority="1375" operator="equal" id="{2BBC8F60-AE60-4BC4-B3F9-C9F06FAF4F2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76" operator="equal" id="{1E8CBFE1-EFB6-493F-929E-DAA79ACA65FE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1377" operator="equal" id="{C991E380-E51F-45C8-B6FC-1D65D957F470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1378" operator="equal" id="{95551707-51D6-4FD8-A187-A5BF7530700A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79" operator="equal" id="{8ACD5FC6-1FA3-408C-8324-6BCD5828EF3C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80" operator="equal" id="{95F980AD-659D-4AE7-A1EB-E53C7E90DFA4}">
            <xm:f>'\Users\SDC.ParcWafi\Documents\[RPJ DIGITAL.xlsx]QUALITE'!#REF!</xm:f>
            <x14:dxf>
              <font>
                <color rgb="FF00B0F0"/>
              </font>
            </x14:dxf>
          </x14:cfRule>
          <xm:sqref>C41:C46</xm:sqref>
        </x14:conditionalFormatting>
        <x14:conditionalFormatting xmlns:xm="http://schemas.microsoft.com/office/excel/2006/main">
          <x14:cfRule type="cellIs" priority="1333" operator="equal" id="{84BE4ADA-9354-48A9-8A92-5321A293B6E7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1334" operator="equal" id="{8F2373E5-884F-42A0-AEE4-776751A59763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1335" operator="equal" id="{0DEB229F-6D68-45E4-83CE-8AD942236AA1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1336" operator="equal" id="{92D3BABE-D12E-47A7-8471-7C9C641C48C7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C41:C46</xm:sqref>
        </x14:conditionalFormatting>
        <x14:conditionalFormatting xmlns:xm="http://schemas.microsoft.com/office/excel/2006/main">
          <x14:cfRule type="cellIs" priority="1266" operator="equal" id="{62884172-6DE6-4EB0-998A-4E984F7E6403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1267" operator="equal" id="{E975E81A-B105-41DC-B16D-80178A639954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1268" operator="equal" id="{42BB170D-235F-43B5-9313-E3EFF0A9AA47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1269" operator="equal" id="{7B7B92D8-7523-4684-B4AA-11F8622545F6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C51 C53:C54</xm:sqref>
        </x14:conditionalFormatting>
        <x14:conditionalFormatting xmlns:xm="http://schemas.microsoft.com/office/excel/2006/main">
          <x14:cfRule type="cellIs" priority="1299" operator="equal" id="{AFB1CCBB-6DE7-4337-ABB4-EFA68CC08E41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1300" operator="equal" id="{8CBF5F31-AB4F-4E78-9B06-6B37B545DD16}">
            <xm:f>'\Users\SDC.ParcWafi\Documents\[RPJ DIGITAL.xlsx]QUALITE'!#REF!</xm:f>
            <x14:dxf/>
          </x14:cfRule>
          <xm:sqref>C51 C53:C54</xm:sqref>
        </x14:conditionalFormatting>
        <x14:conditionalFormatting xmlns:xm="http://schemas.microsoft.com/office/excel/2006/main">
          <x14:cfRule type="cellIs" priority="1293" operator="equal" id="{9DD8A71C-22B8-455B-85AF-8791DFC906F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4" operator="equal" id="{E2E7CF1D-53C6-460A-99A4-ECE63497D75E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1295" operator="equal" id="{D86F38D0-028B-4A5D-A9EC-8407B61D855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1296" operator="equal" id="{93A9C528-3910-4EF0-AB2D-CC66242B025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7" operator="equal" id="{9133DE3F-2E42-4C51-9ED7-1F697F621688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8" operator="equal" id="{16A90F3F-3478-4C79-8516-509B877E374F}">
            <xm:f>'\Users\SDC.ParcWafi\Documents\[RPJ DIGITAL.xlsx]QUALITE'!#REF!</xm:f>
            <x14:dxf>
              <font>
                <color rgb="FF00B0F0"/>
              </font>
            </x14:dxf>
          </x14:cfRule>
          <xm:sqref>C51 C53:C54</xm:sqref>
        </x14:conditionalFormatting>
        <x14:conditionalFormatting xmlns:xm="http://schemas.microsoft.com/office/excel/2006/main">
          <x14:cfRule type="cellIs" priority="1270" operator="equal" id="{634E51C5-BEF2-4DC9-A0CF-403FED4FBBA4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1271" operator="equal" id="{7414C2D1-5379-41DE-A908-5E6707152CE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72" operator="equal" id="{A7E63E77-0C2E-4DE6-9BE3-0597A2C2943E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273" operator="equal" id="{3F732D1E-D7ED-4ADB-8CDA-26EB9FAC661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74" operator="equal" id="{2F23157E-5BA2-4349-8FDD-957E63084C23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75" operator="equal" id="{3D7D4C67-C834-4F28-BF18-DBBF740F2974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76" operator="equal" id="{93E81F6F-06D3-4A29-B9C3-7356AF0E0495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77" operator="equal" id="{07010CFA-D72B-44BB-A6B1-A1B7D2B44BDC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278" operator="equal" id="{08905EDB-C3AB-411C-8DA8-90C28933636F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279" operator="equal" id="{D7E618B2-73B8-4986-9CF9-C7375B6A4947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80" operator="equal" id="{B01C2899-5C6A-4CE5-AA3C-9DAF3ECDB48D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281" operator="equal" id="{048F41E0-EBF3-4F8E-899B-A3E6DF017B8A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282" operator="equal" id="{2B2B5A3D-1671-412F-BBD5-38D267B119FB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283" operator="equal" id="{364B8805-BB7A-408D-8893-366C4A74CA9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84" operator="equal" id="{8A64B89F-0F01-4A16-A4BD-1CF7DEA89B5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85" operator="equal" id="{6B69D3A5-9A60-45BD-AB1A-4EDDAC3CCBF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92" operator="equal" id="{D68CFE5C-8599-4982-B6B5-FBAE58FDA750}">
            <xm:f>'\Users\SDC.ParcWafi\Documents\[RPJ DIGITAL.xlsx]QUALITE'!#REF!</xm:f>
            <x14:dxf>
              <font>
                <color rgb="FF00B0F0"/>
              </font>
            </x14:dxf>
          </x14:cfRule>
          <xm:sqref>C51 C53:C54</xm:sqref>
        </x14:conditionalFormatting>
        <x14:conditionalFormatting xmlns:xm="http://schemas.microsoft.com/office/excel/2006/main">
          <x14:cfRule type="cellIs" priority="1286" operator="equal" id="{8323368D-B1D2-401A-A217-1018CDED120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87" operator="equal" id="{F265B45D-7D9A-442D-B21D-2764C2867C9F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1288" operator="equal" id="{25788E5C-7110-4033-AB0A-C08F4199D29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1289" operator="equal" id="{DD3BDB05-F2C2-420D-BECB-0DCB380DCBE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0" operator="equal" id="{683827C8-33AE-4E9B-8367-D60E3784D92B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1" operator="equal" id="{25B895DE-ADCB-445D-B15C-42530DB3043C}">
            <xm:f>'\Users\SDC.ParcWafi\Documents\[RPJ DIGITAL.xlsx]QUALITE'!#REF!</xm:f>
            <x14:dxf>
              <font>
                <color rgb="FF00B0F0"/>
              </font>
            </x14:dxf>
          </x14:cfRule>
          <xm:sqref>C51 C53:C54</xm:sqref>
        </x14:conditionalFormatting>
        <x14:conditionalFormatting xmlns:xm="http://schemas.microsoft.com/office/excel/2006/main">
          <x14:cfRule type="cellIs" priority="994" operator="equal" id="{5DFA7439-270C-4264-88F1-0C01CF9DEEAC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995" operator="equal" id="{776B16EF-4088-4D16-BB1A-F702DEF5785B}">
            <xm:f>'\Users\SDC.ParcWafi\Documents\[RPJ DIGITAL.xlsx]QUALITE'!#REF!</xm:f>
            <x14:dxf/>
          </x14:cfRule>
          <xm:sqref>C18:C40</xm:sqref>
        </x14:conditionalFormatting>
        <x14:conditionalFormatting xmlns:xm="http://schemas.microsoft.com/office/excel/2006/main">
          <x14:cfRule type="cellIs" priority="988" operator="equal" id="{D711961D-E680-444F-9B37-55A9D08E4F7D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89" operator="equal" id="{D8E8835F-745E-4731-9C90-02923C3920DF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990" operator="equal" id="{2A898675-1645-4156-A11A-B7272E52A915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991" operator="equal" id="{5CAA77DA-9DB3-4BD8-95E3-4A8034F30B1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92" operator="equal" id="{FD6F6F08-D775-4089-A274-2BC12B25F40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93" operator="equal" id="{54F5E318-C5BB-4BE5-8383-44A91C243FFE}">
            <xm:f>'\Users\SDC.ParcWafi\Documents\[RPJ DIGITAL.xlsx]QUALITE'!#REF!</xm:f>
            <x14:dxf>
              <font>
                <color rgb="FF00B0F0"/>
              </font>
            </x14:dxf>
          </x14:cfRule>
          <xm:sqref>C18:C40</xm:sqref>
        </x14:conditionalFormatting>
        <x14:conditionalFormatting xmlns:xm="http://schemas.microsoft.com/office/excel/2006/main">
          <x14:cfRule type="cellIs" priority="965" operator="equal" id="{A6A4ED5C-4429-4A41-88DA-2BF4AC5F656D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966" operator="equal" id="{349A5DC7-345B-46E7-9D8A-48D1F48767DE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967" operator="equal" id="{4E10DCE8-6A40-4BF6-AE50-D3CF0C33B27C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968" operator="equal" id="{C896309E-71CD-4E74-BF35-07D53D38A41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69" operator="equal" id="{51F16633-9048-4B9A-8842-17A33C514E02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70" operator="equal" id="{74111093-3FE2-47F7-8152-C9F7406866A0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971" operator="equal" id="{61F60E32-D5CD-4854-8456-72F832742DFB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972" operator="equal" id="{DE8AF506-5A59-45D6-A4A0-0DC7F27CC873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973" operator="equal" id="{96CFD78E-1542-4BC5-8EC0-B70378671CFF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974" operator="equal" id="{016D2B6B-B896-4598-BCED-B9685CFB7619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975" operator="equal" id="{274EF3AF-1FF0-4AD9-A796-EB1017CC37C2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976" operator="equal" id="{8CC36398-723A-419B-A52A-E0C85EB2B28F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977" operator="equal" id="{9B4AE9C4-1952-44F9-A4DB-36A1EFEB1A42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978" operator="equal" id="{FAFF7124-9C62-4357-B035-34134F07D2E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79" operator="equal" id="{1F46DB85-9599-4AB1-A1E8-0DF9CC6EF78C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80" operator="equal" id="{C0A2D7F2-0B72-4666-A70F-2F731F70AF92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87" operator="equal" id="{FC88A990-BE0B-4814-8E27-46DBC423A01F}">
            <xm:f>'\Users\SDC.ParcWafi\Documents\[RPJ DIGITAL.xlsx]QUALITE'!#REF!</xm:f>
            <x14:dxf>
              <font>
                <color rgb="FF00B0F0"/>
              </font>
            </x14:dxf>
          </x14:cfRule>
          <xm:sqref>C18:C40</xm:sqref>
        </x14:conditionalFormatting>
        <x14:conditionalFormatting xmlns:xm="http://schemas.microsoft.com/office/excel/2006/main">
          <x14:cfRule type="cellIs" priority="981" operator="equal" id="{8A0970BF-46F3-4C46-8623-84C869FE0D5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82" operator="equal" id="{27095F9C-3D77-4FE7-9EA5-094A0031CC9F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983" operator="equal" id="{B0D50DB5-6928-46AB-A629-A2C5A23149F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984" operator="equal" id="{4028508D-DB2C-41E7-B4FE-28701E3A6D6C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85" operator="equal" id="{147023CA-DE60-4456-AD12-3D1BF91E16A0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86" operator="equal" id="{408F4FBE-3C27-4E1E-9C48-468B12110A9C}">
            <xm:f>'\Users\SDC.ParcWafi\Documents\[RPJ DIGITAL.xlsx]QUALITE'!#REF!</xm:f>
            <x14:dxf>
              <font>
                <color rgb="FF00B0F0"/>
              </font>
            </x14:dxf>
          </x14:cfRule>
          <xm:sqref>C18:C40</xm:sqref>
        </x14:conditionalFormatting>
        <x14:conditionalFormatting xmlns:xm="http://schemas.microsoft.com/office/excel/2006/main">
          <x14:cfRule type="cellIs" priority="961" operator="equal" id="{04C20069-070A-4F97-897E-8EC6884A7162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962" operator="equal" id="{10B288FA-3805-41C6-B345-061B41449BFB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963" operator="equal" id="{4D938BBE-6E15-4D78-9C12-6C12CAB032FE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964" operator="equal" id="{70DFA90F-DDFF-4176-A780-F90B0B287F77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C18:C40</xm:sqref>
        </x14:conditionalFormatting>
        <x14:conditionalFormatting xmlns:xm="http://schemas.microsoft.com/office/excel/2006/main">
          <x14:cfRule type="cellIs" priority="588" operator="equal" id="{01342E5C-9EF5-4356-80CC-1EDB36FE0138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589" operator="equal" id="{4A9CF6F2-2580-41BD-8389-6DE4799EB5BF}">
            <xm:f>'\Users\SDC.ParcWafi\Documents\[RPJ DIGITAL.xlsx]QUALITE'!#REF!</xm:f>
            <x14:dxf/>
          </x14:cfRule>
          <xm:sqref>C52</xm:sqref>
        </x14:conditionalFormatting>
        <x14:conditionalFormatting xmlns:xm="http://schemas.microsoft.com/office/excel/2006/main">
          <x14:cfRule type="cellIs" priority="582" operator="equal" id="{484FF2A1-A4A5-4492-8570-12E50F2CE709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3" operator="equal" id="{717F4EE0-F2C4-4A4F-A241-1C6981CD7BAB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84" operator="equal" id="{5446B7BD-7E17-496E-B611-75CE4265F6CB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585" operator="equal" id="{882F925A-5329-41AB-AC69-C3502716736C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6" operator="equal" id="{4446E702-5B1E-40ED-B9E6-B32A57473DB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7" operator="equal" id="{62795E44-AB4D-448A-B999-E88128CE8186}">
            <xm:f>'\Users\SDC.ParcWafi\Documents\[RPJ DIGITAL.xlsx]QUALITE'!#REF!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559" operator="equal" id="{0211323D-AD20-4CE7-8E2E-7F8F7B71EBF1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560" operator="equal" id="{291ECB7A-0B92-4921-A556-350DB28CC6D9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61" operator="equal" id="{B43498B8-F9EA-4E8F-AF6C-9AA12BEB31F6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62" operator="equal" id="{DD52401D-5E67-4935-82C8-2101CB6E88FF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63" operator="equal" id="{CD81D08A-B6D5-48F8-9A13-7757D94E7A3E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64" operator="equal" id="{B9965C94-F015-4122-876C-ED760854557F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65" operator="equal" id="{F55BFC89-825C-48C5-8A20-9E11C3305B7F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66" operator="equal" id="{495E69F6-27B9-40C6-9C53-2EFDEB54610E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67" operator="equal" id="{394E826A-7DA0-477E-A192-6732119D8C7F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68" operator="equal" id="{1B550BD6-8639-4BDF-B15D-15A77BD97C94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69" operator="equal" id="{78C2A7A2-287F-42EB-93AD-FD1B9C62069E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70" operator="equal" id="{D4AB2A84-8D4E-4F63-A428-56B61CE911E8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71" operator="equal" id="{899DA4DC-9F78-45EB-A604-61209C9DADD0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72" operator="equal" id="{2A1CFE70-2695-4FA0-869E-AB02A9676B01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73" operator="equal" id="{A149AD27-1993-4483-B220-D008CD5E99AE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74" operator="equal" id="{3CEAFFBA-C130-47D7-9854-B23C840D9BC4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81" operator="equal" id="{1C288B2A-CD18-4A99-ACE8-ADD306909CDC}">
            <xm:f>'\Users\SDC.ParcWafi\Documents\[RPJ DIGITAL.xlsx]QUALITE'!#REF!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575" operator="equal" id="{0196B651-C288-4AAC-B824-16F632D373AD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76" operator="equal" id="{91EE68F9-FB2E-4CC5-83EB-F6897065C3FD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77" operator="equal" id="{C20188A3-FF6D-43AF-A261-D7D0ED277BC0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578" operator="equal" id="{443F943E-E998-44EA-B1A9-26B7AA990E70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79" operator="equal" id="{DDDAFE92-141C-4393-8B1D-CC03251C04A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0" operator="equal" id="{422FF510-9D9F-4122-BE65-F18639A3E710}">
            <xm:f>'\Users\SDC.ParcWafi\Documents\[RPJ DIGITAL.xlsx]QUALITE'!#REF!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555" operator="equal" id="{29E81256-630F-43E9-81A8-67AC7470EA78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556" operator="equal" id="{A501AA92-5373-40B0-9D43-A4BE1DE07467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557" operator="equal" id="{AEB909A2-CB70-48C1-8E21-8B627334D794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558" operator="equal" id="{BDDC682A-5CB1-4B08-9DC3-2F5E90A71264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292" operator="equal" id="{025C6647-C810-4EE6-8C6F-3122ED87D445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293" operator="equal" id="{B8DF8E13-C4C5-478B-BEF6-FA5A149E8BFD}">
            <xm:f>'\Users\SDC.ParcWafi\Documents\[RPJ DIGITAL.xlsx]QUALITE'!#REF!</xm:f>
            <x14:dxf/>
          </x14:cfRule>
          <xm:sqref>C49:C50</xm:sqref>
        </x14:conditionalFormatting>
        <x14:conditionalFormatting xmlns:xm="http://schemas.microsoft.com/office/excel/2006/main">
          <x14:cfRule type="cellIs" priority="286" operator="equal" id="{BED97681-9B1B-48E0-A139-A0970F04F62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87" operator="equal" id="{3FD10DEF-95EE-4C21-97E7-8186F482E48C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288" operator="equal" id="{648BE97D-8F2F-4BB6-88D6-8DC5DAB34F4F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289" operator="equal" id="{0E27F624-1B4B-4908-B3D5-57290CB1671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90" operator="equal" id="{2DD966E9-E366-42C9-8C25-4F4D48277BB1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91" operator="equal" id="{5E6BF89D-99CC-45F1-8CBF-36803F259DF1}">
            <xm:f>'\Users\SDC.ParcWafi\Documents\[RPJ DIGITAL.xlsx]QUALITE'!#REF!</xm:f>
            <x14:dxf>
              <font>
                <color rgb="FF00B0F0"/>
              </font>
            </x14:dxf>
          </x14:cfRule>
          <xm:sqref>C49:C50</xm:sqref>
        </x14:conditionalFormatting>
        <x14:conditionalFormatting xmlns:xm="http://schemas.microsoft.com/office/excel/2006/main">
          <x14:cfRule type="cellIs" priority="263" operator="equal" id="{545DCF00-794E-44FE-B6A4-EEE3E87D399E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264" operator="equal" id="{39D6E0BA-5B31-48A6-8A73-5F4099C518B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265" operator="equal" id="{0B897C23-9B66-4F7D-A6FE-4DB1C1F10635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266" operator="equal" id="{096719FD-81BD-4187-AE02-9EF679AFE010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67" operator="equal" id="{0E52AFBB-6F93-49F7-863B-035ACA375C18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68" operator="equal" id="{E0FF1645-7038-4E98-899C-07C9FF5DAE67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269" operator="equal" id="{E505DCFD-CB2E-4CE6-B616-B7763705F25F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270" operator="equal" id="{F3E010A7-9E4C-4845-8E70-D4DA45B533EA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271" operator="equal" id="{5C5EDB84-5489-497B-B338-7006A1D4EFC1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272" operator="equal" id="{2BD23FE1-5331-4083-A7E1-B4298F5D2280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273" operator="equal" id="{0F010497-E599-4491-954B-53147A1CF65C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274" operator="equal" id="{B1069E0B-8EC7-49DF-B6E0-266751FF22DE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275" operator="equal" id="{7E9F4392-5141-4BAF-ACF9-8F93C801672C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276" operator="equal" id="{165ADD22-C83F-44D9-A6DB-F9CCA728168D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77" operator="equal" id="{2F1EEB69-5A84-4AB6-BC6C-286C50C86DE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78" operator="equal" id="{9FFB7CB2-3D03-4655-AC70-EBE8041F800C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85" operator="equal" id="{16A83DFB-56B7-411D-9FB9-4BB49EF29E30}">
            <xm:f>'\Users\SDC.ParcWafi\Documents\[RPJ DIGITAL.xlsx]QUALITE'!#REF!</xm:f>
            <x14:dxf>
              <font>
                <color rgb="FF00B0F0"/>
              </font>
            </x14:dxf>
          </x14:cfRule>
          <xm:sqref>C49:C50</xm:sqref>
        </x14:conditionalFormatting>
        <x14:conditionalFormatting xmlns:xm="http://schemas.microsoft.com/office/excel/2006/main">
          <x14:cfRule type="cellIs" priority="279" operator="equal" id="{7CE95908-15B4-4579-9344-5B2A6B179BFB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80" operator="equal" id="{C0107913-3DB6-48C3-B200-52772CB089AC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281" operator="equal" id="{D314885C-BAF3-4C8A-9280-F0D41B6AFFB2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282" operator="equal" id="{97E70FD5-F27E-41CE-8C82-8656DC97812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83" operator="equal" id="{D49AA434-7329-4E43-8BDA-32EB25295BD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84" operator="equal" id="{57C20E6E-2DDE-4646-99F0-A5D70C36D349}">
            <xm:f>'\Users\SDC.ParcWafi\Documents\[RPJ DIGITAL.xlsx]QUALITE'!#REF!</xm:f>
            <x14:dxf>
              <font>
                <color rgb="FF00B0F0"/>
              </font>
            </x14:dxf>
          </x14:cfRule>
          <xm:sqref>C49:C50</xm:sqref>
        </x14:conditionalFormatting>
        <x14:conditionalFormatting xmlns:xm="http://schemas.microsoft.com/office/excel/2006/main">
          <x14:cfRule type="cellIs" priority="259" operator="equal" id="{0D374784-EA66-48D8-9FCC-75B61EB0C9E0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260" operator="equal" id="{CD4863F6-DAE9-4731-9760-F621B5085AD7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261" operator="equal" id="{1DE28A47-D671-4E9D-83AF-F080050F9FAA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262" operator="equal" id="{F4FF1D85-D92C-4D26-BCF6-06C133E221CB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C49:C50</xm:sqref>
        </x14:conditionalFormatting>
        <x14:conditionalFormatting xmlns:xm="http://schemas.microsoft.com/office/excel/2006/main">
          <x14:cfRule type="cellIs" priority="1" operator="equal" id="{73E3D102-51A0-48BB-B905-D442A2B4AFFD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2" operator="equal" id="{36D1A54A-882B-42C1-A417-3F4D58D63D90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3" operator="equal" id="{98957558-0B58-4580-B2C8-AEBBF40AC120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4" operator="equal" id="{88275316-1DB2-4E61-BE31-1103039DCFAC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C48</xm:sqref>
        </x14:conditionalFormatting>
        <x14:conditionalFormatting xmlns:xm="http://schemas.microsoft.com/office/excel/2006/main">
          <x14:cfRule type="cellIs" priority="70" operator="equal" id="{09639705-B554-4D59-851E-BDEAC8210A47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71" operator="equal" id="{EA9C01FD-97F0-434D-B2AB-6B9FBE877DB6}">
            <xm:f>'\Users\SDC.ParcWafi\Documents\[RPJ DIGITAL.xlsx]QUALITE'!#REF!</xm:f>
            <x14:dxf/>
          </x14:cfRule>
          <xm:sqref>C17</xm:sqref>
        </x14:conditionalFormatting>
        <x14:conditionalFormatting xmlns:xm="http://schemas.microsoft.com/office/excel/2006/main">
          <x14:cfRule type="cellIs" priority="64" operator="equal" id="{655DDFAD-1975-45B3-B4DF-7A22B810BC4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5" operator="equal" id="{6461F95D-BFA5-4D3C-B8F2-9B0D475CBD59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66" operator="equal" id="{210A36DA-20EE-4392-8463-6EE7A262807F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67" operator="equal" id="{34A9D123-8A08-49EA-9727-91A718C95BE1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8" operator="equal" id="{CDC30C12-4AA9-42BC-BB64-8939D955280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9" operator="equal" id="{3C64F6AD-86EC-42EB-A506-E6FE87034598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41" operator="equal" id="{8AB15938-0E10-45E5-AD83-DF3A70EDF123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42" operator="equal" id="{A1BE2D7B-CA86-45E1-BBC0-DBAA120CC821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3" operator="equal" id="{67A72E1A-4D45-4DD5-9875-66F50AB5298A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44" operator="equal" id="{0317F6C5-470D-4643-A6D6-A31D00719CD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45" operator="equal" id="{26BBB3D2-3996-4B30-8743-768BADD93FA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46" operator="equal" id="{07EBA10C-7398-450E-B405-BD60708E17EB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7" operator="equal" id="{E6513A46-EC53-4439-B6E3-857204125C0A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8" operator="equal" id="{64427143-BA52-43F8-B1F9-8677517EED6A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49" operator="equal" id="{17DA18DA-B8F8-463C-970C-D633EF1F33B5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0" operator="equal" id="{D6967384-F74A-4449-B2CE-ABAA31C1381D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1" operator="equal" id="{610A8998-2DF4-46CF-85FD-AB44E72F4F1E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2" operator="equal" id="{F7C94461-E886-40A5-9837-354ABF7B27A1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3" operator="equal" id="{725680B7-60A9-4884-B419-AEDBDC28FA13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4" operator="equal" id="{D83E8CEE-0314-427A-802A-DCD3919AD322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5" operator="equal" id="{82479FD8-AD2D-41F8-9ADA-93DFCA7DCE1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6" operator="equal" id="{6D53DB2F-1DC9-4C13-AF36-EB3ADD64BA3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63" operator="equal" id="{87C12888-3115-4E59-AF4D-8ED00F4FF6A4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57" operator="equal" id="{ED54930F-6DA1-4C7C-84CD-2731C0292416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" operator="equal" id="{9B126584-52A6-48C8-9BBB-8167167FD79D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9" operator="equal" id="{98A75188-9946-4868-8F20-C33EE2EABA86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60" operator="equal" id="{43EEC96B-7CDE-4563-9BBB-9806C419598A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1" operator="equal" id="{CEDB0D84-5216-46E3-BFBB-3AC7D9E64CC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2" operator="equal" id="{92C89F9F-2216-4093-B425-92811F5263BD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37" operator="equal" id="{8B6750AF-7FA0-47DA-9536-91E550E6F60A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38" operator="equal" id="{374BDBC5-4F81-4F25-8C6A-978F63DCB924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39" operator="equal" id="{2D861F5E-183E-4F45-99E7-95FDFFB2B8E9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40" operator="equal" id="{8B1E8E40-768B-4E1B-A1DB-2B7870A5EC15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34" operator="equal" id="{6DE44111-3304-4EEA-85DA-04763C4B9216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35" operator="equal" id="{021B6927-6B0C-4D56-8200-1ADEF766870A}">
            <xm:f>'\Users\SDC.ParcWafi\Documents\[RPJ DIGITAL.xlsx]QUALITE'!#REF!</xm:f>
            <x14:dxf/>
          </x14:cfRule>
          <xm:sqref>C48</xm:sqref>
        </x14:conditionalFormatting>
        <x14:conditionalFormatting xmlns:xm="http://schemas.microsoft.com/office/excel/2006/main">
          <x14:cfRule type="cellIs" priority="28" operator="equal" id="{0BBE5044-F4DC-4A95-A32B-35D04645FB22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9" operator="equal" id="{C76C9DCB-F1CD-410D-9960-728823B735AB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30" operator="equal" id="{CB5D3C3C-E4E5-41B3-88C4-D5F47B45FD8D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31" operator="equal" id="{F501A347-3F0D-4FEF-9428-32B7C20E3946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32" operator="equal" id="{AE7DDE60-7C4F-43BA-83DC-7B2BEFA3219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33" operator="equal" id="{0206ED39-E001-4311-B415-9872186D1899}">
            <xm:f>'\Users\SDC.ParcWafi\Documents\[RPJ DIGITAL.xlsx]QUALITE'!#REF!</xm:f>
            <x14:dxf>
              <font>
                <color rgb="FF00B0F0"/>
              </font>
            </x14:dxf>
          </x14:cfRule>
          <xm:sqref>C48</xm:sqref>
        </x14:conditionalFormatting>
        <x14:conditionalFormatting xmlns:xm="http://schemas.microsoft.com/office/excel/2006/main">
          <x14:cfRule type="cellIs" priority="5" operator="equal" id="{B9CF2965-3FA6-4B86-96C8-2A80546F63D7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6" operator="equal" id="{AD342444-9D7B-4DE1-AA87-95CD3B07475C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7" operator="equal" id="{CB70DE21-EF6A-48A4-A157-AEF58C3294F6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8" operator="equal" id="{07C20503-4319-4533-A554-AAF149ADE297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" operator="equal" id="{A0EA5DE0-1D97-409D-B60F-5E7782CB6DF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0" operator="equal" id="{CBBBC069-7355-415A-B7D9-6992532DE23F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1" operator="equal" id="{0B989294-063E-46FA-B863-F87E7571DC2A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" operator="equal" id="{3ED07A29-E1B6-4241-9B09-DED38F365E42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3" operator="equal" id="{12EAB0ED-B1D6-4B66-8571-B1BCA17B3422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4" operator="equal" id="{515AC8AF-7330-44B5-A0A4-5CC6CCC0317C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5" operator="equal" id="{38216C7A-0AE8-440B-A34F-D8CCF4271BF1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6" operator="equal" id="{25DDD01E-C95A-4062-BC30-6AD6EEA680EE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7" operator="equal" id="{DEBC795E-BBE9-4EA1-A8DD-711D7DADDFBD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8" operator="equal" id="{3132EC0E-E3F6-4A9F-BC23-4EF31FB8951D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9" operator="equal" id="{226FB6E3-B74D-4248-B080-AEDF66B3DBD4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0" operator="equal" id="{22E4C64E-81AC-4359-BEFB-1566E3DB1F7C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7" operator="equal" id="{DF8710EC-9CD1-4794-A7BF-F6CF0292255D}">
            <xm:f>'\Users\SDC.ParcWafi\Documents\[RPJ DIGITAL.xlsx]QUALITE'!#REF!</xm:f>
            <x14:dxf>
              <font>
                <color rgb="FF00B0F0"/>
              </font>
            </x14:dxf>
          </x14:cfRule>
          <xm:sqref>C48</xm:sqref>
        </x14:conditionalFormatting>
        <x14:conditionalFormatting xmlns:xm="http://schemas.microsoft.com/office/excel/2006/main">
          <x14:cfRule type="cellIs" priority="21" operator="equal" id="{271CA573-EBAD-4825-A466-0EB681D2E64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2" operator="equal" id="{94DDC653-3C16-4BE8-BEC2-F4B632010771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23" operator="equal" id="{5FF48A83-C060-410B-90B4-1CF4D049B7D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24" operator="equal" id="{E1036C6D-F222-4D07-842F-35B17748AC7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5" operator="equal" id="{2B8CF42A-D261-4A6E-A35A-6BCD32D5A35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6" operator="equal" id="{3A8FCE22-0975-42DC-8A06-941C31863665}">
            <xm:f>'\Users\SDC.ParcWafi\Documents\[RPJ DIGITAL.xlsx]QUALITE'!#REF!</xm:f>
            <x14:dxf>
              <font>
                <color rgb="FF00B0F0"/>
              </font>
            </x14:dxf>
          </x14:cfRule>
          <xm:sqref>C48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base!$D$4:$D$18</xm:f>
          </x14:formula1>
          <xm:sqref>C47</xm:sqref>
        </x14:dataValidation>
        <x14:dataValidation type="list" allowBlank="1" showInputMessage="1" showErrorMessage="1">
          <x14:formula1>
            <xm:f>destination!$A$2:$A$10</xm:f>
          </x14:formula1>
          <xm:sqref>D69:D70</xm:sqref>
        </x14:dataValidation>
        <x14:dataValidation type="list" allowBlank="1" showInputMessage="1" showErrorMessage="1">
          <x14:formula1>
            <xm:f>QUALITE!$A$2:$A$18</xm:f>
          </x14:formula1>
          <xm:sqref>B58:B65</xm:sqref>
        </x14:dataValidation>
        <x14:dataValidation type="list" allowBlank="1" showInputMessage="1" showErrorMessage="1">
          <x14:formula1>
            <xm:f>destination!$A$2:$A$3</xm:f>
          </x14:formula1>
          <xm:sqref>D58:D65 F49:F55 F18:F47</xm:sqref>
        </x14:dataValidation>
        <x14:dataValidation type="list" allowBlank="1" showInputMessage="1" showErrorMessage="1">
          <x14:formula1>
            <xm:f>Parametre!$C$3:$C$6</xm:f>
          </x14:formula1>
          <xm:sqref>H49:I55 H18:I47</xm:sqref>
        </x14:dataValidation>
        <x14:dataValidation type="list" allowBlank="1" showInputMessage="1" showErrorMessage="1">
          <x14:formula1>
            <xm:f>QUALITE!$D$2:$D$8</xm:f>
          </x14:formula1>
          <xm:sqref>C49:C55 C18:C46</xm:sqref>
        </x14:dataValidation>
        <x14:dataValidation type="list" allowBlank="1" showInputMessage="1" showErrorMessage="1">
          <x14:formula1>
            <xm:f>'C:\Users\SDC.ParcWafi\Desktop\Avril 2023\[Rapport  PW 21-04-2023.xlsm]destination'!#REF!</xm:f>
          </x14:formula1>
          <xm:sqref>F17 F48</xm:sqref>
        </x14:dataValidation>
        <x14:dataValidation type="list" allowBlank="1" showInputMessage="1" showErrorMessage="1">
          <x14:formula1>
            <xm:f>'C:\Users\SDC.ParcWafi\Desktop\Avril 2023\[Rapport  PW 21-04-2023.xlsm]QUALITE'!#REF!</xm:f>
          </x14:formula1>
          <xm:sqref>C17 C48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21-04-2023.xlsm]Parametre'!#REF!</xm:f>
          </x14:formula1>
          <xm:sqref>H17:I17 H48:I48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0.39997558519241921"/>
    <pageSetUpPr fitToPage="1"/>
  </sheetPr>
  <dimension ref="A1:Z122"/>
  <sheetViews>
    <sheetView showGridLines="0" topLeftCell="G7" zoomScale="70" zoomScaleNormal="70" zoomScaleSheetLayoutView="55" workbookViewId="0">
      <selection activeCell="N17" sqref="N17:N45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5.25" style="4" bestFit="1" customWidth="1"/>
    <col min="5" max="5" width="29.375" style="4" bestFit="1" customWidth="1"/>
    <col min="6" max="6" width="19.25" style="4" customWidth="1"/>
    <col min="7" max="7" width="23.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/>
    <row r="2" spans="1:19" ht="34.5" customHeight="1" thickBot="1" x14ac:dyDescent="0.4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1"/>
      <c r="D3" s="571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2"/>
      <c r="D5" s="572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3" t="s">
        <v>12</v>
      </c>
      <c r="G6" s="574"/>
      <c r="H6" s="81" t="s">
        <v>60</v>
      </c>
      <c r="I6" s="574" t="s">
        <v>96</v>
      </c>
      <c r="J6" s="574"/>
      <c r="K6" s="574" t="s">
        <v>97</v>
      </c>
      <c r="L6" s="574"/>
      <c r="M6" s="574" t="s">
        <v>98</v>
      </c>
      <c r="N6" s="574"/>
      <c r="O6" s="574"/>
      <c r="P6" s="81"/>
      <c r="Q6" s="574"/>
      <c r="R6" s="574"/>
      <c r="S6" s="29"/>
    </row>
    <row r="7" spans="1:19" ht="18.75" customHeight="1" thickBot="1" x14ac:dyDescent="0.25"/>
    <row r="8" spans="1:19" ht="36" customHeight="1" thickBot="1" x14ac:dyDescent="0.25">
      <c r="A8" s="5"/>
      <c r="B8" s="589"/>
      <c r="C8" s="590"/>
      <c r="D8" s="38" t="s">
        <v>0</v>
      </c>
      <c r="E8" s="593" t="s">
        <v>802</v>
      </c>
      <c r="F8" s="593"/>
      <c r="G8" s="593"/>
      <c r="H8" s="593"/>
      <c r="I8" s="593"/>
      <c r="J8" s="593"/>
      <c r="K8" s="593"/>
      <c r="L8" s="593"/>
      <c r="M8" s="593"/>
      <c r="N8" s="593"/>
      <c r="O8" s="593"/>
      <c r="P8" s="593"/>
      <c r="Q8" s="593"/>
      <c r="R8" s="593"/>
    </row>
    <row r="9" spans="1:19" ht="38.25" customHeight="1" thickBot="1" x14ac:dyDescent="0.25">
      <c r="A9" s="5"/>
      <c r="B9" s="591"/>
      <c r="C9" s="592"/>
      <c r="D9" s="38" t="s">
        <v>8</v>
      </c>
      <c r="E9" s="594" t="s">
        <v>100</v>
      </c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</row>
    <row r="10" spans="1:19" ht="38.25" customHeight="1" thickBot="1" x14ac:dyDescent="0.25">
      <c r="A10" s="5"/>
      <c r="B10" s="595" t="s">
        <v>99</v>
      </c>
      <c r="C10" s="596"/>
      <c r="D10" s="38" t="s">
        <v>9</v>
      </c>
      <c r="E10" s="500">
        <v>5</v>
      </c>
      <c r="F10" s="594" t="s">
        <v>125</v>
      </c>
      <c r="G10" s="594"/>
      <c r="H10" s="594"/>
      <c r="I10" s="594"/>
      <c r="J10" s="594"/>
      <c r="K10" s="594"/>
      <c r="L10" s="594"/>
      <c r="M10" s="594"/>
      <c r="N10" s="594"/>
      <c r="O10" s="594"/>
      <c r="P10" s="594"/>
      <c r="Q10" s="594"/>
      <c r="R10" s="37" t="s">
        <v>806</v>
      </c>
    </row>
    <row r="11" spans="1:19" ht="26.25" customHeight="1" x14ac:dyDescent="0.45">
      <c r="A11" s="5"/>
      <c r="B11" s="32" t="s">
        <v>530</v>
      </c>
      <c r="C11" s="30"/>
      <c r="D11" s="31"/>
    </row>
    <row r="12" spans="1:19" ht="5.25" customHeight="1" x14ac:dyDescent="0.2"/>
    <row r="13" spans="1:19" ht="24" customHeight="1" x14ac:dyDescent="0.2">
      <c r="B13" s="583" t="s">
        <v>1</v>
      </c>
      <c r="C13" s="583"/>
      <c r="D13" s="583"/>
      <c r="E13" s="583"/>
      <c r="F13" s="583"/>
      <c r="G13" s="583"/>
      <c r="H13" s="583"/>
      <c r="I13" s="583"/>
      <c r="J13" s="583"/>
      <c r="K13" s="583"/>
      <c r="L13" s="583"/>
      <c r="M13" s="583"/>
      <c r="N13" s="583"/>
      <c r="O13" s="583"/>
      <c r="P13" s="583"/>
      <c r="Q13" s="583"/>
      <c r="R13" s="583"/>
    </row>
    <row r="14" spans="1:19" ht="21" customHeight="1" x14ac:dyDescent="0.2">
      <c r="A14" s="6"/>
      <c r="B14" s="583"/>
      <c r="C14" s="583"/>
      <c r="D14" s="583"/>
      <c r="E14" s="583"/>
      <c r="F14" s="583"/>
      <c r="G14" s="583"/>
      <c r="H14" s="583"/>
      <c r="I14" s="583"/>
      <c r="J14" s="583"/>
      <c r="K14" s="583"/>
      <c r="L14" s="583"/>
      <c r="M14" s="583"/>
      <c r="N14" s="583"/>
      <c r="O14" s="583"/>
      <c r="P14" s="583"/>
      <c r="Q14" s="583"/>
      <c r="R14" s="583"/>
    </row>
    <row r="15" spans="1:19" ht="33.75" customHeight="1" thickBot="1" x14ac:dyDescent="0.5">
      <c r="A15" s="7"/>
      <c r="B15" s="166" t="s">
        <v>525</v>
      </c>
      <c r="C15" s="39"/>
      <c r="E15" s="36"/>
      <c r="J15" s="34"/>
      <c r="K15" s="34"/>
      <c r="P15" s="70" t="s">
        <v>44</v>
      </c>
      <c r="Q15" s="584">
        <f>'RPT1'!Q15:R15</f>
        <v>45038</v>
      </c>
      <c r="R15" s="584"/>
    </row>
    <row r="16" spans="1:19" s="40" customFormat="1" ht="42.75" customHeight="1" thickBot="1" x14ac:dyDescent="0.35">
      <c r="B16" s="67" t="s">
        <v>2</v>
      </c>
      <c r="C16" s="68"/>
      <c r="D16" s="68" t="s">
        <v>10</v>
      </c>
      <c r="E16" s="68" t="s">
        <v>14</v>
      </c>
      <c r="F16" s="68" t="s">
        <v>3</v>
      </c>
      <c r="G16" s="68" t="s">
        <v>95</v>
      </c>
      <c r="H16" s="585" t="s">
        <v>83</v>
      </c>
      <c r="I16" s="586"/>
      <c r="J16" s="68" t="s">
        <v>540</v>
      </c>
      <c r="K16" s="83" t="s">
        <v>4</v>
      </c>
      <c r="L16" s="68" t="s">
        <v>538</v>
      </c>
      <c r="M16" s="83" t="s">
        <v>16</v>
      </c>
      <c r="N16" s="68" t="s">
        <v>123</v>
      </c>
      <c r="O16" s="83" t="s">
        <v>6</v>
      </c>
      <c r="P16" s="585" t="s">
        <v>17</v>
      </c>
      <c r="Q16" s="587"/>
      <c r="R16" s="588"/>
      <c r="S16" s="41"/>
    </row>
    <row r="17" spans="2:26" s="271" customFormat="1" ht="32.25" customHeight="1" x14ac:dyDescent="0.5">
      <c r="B17" s="444"/>
      <c r="C17" s="398"/>
      <c r="D17" s="446"/>
      <c r="E17" s="442"/>
      <c r="F17" s="488"/>
      <c r="G17" s="447"/>
      <c r="H17" s="649"/>
      <c r="I17" s="650"/>
      <c r="J17" s="506"/>
      <c r="K17" s="503"/>
      <c r="L17" s="507"/>
      <c r="M17" s="402"/>
      <c r="N17" s="448"/>
      <c r="O17" s="443"/>
      <c r="P17" s="454"/>
      <c r="Q17" s="640"/>
      <c r="R17" s="641"/>
      <c r="S17" s="332"/>
      <c r="X17" s="354"/>
      <c r="Y17" s="354"/>
      <c r="Z17" s="354"/>
    </row>
    <row r="18" spans="2:26" s="271" customFormat="1" ht="32.25" customHeight="1" x14ac:dyDescent="0.5">
      <c r="B18" s="386"/>
      <c r="C18" s="383"/>
      <c r="D18" s="387"/>
      <c r="E18" s="294"/>
      <c r="F18" s="417"/>
      <c r="G18" s="388"/>
      <c r="H18" s="579"/>
      <c r="I18" s="580"/>
      <c r="J18" s="427"/>
      <c r="K18" s="177">
        <f t="shared" ref="K18:K35" si="0">IF(AND(H18=H17,J18-J17&lt;3000,J18-J17&gt;0),J18-J17,0)</f>
        <v>0</v>
      </c>
      <c r="L18" s="428"/>
      <c r="M18" s="194">
        <f t="shared" ref="M18:M50" si="1">IF(AND(H18=H17,L18-L17&lt;1.1,L18-L17&gt;0),L18-L17,0)</f>
        <v>0</v>
      </c>
      <c r="N18" s="429"/>
      <c r="O18" s="301" t="str">
        <f t="shared" ref="O18:O28" si="2">IF(K18=0,"-",K18/M18)</f>
        <v>-</v>
      </c>
      <c r="P18" s="303"/>
      <c r="Q18" s="644"/>
      <c r="R18" s="645"/>
      <c r="S18" s="332"/>
      <c r="X18" s="332"/>
      <c r="Y18" s="333"/>
      <c r="Z18" s="334"/>
    </row>
    <row r="19" spans="2:26" s="271" customFormat="1" ht="32.25" customHeight="1" x14ac:dyDescent="0.5">
      <c r="B19" s="511"/>
      <c r="C19" s="398"/>
      <c r="D19" s="446"/>
      <c r="E19" s="442"/>
      <c r="F19" s="515"/>
      <c r="G19" s="447"/>
      <c r="H19" s="649"/>
      <c r="I19" s="650"/>
      <c r="J19" s="518"/>
      <c r="K19" s="405"/>
      <c r="L19" s="449"/>
      <c r="M19" s="402"/>
      <c r="N19" s="519"/>
      <c r="O19" s="443" t="str">
        <f t="shared" si="2"/>
        <v>-</v>
      </c>
      <c r="P19" s="516"/>
      <c r="Q19" s="540"/>
      <c r="R19" s="541"/>
      <c r="S19" s="332"/>
      <c r="X19" s="332"/>
      <c r="Y19" s="333"/>
      <c r="Z19" s="334"/>
    </row>
    <row r="20" spans="2:26" s="271" customFormat="1" ht="32.25" customHeight="1" x14ac:dyDescent="0.5">
      <c r="B20" s="386"/>
      <c r="C20" s="323"/>
      <c r="D20" s="387"/>
      <c r="E20" s="294"/>
      <c r="F20" s="417"/>
      <c r="G20" s="388"/>
      <c r="H20" s="579"/>
      <c r="I20" s="580"/>
      <c r="J20" s="184"/>
      <c r="K20" s="177">
        <f t="shared" si="0"/>
        <v>0</v>
      </c>
      <c r="L20" s="188"/>
      <c r="M20" s="194">
        <f t="shared" si="1"/>
        <v>0</v>
      </c>
      <c r="N20" s="429"/>
      <c r="O20" s="301" t="str">
        <f t="shared" si="2"/>
        <v>-</v>
      </c>
      <c r="P20" s="493"/>
      <c r="Q20" s="598"/>
      <c r="R20" s="597"/>
      <c r="S20" s="332"/>
      <c r="X20" s="332"/>
      <c r="Y20" s="333"/>
      <c r="Z20" s="334"/>
    </row>
    <row r="21" spans="2:26" s="271" customFormat="1" ht="32.25" customHeight="1" x14ac:dyDescent="0.5">
      <c r="B21" s="386"/>
      <c r="C21" s="323"/>
      <c r="D21" s="387"/>
      <c r="E21" s="294"/>
      <c r="F21" s="417"/>
      <c r="G21" s="388"/>
      <c r="H21" s="579"/>
      <c r="I21" s="580"/>
      <c r="J21" s="427"/>
      <c r="K21" s="177">
        <f t="shared" si="0"/>
        <v>0</v>
      </c>
      <c r="L21" s="428"/>
      <c r="M21" s="194">
        <f t="shared" si="1"/>
        <v>0</v>
      </c>
      <c r="N21" s="429"/>
      <c r="O21" s="301" t="str">
        <f t="shared" si="2"/>
        <v>-</v>
      </c>
      <c r="P21" s="303"/>
      <c r="Q21" s="544"/>
      <c r="R21" s="543"/>
      <c r="S21" s="332"/>
      <c r="X21" s="332"/>
      <c r="Y21" s="333"/>
      <c r="Z21" s="334"/>
    </row>
    <row r="22" spans="2:26" s="271" customFormat="1" ht="32.25" customHeight="1" x14ac:dyDescent="0.5">
      <c r="B22" s="386"/>
      <c r="C22" s="383"/>
      <c r="D22" s="387"/>
      <c r="E22" s="294"/>
      <c r="F22" s="417"/>
      <c r="G22" s="388"/>
      <c r="H22" s="579"/>
      <c r="I22" s="580"/>
      <c r="J22" s="427"/>
      <c r="K22" s="177">
        <f t="shared" si="0"/>
        <v>0</v>
      </c>
      <c r="L22" s="428"/>
      <c r="M22" s="194">
        <f t="shared" si="1"/>
        <v>0</v>
      </c>
      <c r="N22" s="429"/>
      <c r="O22" s="301" t="str">
        <f t="shared" si="2"/>
        <v>-</v>
      </c>
      <c r="P22" s="496"/>
      <c r="Q22" s="642"/>
      <c r="R22" s="643"/>
      <c r="S22" s="332"/>
      <c r="X22" s="332"/>
      <c r="Y22" s="333"/>
      <c r="Z22" s="334"/>
    </row>
    <row r="23" spans="2:26" s="271" customFormat="1" ht="32.25" customHeight="1" x14ac:dyDescent="0.5">
      <c r="B23" s="386"/>
      <c r="C23" s="383"/>
      <c r="D23" s="387"/>
      <c r="E23" s="294"/>
      <c r="F23" s="417"/>
      <c r="G23" s="384"/>
      <c r="H23" s="579"/>
      <c r="I23" s="580"/>
      <c r="J23" s="184"/>
      <c r="K23" s="177">
        <f t="shared" si="0"/>
        <v>0</v>
      </c>
      <c r="L23" s="428"/>
      <c r="M23" s="194">
        <f t="shared" si="1"/>
        <v>0</v>
      </c>
      <c r="N23" s="429"/>
      <c r="O23" s="301" t="str">
        <f t="shared" si="2"/>
        <v>-</v>
      </c>
      <c r="P23" s="496"/>
      <c r="Q23" s="646"/>
      <c r="R23" s="645"/>
      <c r="S23" s="332"/>
      <c r="X23" s="332"/>
      <c r="Y23" s="333"/>
      <c r="Z23" s="334"/>
    </row>
    <row r="24" spans="2:26" s="271" customFormat="1" ht="32.25" customHeight="1" x14ac:dyDescent="0.5">
      <c r="B24" s="511"/>
      <c r="C24" s="445"/>
      <c r="D24" s="522"/>
      <c r="E24" s="523"/>
      <c r="F24" s="524"/>
      <c r="G24" s="447"/>
      <c r="H24" s="651"/>
      <c r="I24" s="652"/>
      <c r="J24" s="518"/>
      <c r="K24" s="405">
        <f t="shared" si="0"/>
        <v>0</v>
      </c>
      <c r="L24" s="449"/>
      <c r="M24" s="402">
        <f t="shared" si="1"/>
        <v>0</v>
      </c>
      <c r="N24" s="519"/>
      <c r="O24" s="443" t="str">
        <f t="shared" si="2"/>
        <v>-</v>
      </c>
      <c r="P24" s="532"/>
      <c r="Q24" s="647"/>
      <c r="R24" s="648"/>
      <c r="S24" s="332"/>
      <c r="X24" s="332"/>
      <c r="Y24" s="333"/>
      <c r="Z24" s="334"/>
    </row>
    <row r="25" spans="2:26" s="271" customFormat="1" ht="32.25" customHeight="1" x14ac:dyDescent="0.5">
      <c r="B25" s="386"/>
      <c r="C25" s="383"/>
      <c r="D25" s="387"/>
      <c r="E25" s="294"/>
      <c r="F25" s="417"/>
      <c r="G25" s="272"/>
      <c r="H25" s="579"/>
      <c r="I25" s="580"/>
      <c r="J25" s="178"/>
      <c r="K25" s="177">
        <f>IF(AND(H25=H24,J25-J24&lt;3000,J25-J24&gt;0),J25-J24,0)</f>
        <v>0</v>
      </c>
      <c r="L25" s="188"/>
      <c r="M25" s="194">
        <f t="shared" si="1"/>
        <v>0</v>
      </c>
      <c r="N25" s="182"/>
      <c r="O25" s="301" t="str">
        <f t="shared" si="2"/>
        <v>-</v>
      </c>
      <c r="P25" s="496"/>
      <c r="Q25" s="646"/>
      <c r="R25" s="645"/>
      <c r="S25" s="497"/>
      <c r="T25" s="497"/>
      <c r="X25" s="332"/>
      <c r="Y25" s="333"/>
      <c r="Z25" s="334"/>
    </row>
    <row r="26" spans="2:26" s="271" customFormat="1" ht="32.25" customHeight="1" x14ac:dyDescent="0.5">
      <c r="B26" s="386"/>
      <c r="C26" s="383"/>
      <c r="D26" s="387"/>
      <c r="E26" s="294"/>
      <c r="F26" s="417"/>
      <c r="G26" s="272"/>
      <c r="H26" s="579"/>
      <c r="I26" s="580"/>
      <c r="J26" s="184"/>
      <c r="K26" s="177">
        <f t="shared" si="0"/>
        <v>0</v>
      </c>
      <c r="L26" s="188"/>
      <c r="M26" s="194">
        <f t="shared" si="1"/>
        <v>0</v>
      </c>
      <c r="N26" s="492"/>
      <c r="O26" s="301" t="str">
        <f t="shared" si="2"/>
        <v>-</v>
      </c>
      <c r="P26" s="496"/>
      <c r="Q26" s="642"/>
      <c r="R26" s="643"/>
      <c r="S26" s="332"/>
      <c r="X26" s="332"/>
      <c r="Y26" s="333"/>
      <c r="Z26" s="334"/>
    </row>
    <row r="27" spans="2:26" s="271" customFormat="1" ht="32.25" customHeight="1" x14ac:dyDescent="0.5">
      <c r="B27" s="386"/>
      <c r="C27" s="383"/>
      <c r="D27" s="387"/>
      <c r="E27" s="294"/>
      <c r="F27" s="417"/>
      <c r="G27" s="388"/>
      <c r="H27" s="579"/>
      <c r="I27" s="580"/>
      <c r="J27" s="184"/>
      <c r="K27" s="177">
        <f t="shared" si="0"/>
        <v>0</v>
      </c>
      <c r="L27" s="188"/>
      <c r="M27" s="194">
        <f t="shared" si="1"/>
        <v>0</v>
      </c>
      <c r="N27" s="182"/>
      <c r="O27" s="301" t="str">
        <f t="shared" si="2"/>
        <v>-</v>
      </c>
      <c r="P27" s="303" t="s">
        <v>805</v>
      </c>
      <c r="Q27" s="544"/>
      <c r="R27" s="543"/>
      <c r="S27" s="332"/>
      <c r="X27" s="332"/>
      <c r="Y27" s="333"/>
      <c r="Z27" s="334"/>
    </row>
    <row r="28" spans="2:26" s="271" customFormat="1" ht="32.25" customHeight="1" x14ac:dyDescent="0.5">
      <c r="B28" s="444"/>
      <c r="C28" s="445"/>
      <c r="D28" s="446"/>
      <c r="E28" s="442"/>
      <c r="F28" s="515"/>
      <c r="G28" s="447"/>
      <c r="H28" s="649"/>
      <c r="I28" s="650"/>
      <c r="J28" s="401"/>
      <c r="K28" s="405">
        <f t="shared" si="0"/>
        <v>0</v>
      </c>
      <c r="L28" s="406"/>
      <c r="M28" s="402">
        <f t="shared" si="1"/>
        <v>0</v>
      </c>
      <c r="N28" s="448"/>
      <c r="O28" s="443" t="str">
        <f t="shared" si="2"/>
        <v>-</v>
      </c>
      <c r="P28" s="516"/>
      <c r="Q28" s="540"/>
      <c r="R28" s="541"/>
      <c r="S28" s="332"/>
      <c r="X28" s="332"/>
      <c r="Y28" s="333"/>
      <c r="Z28" s="334"/>
    </row>
    <row r="29" spans="2:26" s="271" customFormat="1" ht="32.25" customHeight="1" x14ac:dyDescent="0.5">
      <c r="B29" s="386"/>
      <c r="C29" s="383"/>
      <c r="D29" s="387"/>
      <c r="E29" s="294"/>
      <c r="F29" s="417"/>
      <c r="G29" s="388"/>
      <c r="H29" s="579"/>
      <c r="I29" s="580"/>
      <c r="J29" s="427"/>
      <c r="K29" s="177">
        <f t="shared" si="0"/>
        <v>0</v>
      </c>
      <c r="L29" s="428"/>
      <c r="M29" s="194">
        <f t="shared" si="1"/>
        <v>0</v>
      </c>
      <c r="N29" s="430"/>
      <c r="O29" s="301" t="str">
        <f t="shared" ref="O29:O60" si="3">IF(K29=0,"-",K29/M29)</f>
        <v>-</v>
      </c>
      <c r="P29" s="303" t="str">
        <f t="shared" ref="P29:P60" si="4">IF(F29="sc-ba"," SC-BA","")</f>
        <v/>
      </c>
      <c r="Q29" s="544"/>
      <c r="R29" s="543"/>
      <c r="S29" s="332"/>
      <c r="X29" s="332"/>
      <c r="Y29" s="333"/>
      <c r="Z29" s="334"/>
    </row>
    <row r="30" spans="2:26" s="271" customFormat="1" ht="32.25" customHeight="1" x14ac:dyDescent="0.5">
      <c r="B30" s="386"/>
      <c r="C30" s="383"/>
      <c r="D30" s="387"/>
      <c r="E30" s="294"/>
      <c r="F30" s="417"/>
      <c r="G30" s="384"/>
      <c r="H30" s="579"/>
      <c r="I30" s="580"/>
      <c r="J30" s="427"/>
      <c r="K30" s="177">
        <f t="shared" si="0"/>
        <v>0</v>
      </c>
      <c r="L30" s="428"/>
      <c r="M30" s="194">
        <f t="shared" si="1"/>
        <v>0</v>
      </c>
      <c r="N30" s="430"/>
      <c r="O30" s="301" t="str">
        <f t="shared" si="3"/>
        <v>-</v>
      </c>
      <c r="P30" s="385" t="str">
        <f t="shared" si="4"/>
        <v/>
      </c>
      <c r="Q30" s="598"/>
      <c r="R30" s="597"/>
      <c r="S30" s="332"/>
      <c r="X30" s="332"/>
      <c r="Y30" s="333"/>
      <c r="Z30" s="334"/>
    </row>
    <row r="31" spans="2:26" s="271" customFormat="1" ht="32.25" customHeight="1" x14ac:dyDescent="0.5">
      <c r="B31" s="386"/>
      <c r="C31" s="383"/>
      <c r="D31" s="387"/>
      <c r="E31" s="294"/>
      <c r="F31" s="417"/>
      <c r="G31" s="388"/>
      <c r="H31" s="579"/>
      <c r="I31" s="580"/>
      <c r="J31" s="431"/>
      <c r="K31" s="177">
        <f t="shared" si="0"/>
        <v>0</v>
      </c>
      <c r="L31" s="428"/>
      <c r="M31" s="194">
        <f t="shared" si="1"/>
        <v>0</v>
      </c>
      <c r="N31" s="430"/>
      <c r="O31" s="301" t="str">
        <f t="shared" si="3"/>
        <v>-</v>
      </c>
      <c r="P31" s="303"/>
      <c r="Q31" s="544"/>
      <c r="R31" s="543"/>
      <c r="S31" s="332"/>
      <c r="X31" s="332"/>
      <c r="Y31" s="333"/>
      <c r="Z31" s="334"/>
    </row>
    <row r="32" spans="2:26" s="310" customFormat="1" ht="32.25" customHeight="1" x14ac:dyDescent="0.5">
      <c r="B32" s="386"/>
      <c r="C32" s="383"/>
      <c r="D32" s="387"/>
      <c r="E32" s="294"/>
      <c r="F32" s="417"/>
      <c r="G32" s="272"/>
      <c r="H32" s="579"/>
      <c r="I32" s="580"/>
      <c r="J32" s="431"/>
      <c r="K32" s="177">
        <f t="shared" si="0"/>
        <v>0</v>
      </c>
      <c r="L32" s="428"/>
      <c r="M32" s="194">
        <f t="shared" si="1"/>
        <v>0</v>
      </c>
      <c r="N32" s="495"/>
      <c r="O32" s="326" t="str">
        <f t="shared" si="3"/>
        <v>-</v>
      </c>
      <c r="P32" s="385" t="str">
        <f t="shared" si="4"/>
        <v/>
      </c>
      <c r="Q32" s="598"/>
      <c r="R32" s="597"/>
      <c r="S32" s="309"/>
      <c r="X32" s="309"/>
      <c r="Y32" s="311"/>
      <c r="Z32" s="312"/>
    </row>
    <row r="33" spans="2:26" s="271" customFormat="1" ht="32.25" customHeight="1" x14ac:dyDescent="0.5">
      <c r="B33" s="386"/>
      <c r="C33" s="383"/>
      <c r="D33" s="387"/>
      <c r="E33" s="294"/>
      <c r="F33" s="417"/>
      <c r="G33" s="388"/>
      <c r="H33" s="579"/>
      <c r="I33" s="580"/>
      <c r="J33" s="431"/>
      <c r="K33" s="177">
        <f t="shared" si="0"/>
        <v>0</v>
      </c>
      <c r="L33" s="428"/>
      <c r="M33" s="194">
        <f t="shared" si="1"/>
        <v>0</v>
      </c>
      <c r="N33" s="430"/>
      <c r="O33" s="216" t="str">
        <f t="shared" si="3"/>
        <v>-</v>
      </c>
      <c r="P33" s="263"/>
      <c r="Q33" s="545"/>
      <c r="R33" s="546"/>
      <c r="S33" s="332"/>
      <c r="X33" s="332"/>
      <c r="Y33" s="333"/>
      <c r="Z33" s="334"/>
    </row>
    <row r="34" spans="2:26" s="271" customFormat="1" ht="32.25" customHeight="1" x14ac:dyDescent="0.5">
      <c r="B34" s="386"/>
      <c r="C34" s="383"/>
      <c r="D34" s="387"/>
      <c r="E34" s="294"/>
      <c r="F34" s="417"/>
      <c r="G34" s="388"/>
      <c r="H34" s="579"/>
      <c r="I34" s="580"/>
      <c r="J34" s="431"/>
      <c r="K34" s="177">
        <f t="shared" si="0"/>
        <v>0</v>
      </c>
      <c r="L34" s="428"/>
      <c r="M34" s="194">
        <f t="shared" si="1"/>
        <v>0</v>
      </c>
      <c r="N34" s="430"/>
      <c r="O34" s="216" t="str">
        <f t="shared" si="3"/>
        <v>-</v>
      </c>
      <c r="P34" s="263"/>
      <c r="Q34" s="545"/>
      <c r="R34" s="546"/>
      <c r="S34" s="332"/>
      <c r="X34" s="332"/>
      <c r="Y34" s="333"/>
      <c r="Z34" s="334"/>
    </row>
    <row r="35" spans="2:26" s="271" customFormat="1" ht="32.25" customHeight="1" x14ac:dyDescent="0.5">
      <c r="B35" s="511"/>
      <c r="C35" s="445"/>
      <c r="D35" s="446"/>
      <c r="E35" s="442"/>
      <c r="F35" s="524"/>
      <c r="G35" s="447"/>
      <c r="H35" s="651"/>
      <c r="I35" s="652"/>
      <c r="J35" s="525"/>
      <c r="K35" s="526">
        <f t="shared" si="0"/>
        <v>0</v>
      </c>
      <c r="L35" s="527"/>
      <c r="M35" s="528">
        <f t="shared" si="1"/>
        <v>0</v>
      </c>
      <c r="N35" s="529"/>
      <c r="O35" s="530" t="str">
        <f t="shared" si="3"/>
        <v>-</v>
      </c>
      <c r="P35" s="531" t="str">
        <f t="shared" si="4"/>
        <v/>
      </c>
      <c r="Q35" s="653"/>
      <c r="R35" s="654"/>
      <c r="S35" s="332"/>
      <c r="X35" s="332"/>
      <c r="Y35" s="333"/>
      <c r="Z35" s="334"/>
    </row>
    <row r="36" spans="2:26" s="271" customFormat="1" ht="32.25" customHeight="1" x14ac:dyDescent="0.5">
      <c r="B36" s="386"/>
      <c r="C36" s="383"/>
      <c r="D36" s="387"/>
      <c r="E36" s="294"/>
      <c r="F36" s="417"/>
      <c r="G36" s="384"/>
      <c r="H36" s="579"/>
      <c r="I36" s="580"/>
      <c r="J36" s="431"/>
      <c r="K36" s="177">
        <f>IF(AND(H36=H35,J36-J35&lt;3000,J36-J35&gt;0),J36-J35,0)</f>
        <v>0</v>
      </c>
      <c r="L36" s="428"/>
      <c r="M36" s="194">
        <f t="shared" si="1"/>
        <v>0</v>
      </c>
      <c r="N36" s="430"/>
      <c r="O36" s="216" t="str">
        <f t="shared" si="3"/>
        <v>-</v>
      </c>
      <c r="P36" s="263" t="str">
        <f t="shared" si="4"/>
        <v/>
      </c>
      <c r="Q36" s="545"/>
      <c r="R36" s="546"/>
      <c r="S36" s="332"/>
      <c r="X36" s="332"/>
      <c r="Y36" s="333"/>
      <c r="Z36" s="334"/>
    </row>
    <row r="37" spans="2:26" s="271" customFormat="1" ht="32.25" customHeight="1" x14ac:dyDescent="0.5">
      <c r="B37" s="189"/>
      <c r="C37" s="383"/>
      <c r="D37" s="387"/>
      <c r="E37" s="294"/>
      <c r="F37" s="417"/>
      <c r="G37" s="426"/>
      <c r="H37" s="579"/>
      <c r="I37" s="580"/>
      <c r="J37" s="431"/>
      <c r="K37" s="177">
        <f>IF(AND(H37=H36,J37-J36&lt;3000,J37-J36&gt;0),J37-J36,0)</f>
        <v>0</v>
      </c>
      <c r="L37" s="428"/>
      <c r="M37" s="194">
        <f t="shared" si="1"/>
        <v>0</v>
      </c>
      <c r="N37" s="430"/>
      <c r="O37" s="216" t="str">
        <f t="shared" si="3"/>
        <v>-</v>
      </c>
      <c r="P37" s="263" t="str">
        <f t="shared" si="4"/>
        <v/>
      </c>
      <c r="Q37" s="545"/>
      <c r="R37" s="546"/>
      <c r="S37" s="332"/>
      <c r="X37" s="332"/>
      <c r="Y37" s="333"/>
      <c r="Z37" s="334"/>
    </row>
    <row r="38" spans="2:26" s="271" customFormat="1" ht="32.25" customHeight="1" x14ac:dyDescent="0.5">
      <c r="B38" s="400"/>
      <c r="C38" s="398"/>
      <c r="D38" s="446"/>
      <c r="E38" s="442"/>
      <c r="F38" s="488"/>
      <c r="G38" s="520"/>
      <c r="H38" s="649"/>
      <c r="I38" s="650"/>
      <c r="J38" s="521"/>
      <c r="K38" s="405">
        <f>IF(AND(H38=H37,J38-J37&lt;3000,J38-J37&gt;0),J38-J37,0)</f>
        <v>0</v>
      </c>
      <c r="L38" s="449"/>
      <c r="M38" s="402">
        <f t="shared" si="1"/>
        <v>0</v>
      </c>
      <c r="N38" s="448"/>
      <c r="O38" s="216" t="str">
        <f t="shared" si="3"/>
        <v>-</v>
      </c>
      <c r="P38" s="263" t="str">
        <f t="shared" si="4"/>
        <v/>
      </c>
      <c r="Q38" s="545"/>
      <c r="R38" s="546"/>
      <c r="S38" s="332"/>
      <c r="X38" s="332"/>
      <c r="Y38" s="333"/>
      <c r="Z38" s="334"/>
    </row>
    <row r="39" spans="2:26" s="271" customFormat="1" ht="33.75" customHeight="1" x14ac:dyDescent="0.5">
      <c r="B39" s="189"/>
      <c r="C39" s="279"/>
      <c r="D39" s="387"/>
      <c r="E39" s="294"/>
      <c r="F39" s="289"/>
      <c r="G39" s="426"/>
      <c r="H39" s="579"/>
      <c r="I39" s="580"/>
      <c r="J39" s="431"/>
      <c r="K39" s="177">
        <f t="shared" ref="K39:K49" si="5">IF(AND(H39=H38,J39-J38&lt;3000,J39-J38&gt;0),J39-J38,0)</f>
        <v>0</v>
      </c>
      <c r="L39" s="428"/>
      <c r="M39" s="194">
        <f t="shared" si="1"/>
        <v>0</v>
      </c>
      <c r="N39" s="430"/>
      <c r="O39" s="216" t="str">
        <f t="shared" si="3"/>
        <v>-</v>
      </c>
      <c r="P39" s="263" t="str">
        <f t="shared" si="4"/>
        <v/>
      </c>
      <c r="Q39" s="545"/>
      <c r="R39" s="546"/>
      <c r="S39" s="332"/>
      <c r="X39" s="332"/>
      <c r="Y39" s="333"/>
      <c r="Z39" s="334"/>
    </row>
    <row r="40" spans="2:26" s="271" customFormat="1" ht="32.25" customHeight="1" x14ac:dyDescent="0.5">
      <c r="B40" s="424"/>
      <c r="C40" s="279"/>
      <c r="D40" s="387"/>
      <c r="E40" s="280"/>
      <c r="F40" s="417"/>
      <c r="G40" s="426"/>
      <c r="H40" s="579"/>
      <c r="I40" s="580"/>
      <c r="J40" s="431"/>
      <c r="K40" s="177">
        <f t="shared" si="5"/>
        <v>0</v>
      </c>
      <c r="L40" s="366"/>
      <c r="M40" s="194">
        <f t="shared" si="1"/>
        <v>0</v>
      </c>
      <c r="N40" s="455"/>
      <c r="O40" s="301" t="str">
        <f t="shared" si="3"/>
        <v>-</v>
      </c>
      <c r="P40" s="303" t="str">
        <f t="shared" si="4"/>
        <v/>
      </c>
      <c r="Q40" s="544"/>
      <c r="R40" s="543"/>
      <c r="S40" s="332"/>
      <c r="X40" s="332"/>
      <c r="Y40" s="333"/>
      <c r="Z40" s="334"/>
    </row>
    <row r="41" spans="2:26" s="271" customFormat="1" ht="32.25" customHeight="1" x14ac:dyDescent="0.5">
      <c r="B41" s="534"/>
      <c r="C41" s="535"/>
      <c r="D41" s="522"/>
      <c r="E41" s="536"/>
      <c r="F41" s="524"/>
      <c r="G41" s="537"/>
      <c r="H41" s="651"/>
      <c r="I41" s="652"/>
      <c r="J41" s="525"/>
      <c r="K41" s="526">
        <f t="shared" si="5"/>
        <v>0</v>
      </c>
      <c r="L41" s="507"/>
      <c r="M41" s="528">
        <f t="shared" si="1"/>
        <v>0</v>
      </c>
      <c r="N41" s="538"/>
      <c r="O41" s="505" t="str">
        <f t="shared" si="3"/>
        <v>-</v>
      </c>
      <c r="P41" s="539" t="str">
        <f t="shared" si="4"/>
        <v/>
      </c>
      <c r="Q41" s="638"/>
      <c r="R41" s="639"/>
      <c r="S41" s="332"/>
      <c r="X41" s="332"/>
      <c r="Y41" s="333"/>
      <c r="Z41" s="334"/>
    </row>
    <row r="42" spans="2:26" s="271" customFormat="1" ht="32.25" customHeight="1" x14ac:dyDescent="0.5">
      <c r="B42" s="424"/>
      <c r="C42" s="279"/>
      <c r="D42" s="456"/>
      <c r="E42" s="460"/>
      <c r="F42" s="417"/>
      <c r="G42" s="457"/>
      <c r="H42" s="579"/>
      <c r="I42" s="580"/>
      <c r="J42" s="458"/>
      <c r="K42" s="177">
        <f t="shared" si="5"/>
        <v>0</v>
      </c>
      <c r="L42" s="366"/>
      <c r="M42" s="194">
        <f t="shared" si="1"/>
        <v>0</v>
      </c>
      <c r="N42" s="459"/>
      <c r="O42" s="301" t="str">
        <f t="shared" si="3"/>
        <v>-</v>
      </c>
      <c r="P42" s="303"/>
      <c r="Q42" s="472"/>
      <c r="R42" s="471"/>
      <c r="S42" s="332"/>
      <c r="X42" s="332"/>
      <c r="Y42" s="333"/>
      <c r="Z42" s="334"/>
    </row>
    <row r="43" spans="2:26" s="271" customFormat="1" ht="32.25" customHeight="1" x14ac:dyDescent="0.5">
      <c r="B43" s="424"/>
      <c r="C43" s="425"/>
      <c r="D43" s="456"/>
      <c r="E43" s="460"/>
      <c r="F43" s="417"/>
      <c r="G43" s="457"/>
      <c r="H43" s="579"/>
      <c r="I43" s="580"/>
      <c r="J43" s="458"/>
      <c r="K43" s="287">
        <f t="shared" si="5"/>
        <v>0</v>
      </c>
      <c r="L43" s="366"/>
      <c r="M43" s="288">
        <f t="shared" si="1"/>
        <v>0</v>
      </c>
      <c r="N43" s="459"/>
      <c r="O43" s="301" t="str">
        <f t="shared" si="3"/>
        <v>-</v>
      </c>
      <c r="P43" s="303"/>
      <c r="Q43" s="472"/>
      <c r="R43" s="471"/>
      <c r="S43" s="332"/>
      <c r="X43" s="332"/>
      <c r="Y43" s="333"/>
      <c r="Z43" s="334"/>
    </row>
    <row r="44" spans="2:26" s="271" customFormat="1" ht="32.25" customHeight="1" x14ac:dyDescent="0.5">
      <c r="B44" s="424"/>
      <c r="C44" s="425"/>
      <c r="D44" s="456"/>
      <c r="E44" s="460"/>
      <c r="F44" s="417"/>
      <c r="G44" s="457"/>
      <c r="H44" s="579"/>
      <c r="I44" s="580"/>
      <c r="J44" s="458"/>
      <c r="K44" s="287">
        <f t="shared" si="5"/>
        <v>0</v>
      </c>
      <c r="L44" s="366"/>
      <c r="M44" s="288">
        <f t="shared" si="1"/>
        <v>0</v>
      </c>
      <c r="N44" s="459"/>
      <c r="O44" s="301" t="str">
        <f t="shared" si="3"/>
        <v>-</v>
      </c>
      <c r="P44" s="303"/>
      <c r="Q44" s="472"/>
      <c r="R44" s="471"/>
      <c r="S44" s="332"/>
      <c r="X44" s="332"/>
      <c r="Y44" s="333"/>
      <c r="Z44" s="334"/>
    </row>
    <row r="45" spans="2:26" s="271" customFormat="1" ht="32.25" customHeight="1" x14ac:dyDescent="0.5">
      <c r="B45" s="424"/>
      <c r="C45" s="425"/>
      <c r="D45" s="456"/>
      <c r="E45" s="460"/>
      <c r="F45" s="417"/>
      <c r="G45" s="457"/>
      <c r="H45" s="579"/>
      <c r="I45" s="580"/>
      <c r="J45" s="458"/>
      <c r="K45" s="287">
        <f t="shared" si="5"/>
        <v>0</v>
      </c>
      <c r="L45" s="366"/>
      <c r="M45" s="288">
        <f t="shared" si="1"/>
        <v>0</v>
      </c>
      <c r="N45" s="459"/>
      <c r="O45" s="301" t="str">
        <f t="shared" si="3"/>
        <v>-</v>
      </c>
      <c r="P45" s="303"/>
      <c r="Q45" s="472"/>
      <c r="R45" s="471"/>
      <c r="S45" s="332"/>
      <c r="X45" s="332"/>
      <c r="Y45" s="333"/>
      <c r="Z45" s="334"/>
    </row>
    <row r="46" spans="2:26" s="271" customFormat="1" ht="32.25" customHeight="1" x14ac:dyDescent="0.5">
      <c r="B46" s="424"/>
      <c r="C46" s="425"/>
      <c r="D46" s="456"/>
      <c r="E46" s="460"/>
      <c r="F46" s="417"/>
      <c r="G46" s="457"/>
      <c r="H46" s="579"/>
      <c r="I46" s="580"/>
      <c r="J46" s="458"/>
      <c r="K46" s="287">
        <f t="shared" si="5"/>
        <v>0</v>
      </c>
      <c r="L46" s="366"/>
      <c r="M46" s="288">
        <f t="shared" si="1"/>
        <v>0</v>
      </c>
      <c r="N46" s="459"/>
      <c r="O46" s="301" t="str">
        <f t="shared" si="3"/>
        <v>-</v>
      </c>
      <c r="P46" s="303"/>
      <c r="Q46" s="472"/>
      <c r="R46" s="471"/>
      <c r="S46" s="332"/>
      <c r="X46" s="332"/>
      <c r="Y46" s="333"/>
      <c r="Z46" s="334"/>
    </row>
    <row r="47" spans="2:26" s="271" customFormat="1" ht="32.25" customHeight="1" x14ac:dyDescent="0.5">
      <c r="B47" s="424"/>
      <c r="C47" s="425"/>
      <c r="D47" s="456"/>
      <c r="E47" s="460"/>
      <c r="F47" s="417"/>
      <c r="G47" s="457"/>
      <c r="H47" s="579"/>
      <c r="I47" s="580"/>
      <c r="J47" s="458"/>
      <c r="K47" s="287">
        <f t="shared" si="5"/>
        <v>0</v>
      </c>
      <c r="L47" s="366"/>
      <c r="M47" s="288">
        <f t="shared" si="1"/>
        <v>0</v>
      </c>
      <c r="N47" s="459"/>
      <c r="O47" s="301"/>
      <c r="P47" s="303"/>
      <c r="Q47" s="436"/>
      <c r="R47" s="437"/>
      <c r="S47" s="332"/>
      <c r="X47" s="332"/>
      <c r="Y47" s="333"/>
      <c r="Z47" s="334"/>
    </row>
    <row r="48" spans="2:26" s="271" customFormat="1" ht="32.25" customHeight="1" x14ac:dyDescent="0.5">
      <c r="B48" s="424"/>
      <c r="C48" s="425"/>
      <c r="D48" s="456"/>
      <c r="E48" s="460"/>
      <c r="F48" s="417"/>
      <c r="G48" s="457"/>
      <c r="H48" s="579"/>
      <c r="I48" s="580"/>
      <c r="J48" s="458"/>
      <c r="K48" s="287">
        <f t="shared" si="5"/>
        <v>0</v>
      </c>
      <c r="L48" s="366"/>
      <c r="M48" s="288">
        <f t="shared" si="1"/>
        <v>0</v>
      </c>
      <c r="N48" s="459"/>
      <c r="O48" s="301"/>
      <c r="P48" s="303"/>
      <c r="Q48" s="436"/>
      <c r="R48" s="437"/>
      <c r="S48" s="332"/>
      <c r="X48" s="332"/>
      <c r="Y48" s="333"/>
      <c r="Z48" s="334"/>
    </row>
    <row r="49" spans="2:26" s="271" customFormat="1" ht="32.25" customHeight="1" x14ac:dyDescent="0.5">
      <c r="B49" s="424"/>
      <c r="C49" s="425"/>
      <c r="D49" s="456"/>
      <c r="E49" s="460"/>
      <c r="F49" s="417"/>
      <c r="G49" s="457"/>
      <c r="H49" s="579"/>
      <c r="I49" s="580"/>
      <c r="J49" s="458"/>
      <c r="K49" s="287">
        <f t="shared" si="5"/>
        <v>0</v>
      </c>
      <c r="L49" s="366"/>
      <c r="M49" s="288">
        <f t="shared" si="1"/>
        <v>0</v>
      </c>
      <c r="N49" s="459"/>
      <c r="O49" s="301" t="str">
        <f t="shared" si="3"/>
        <v>-</v>
      </c>
      <c r="P49" s="303"/>
      <c r="Q49" s="436"/>
      <c r="R49" s="437"/>
      <c r="S49" s="332"/>
      <c r="X49" s="332"/>
      <c r="Y49" s="333"/>
      <c r="Z49" s="334"/>
    </row>
    <row r="50" spans="2:26" ht="32.25" customHeight="1" x14ac:dyDescent="0.5">
      <c r="B50" s="217"/>
      <c r="C50" s="215"/>
      <c r="D50" s="273"/>
      <c r="E50" s="274"/>
      <c r="F50" s="335"/>
      <c r="G50" s="275"/>
      <c r="H50" s="655"/>
      <c r="I50" s="656"/>
      <c r="J50" s="276"/>
      <c r="K50" s="299">
        <f>IF(AND(H50=H45,J50-J45&lt;3000,J50-J45&gt;0),J50-J45,0)</f>
        <v>0</v>
      </c>
      <c r="L50" s="366"/>
      <c r="M50" s="300">
        <f t="shared" si="1"/>
        <v>0</v>
      </c>
      <c r="N50" s="277"/>
      <c r="O50" s="216" t="str">
        <f t="shared" si="3"/>
        <v>-</v>
      </c>
      <c r="P50" s="263" t="str">
        <f t="shared" si="4"/>
        <v/>
      </c>
      <c r="Q50" s="545"/>
      <c r="R50" s="546"/>
      <c r="S50" s="9"/>
      <c r="X50" s="75"/>
      <c r="Y50" s="76"/>
      <c r="Z50" s="77"/>
    </row>
    <row r="51" spans="2:26" ht="32.25" customHeight="1" x14ac:dyDescent="0.7">
      <c r="B51" s="218"/>
      <c r="C51" s="219"/>
      <c r="D51" s="298"/>
      <c r="E51" s="202"/>
      <c r="F51" s="220"/>
      <c r="G51" s="221"/>
      <c r="H51" s="606"/>
      <c r="I51" s="607"/>
      <c r="J51" s="180"/>
      <c r="K51" s="359"/>
      <c r="L51" s="367"/>
      <c r="M51" s="361"/>
      <c r="N51" s="205"/>
      <c r="O51" s="250" t="str">
        <f t="shared" si="3"/>
        <v>-</v>
      </c>
      <c r="P51" s="264" t="str">
        <f t="shared" si="4"/>
        <v/>
      </c>
      <c r="Q51" s="608"/>
      <c r="R51" s="609"/>
      <c r="S51" s="9"/>
      <c r="X51" s="75"/>
      <c r="Y51" s="76"/>
      <c r="Z51" s="77"/>
    </row>
    <row r="52" spans="2:26" s="165" customFormat="1" ht="32.25" customHeight="1" x14ac:dyDescent="0.5">
      <c r="B52" s="400"/>
      <c r="C52" s="445"/>
      <c r="D52" s="446"/>
      <c r="E52" s="442"/>
      <c r="F52" s="468"/>
      <c r="G52" s="399"/>
      <c r="H52" s="657"/>
      <c r="I52" s="658"/>
      <c r="J52" s="478"/>
      <c r="K52" s="405">
        <f t="shared" ref="K52" si="6">IF(AND(H52=H51,J52-J51&lt;3000,J52-J51&gt;0),J52-J51,0)</f>
        <v>0</v>
      </c>
      <c r="L52" s="451"/>
      <c r="M52" s="402">
        <f t="shared" ref="M52" si="7">IF(AND(H52=H51,L52-L51&lt;1.1,L52-L51&gt;0),L52-L51,0)</f>
        <v>0</v>
      </c>
      <c r="N52" s="403"/>
      <c r="O52" s="443" t="str">
        <f t="shared" si="3"/>
        <v>-</v>
      </c>
      <c r="P52" s="479" t="str">
        <f t="shared" si="4"/>
        <v/>
      </c>
      <c r="Q52" s="540"/>
      <c r="R52" s="541"/>
      <c r="S52" s="75"/>
      <c r="X52" s="75"/>
      <c r="Y52" s="76"/>
      <c r="Z52" s="77"/>
    </row>
    <row r="53" spans="2:26" ht="32.25" customHeight="1" x14ac:dyDescent="0.5">
      <c r="B53" s="189"/>
      <c r="C53" s="215"/>
      <c r="D53" s="191"/>
      <c r="E53" s="191"/>
      <c r="F53" s="143"/>
      <c r="G53" s="193"/>
      <c r="H53" s="634"/>
      <c r="I53" s="635"/>
      <c r="J53" s="305"/>
      <c r="K53" s="287">
        <f t="shared" ref="K53:K60" si="8">IF(AND(H53=H52,J53-J52&lt;3000,J53-J52&gt;0),J53-J52,0)</f>
        <v>0</v>
      </c>
      <c r="L53" s="290"/>
      <c r="M53" s="288">
        <f t="shared" ref="M53:M60" si="9">IF(AND(H53=H52,L53-L52&lt;1.1,L53-L52&gt;0),L53-L52,0)</f>
        <v>0</v>
      </c>
      <c r="N53" s="185"/>
      <c r="O53" s="216" t="str">
        <f t="shared" si="3"/>
        <v>-</v>
      </c>
      <c r="P53" s="263" t="str">
        <f t="shared" si="4"/>
        <v/>
      </c>
      <c r="Q53" s="545"/>
      <c r="R53" s="546"/>
      <c r="S53" s="75"/>
      <c r="X53" s="75"/>
      <c r="Y53" s="76"/>
      <c r="Z53" s="77"/>
    </row>
    <row r="54" spans="2:26" s="165" customFormat="1" ht="32.25" customHeight="1" x14ac:dyDescent="0.6">
      <c r="B54" s="189"/>
      <c r="C54" s="383"/>
      <c r="D54" s="494"/>
      <c r="E54" s="270"/>
      <c r="F54" s="417"/>
      <c r="G54" s="384"/>
      <c r="H54" s="659"/>
      <c r="I54" s="635"/>
      <c r="J54" s="178"/>
      <c r="K54" s="287">
        <f t="shared" si="8"/>
        <v>0</v>
      </c>
      <c r="L54" s="290"/>
      <c r="M54" s="288">
        <f t="shared" si="9"/>
        <v>0</v>
      </c>
      <c r="N54" s="292"/>
      <c r="O54" s="301" t="str">
        <f t="shared" si="3"/>
        <v>-</v>
      </c>
      <c r="P54" s="303"/>
      <c r="Q54" s="598"/>
      <c r="R54" s="597"/>
      <c r="S54" s="75"/>
      <c r="X54" s="75"/>
      <c r="Y54" s="76"/>
      <c r="Z54" s="77"/>
    </row>
    <row r="55" spans="2:26" ht="32.25" customHeight="1" x14ac:dyDescent="0.5">
      <c r="B55" s="189"/>
      <c r="C55" s="215"/>
      <c r="D55" s="251"/>
      <c r="E55" s="270"/>
      <c r="F55" s="143"/>
      <c r="G55" s="193"/>
      <c r="H55" s="634"/>
      <c r="I55" s="635"/>
      <c r="J55" s="184"/>
      <c r="K55" s="287">
        <f t="shared" si="8"/>
        <v>0</v>
      </c>
      <c r="L55" s="366"/>
      <c r="M55" s="288">
        <f t="shared" si="9"/>
        <v>0</v>
      </c>
      <c r="N55" s="185"/>
      <c r="O55" s="216" t="str">
        <f t="shared" si="3"/>
        <v>-</v>
      </c>
      <c r="P55" s="263"/>
      <c r="Q55" s="284"/>
      <c r="R55" s="285"/>
      <c r="S55" s="9"/>
      <c r="X55" s="75"/>
      <c r="Y55" s="76"/>
      <c r="Z55" s="77"/>
    </row>
    <row r="56" spans="2:26" ht="32.25" customHeight="1" x14ac:dyDescent="0.5">
      <c r="B56" s="196"/>
      <c r="C56" s="215"/>
      <c r="D56" s="251"/>
      <c r="E56" s="270"/>
      <c r="F56" s="143"/>
      <c r="G56" s="197"/>
      <c r="H56" s="634"/>
      <c r="I56" s="635"/>
      <c r="J56" s="179"/>
      <c r="K56" s="287">
        <f t="shared" si="8"/>
        <v>0</v>
      </c>
      <c r="L56" s="366"/>
      <c r="M56" s="288">
        <f t="shared" si="9"/>
        <v>0</v>
      </c>
      <c r="N56" s="183"/>
      <c r="O56" s="216" t="str">
        <f t="shared" si="3"/>
        <v>-</v>
      </c>
      <c r="P56" s="263"/>
      <c r="Q56" s="268"/>
      <c r="R56" s="269"/>
      <c r="S56" s="9"/>
      <c r="X56" s="75"/>
      <c r="Y56" s="76"/>
      <c r="Z56" s="77"/>
    </row>
    <row r="57" spans="2:26" ht="32.25" customHeight="1" x14ac:dyDescent="0.5">
      <c r="B57" s="196"/>
      <c r="C57" s="215"/>
      <c r="D57" s="198"/>
      <c r="E57" s="198"/>
      <c r="F57" s="143"/>
      <c r="G57" s="197"/>
      <c r="H57" s="266"/>
      <c r="I57" s="267"/>
      <c r="J57" s="179"/>
      <c r="K57" s="287">
        <f t="shared" si="8"/>
        <v>0</v>
      </c>
      <c r="L57" s="366"/>
      <c r="M57" s="288">
        <f t="shared" si="9"/>
        <v>0</v>
      </c>
      <c r="N57" s="183"/>
      <c r="O57" s="216" t="str">
        <f t="shared" si="3"/>
        <v>-</v>
      </c>
      <c r="P57" s="263"/>
      <c r="Q57" s="268"/>
      <c r="R57" s="269"/>
      <c r="S57" s="9"/>
      <c r="X57" s="75"/>
      <c r="Y57" s="76"/>
      <c r="Z57" s="77"/>
    </row>
    <row r="58" spans="2:26" ht="32.25" customHeight="1" x14ac:dyDescent="0.5">
      <c r="B58" s="196"/>
      <c r="C58" s="215"/>
      <c r="D58" s="198"/>
      <c r="E58" s="198"/>
      <c r="F58" s="143"/>
      <c r="G58" s="197"/>
      <c r="H58" s="266"/>
      <c r="I58" s="267"/>
      <c r="J58" s="179"/>
      <c r="K58" s="287">
        <f t="shared" si="8"/>
        <v>0</v>
      </c>
      <c r="L58" s="366"/>
      <c r="M58" s="288">
        <f t="shared" si="9"/>
        <v>0</v>
      </c>
      <c r="N58" s="183"/>
      <c r="O58" s="216" t="str">
        <f t="shared" si="3"/>
        <v>-</v>
      </c>
      <c r="P58" s="263"/>
      <c r="Q58" s="268"/>
      <c r="R58" s="269"/>
      <c r="S58" s="9"/>
      <c r="X58" s="75"/>
      <c r="Y58" s="76"/>
      <c r="Z58" s="77"/>
    </row>
    <row r="59" spans="2:26" ht="32.25" customHeight="1" x14ac:dyDescent="0.5">
      <c r="B59" s="222"/>
      <c r="C59" s="215"/>
      <c r="D59" s="198"/>
      <c r="E59" s="198"/>
      <c r="F59" s="143"/>
      <c r="G59" s="224"/>
      <c r="H59" s="628"/>
      <c r="I59" s="629"/>
      <c r="J59" s="179"/>
      <c r="K59" s="287">
        <f t="shared" si="8"/>
        <v>0</v>
      </c>
      <c r="L59" s="366"/>
      <c r="M59" s="288">
        <f t="shared" si="9"/>
        <v>0</v>
      </c>
      <c r="N59" s="183"/>
      <c r="O59" s="216" t="str">
        <f t="shared" si="3"/>
        <v>-</v>
      </c>
      <c r="P59" s="263" t="str">
        <f t="shared" si="4"/>
        <v/>
      </c>
      <c r="Q59" s="545"/>
      <c r="R59" s="546"/>
      <c r="S59" s="9"/>
      <c r="X59" s="75"/>
      <c r="Y59" s="76"/>
      <c r="Z59" s="77"/>
    </row>
    <row r="60" spans="2:26" ht="32.25" customHeight="1" thickBot="1" x14ac:dyDescent="0.55000000000000004">
      <c r="B60" s="225"/>
      <c r="C60" s="282"/>
      <c r="D60" s="208"/>
      <c r="E60" s="208"/>
      <c r="F60" s="209"/>
      <c r="G60" s="226"/>
      <c r="H60" s="557"/>
      <c r="I60" s="558"/>
      <c r="J60" s="181"/>
      <c r="K60" s="368">
        <f t="shared" si="8"/>
        <v>0</v>
      </c>
      <c r="L60" s="369"/>
      <c r="M60" s="370">
        <f t="shared" si="9"/>
        <v>0</v>
      </c>
      <c r="N60" s="213"/>
      <c r="O60" s="355" t="str">
        <f t="shared" si="3"/>
        <v>-</v>
      </c>
      <c r="P60" s="265" t="str">
        <f t="shared" si="4"/>
        <v/>
      </c>
      <c r="Q60" s="547"/>
      <c r="R60" s="548"/>
      <c r="S60" s="9"/>
      <c r="X60" s="75"/>
      <c r="Y60" s="76"/>
      <c r="Z60" s="77"/>
    </row>
    <row r="61" spans="2:26" ht="17.25" customHeight="1" thickBot="1" x14ac:dyDescent="0.25">
      <c r="H61" s="568"/>
      <c r="I61" s="568"/>
      <c r="X61" s="75"/>
      <c r="Y61" s="76"/>
      <c r="Z61" s="77"/>
    </row>
    <row r="62" spans="2:26" ht="30.4" customHeight="1" thickBot="1" x14ac:dyDescent="0.25">
      <c r="B62" s="569" t="s">
        <v>13</v>
      </c>
      <c r="C62" s="570"/>
      <c r="D62" s="255" t="s">
        <v>3</v>
      </c>
      <c r="E62" s="570" t="s">
        <v>15</v>
      </c>
      <c r="F62" s="570"/>
      <c r="G62" s="570" t="s">
        <v>7</v>
      </c>
      <c r="H62" s="570"/>
      <c r="I62" s="570"/>
      <c r="J62" s="255" t="s">
        <v>5</v>
      </c>
      <c r="K62" s="570" t="s">
        <v>6</v>
      </c>
      <c r="L62" s="627"/>
      <c r="M62" s="80"/>
      <c r="N62" s="80"/>
      <c r="P62" s="82" t="s">
        <v>15</v>
      </c>
      <c r="Q62" s="83" t="s">
        <v>16</v>
      </c>
      <c r="R62" s="84" t="s">
        <v>6</v>
      </c>
      <c r="S62" s="79"/>
      <c r="X62" s="75"/>
      <c r="Y62" s="76"/>
      <c r="Z62" s="77"/>
    </row>
    <row r="63" spans="2:26" ht="32.25" customHeight="1" x14ac:dyDescent="0.5">
      <c r="B63" s="564" t="s">
        <v>36</v>
      </c>
      <c r="C63" s="565"/>
      <c r="D63" s="253" t="s">
        <v>117</v>
      </c>
      <c r="E63" s="662">
        <f>SUMIFS('RPT2 '!$K$17:$K$60,'RPT2 '!$C$17:$C$60,'RPT2 '!B63,'RPT2 '!$F$17:$F$60,D63)</f>
        <v>0</v>
      </c>
      <c r="F63" s="662"/>
      <c r="G63" s="663">
        <f>SUMIFS('RPT2 '!$D$89:$D$122,'RPT2 '!$B$89:$B$122,'RPT2 '!D63,'RPT2 '!$C$89:$C$122,'RPT2 '!B63)*E63</f>
        <v>0</v>
      </c>
      <c r="H63" s="663"/>
      <c r="I63" s="663"/>
      <c r="J63" s="254">
        <f>SUMIFS('RPT2 '!$M$17:$M$60,'RPT2 '!$C$17:$C$60,'RPT2 '!B63,'RPT2 '!$F$17:$F$60,D63)</f>
        <v>0</v>
      </c>
      <c r="K63" s="566" t="str">
        <f t="shared" ref="K63:K70" si="10">IF(E63=0,"-",E63/J63)</f>
        <v>-</v>
      </c>
      <c r="L63" s="567"/>
      <c r="M63" s="10"/>
      <c r="N63" s="59" t="s">
        <v>124</v>
      </c>
      <c r="O63" s="64">
        <v>1</v>
      </c>
      <c r="P63" s="168">
        <f>SUMIFS('RPT2 '!$K$17:$K$60,'RPT2 '!$N$17:$N$60,O63)</f>
        <v>0</v>
      </c>
      <c r="Q63" s="174">
        <f>SUMIFS('RPT2 '!$M$17:$M$60,'RPT2 '!$N$17:$N$60,O63)</f>
        <v>0</v>
      </c>
      <c r="R63" s="169" t="e">
        <f>P63/Q63</f>
        <v>#DIV/0!</v>
      </c>
      <c r="S63" s="11"/>
      <c r="X63" s="75"/>
      <c r="Y63" s="76"/>
      <c r="Z63" s="77"/>
    </row>
    <row r="64" spans="2:26" ht="32.25" customHeight="1" x14ac:dyDescent="0.5">
      <c r="B64" s="564" t="s">
        <v>36</v>
      </c>
      <c r="C64" s="565"/>
      <c r="D64" s="253" t="s">
        <v>116</v>
      </c>
      <c r="E64" s="660">
        <f>SUMIFS('RPT2 '!$K$17:$K$60,'RPT2 '!$C$17:$C$60,'RPT2 '!B64,'RPT2 '!$F$17:$F$60,D64)</f>
        <v>0</v>
      </c>
      <c r="F64" s="660"/>
      <c r="G64" s="661">
        <f>SUMIFS('RPT2 '!$D$89:$D$122,'RPT2 '!$B$89:$B$122,'RPT2 '!D64,'RPT2 '!$C$89:$C$122,'RPT2 '!B64)*E64</f>
        <v>0</v>
      </c>
      <c r="H64" s="661"/>
      <c r="I64" s="661"/>
      <c r="J64" s="135">
        <f>SUMIFS('RPT2 '!$M$17:$M$60,'RPT2 '!$C$17:$C$60,'RPT2 '!B64,'RPT2 '!$F$17:$F$60,D64)</f>
        <v>0</v>
      </c>
      <c r="K64" s="559" t="str">
        <f t="shared" si="10"/>
        <v>-</v>
      </c>
      <c r="L64" s="560"/>
      <c r="M64" s="10"/>
      <c r="N64" s="60" t="s">
        <v>124</v>
      </c>
      <c r="O64" s="65">
        <v>2</v>
      </c>
      <c r="P64" s="170">
        <f>SUMIFS('RPT2 '!$K$17:$K$60,'RPT2 '!$N$17:$N$60,O64)</f>
        <v>0</v>
      </c>
      <c r="Q64" s="175">
        <f>SUMIFS('RPT2 '!$M$17:$M$60,'RPT2 '!$N$17:$N$60,O64)</f>
        <v>0</v>
      </c>
      <c r="R64" s="171" t="e">
        <f>P64/Q64</f>
        <v>#DIV/0!</v>
      </c>
      <c r="S64" s="11"/>
      <c r="X64" s="75"/>
      <c r="Y64" s="76"/>
      <c r="Z64" s="77"/>
    </row>
    <row r="65" spans="2:19" ht="32.25" customHeight="1" thickBot="1" x14ac:dyDescent="0.55000000000000004">
      <c r="B65" s="561" t="s">
        <v>35</v>
      </c>
      <c r="C65" s="562"/>
      <c r="D65" s="253" t="s">
        <v>116</v>
      </c>
      <c r="E65" s="660">
        <f>SUMIFS('RPT2 '!$K$17:$K$60,'RPT2 '!$C$17:$C$60,'RPT2 '!B65,'RPT2 '!$F$17:$F$60,D65)</f>
        <v>0</v>
      </c>
      <c r="F65" s="660"/>
      <c r="G65" s="661">
        <f>SUMIFS('RPT2 '!$D$89:$D$122,'RPT2 '!$B$89:$B$122,'RPT2 '!D65,'RPT2 '!$C$89:$C$122,'RPT2 '!B65)*E65</f>
        <v>0</v>
      </c>
      <c r="H65" s="661"/>
      <c r="I65" s="661"/>
      <c r="J65" s="135">
        <f>SUMIFS('RPT2 '!$M$17:$M$60,'RPT2 '!$C$17:$C$60,'RPT2 '!B65,'RPT2 '!$F$17:$F$60,D65)</f>
        <v>0</v>
      </c>
      <c r="K65" s="559" t="str">
        <f t="shared" si="10"/>
        <v>-</v>
      </c>
      <c r="L65" s="560"/>
      <c r="M65" s="10"/>
      <c r="N65" s="61" t="s">
        <v>124</v>
      </c>
      <c r="O65" s="66">
        <v>3</v>
      </c>
      <c r="P65" s="172">
        <f>SUMIFS('RPT2 '!$K$17:$K$60,'RPT2 '!$N$17:$N$60,O65)</f>
        <v>0</v>
      </c>
      <c r="Q65" s="176">
        <f>SUMIFS('RPT2 '!$M$17:$M$60,'RPT2 '!$N$17:$N$60,O65)</f>
        <v>0</v>
      </c>
      <c r="R65" s="173" t="e">
        <f>P65/Q65</f>
        <v>#DIV/0!</v>
      </c>
      <c r="S65" s="11"/>
    </row>
    <row r="66" spans="2:19" ht="32.25" customHeight="1" thickBot="1" x14ac:dyDescent="0.55000000000000004">
      <c r="B66" s="561"/>
      <c r="C66" s="562"/>
      <c r="D66" s="134"/>
      <c r="E66" s="660">
        <f>SUMIFS('RPT2 '!$K$17:$K$60,'RPT2 '!$C$17:$C$60,'RPT2 '!B66,'RPT2 '!$F$17:$F$60,D66)</f>
        <v>0</v>
      </c>
      <c r="F66" s="660"/>
      <c r="G66" s="661">
        <f>SUMIFS('RPT2 '!$D$89:$D$122,'RPT2 '!$B$89:$B$122,'RPT2 '!D66,'RPT2 '!$C$89:$C$122,'RPT2 '!B66)*E66</f>
        <v>0</v>
      </c>
      <c r="H66" s="661"/>
      <c r="I66" s="661"/>
      <c r="J66" s="135">
        <f>SUMIFS('RPT2 '!$M$17:$M$60,'RPT2 '!$C$17:$C$60,'RPT2 '!B66,'RPT2 '!$F$17:$F$60,D66)</f>
        <v>0</v>
      </c>
      <c r="K66" s="559" t="str">
        <f t="shared" si="10"/>
        <v>-</v>
      </c>
      <c r="L66" s="560"/>
      <c r="M66" s="10"/>
      <c r="N66" s="10"/>
      <c r="O66" s="605"/>
      <c r="P66" s="605"/>
      <c r="Q66" s="605"/>
      <c r="R66" s="605"/>
      <c r="S66" s="11"/>
    </row>
    <row r="67" spans="2:19" ht="32.25" customHeight="1" thickBot="1" x14ac:dyDescent="0.55000000000000004">
      <c r="B67" s="561"/>
      <c r="C67" s="562"/>
      <c r="D67" s="134"/>
      <c r="E67" s="660">
        <f>SUMIFS('RPT2 '!$K$17:$K$60,'RPT2 '!$C$17:$C$60,'RPT2 '!B67,'RPT2 '!$F$17:$F$60,D67)</f>
        <v>0</v>
      </c>
      <c r="F67" s="660"/>
      <c r="G67" s="661">
        <f>SUMIFS('RPT2 '!$D$89:$D$122,'RPT2 '!$B$89:$B$122,'RPT2 '!D67,'RPT2 '!$C$89:$C$122,'RPT2 '!B67)*E67</f>
        <v>0</v>
      </c>
      <c r="H67" s="661"/>
      <c r="I67" s="661"/>
      <c r="J67" s="135">
        <f>SUMIFS('RPT2 '!$M$17:$M$60,'RPT2 '!$C$17:$C$60,'RPT2 '!B67,'RPT2 '!$F$17:$F$60,D67)</f>
        <v>0</v>
      </c>
      <c r="K67" s="559" t="str">
        <f t="shared" si="10"/>
        <v>-</v>
      </c>
      <c r="L67" s="560"/>
      <c r="M67" s="10"/>
      <c r="P67" s="128" t="s">
        <v>16</v>
      </c>
      <c r="Q67" s="128" t="s">
        <v>788</v>
      </c>
      <c r="R67" s="11"/>
      <c r="S67" s="11"/>
    </row>
    <row r="68" spans="2:19" ht="32.25" customHeight="1" thickBot="1" x14ac:dyDescent="0.55000000000000004">
      <c r="B68" s="561"/>
      <c r="C68" s="562"/>
      <c r="D68" s="134"/>
      <c r="E68" s="660">
        <f>SUMIFS('RPT2 '!$K$17:$K$60,'RPT2 '!$C$17:$C$60,'RPT2 '!B68,'RPT2 '!$F$17:$F$60,D68)</f>
        <v>0</v>
      </c>
      <c r="F68" s="660"/>
      <c r="G68" s="661">
        <f>SUMIFS('RPT2 '!$D$89:$D$122,'RPT2 '!$B$89:$B$122,'RPT2 '!D68,'RPT2 '!$C$89:$C$122,'RPT2 '!B68)*E68</f>
        <v>0</v>
      </c>
      <c r="H68" s="661"/>
      <c r="I68" s="661"/>
      <c r="J68" s="135">
        <f>SUMIFS('RPT2 '!$M$17:$M$60,'RPT2 '!$C$17:$C$60,'RPT2 '!B68,'RPT2 '!$F$17:$F$60,D68)</f>
        <v>0</v>
      </c>
      <c r="K68" s="559" t="str">
        <f t="shared" si="10"/>
        <v>-</v>
      </c>
      <c r="L68" s="560"/>
      <c r="M68" s="10"/>
      <c r="N68" s="622" t="s">
        <v>46</v>
      </c>
      <c r="O68" s="623"/>
      <c r="P68" s="376">
        <f>SUMIFS('RPT2 '!$M$17:$M$60,'RPT2 '!$H$17:$H$60,'RPT2 '!N68)</f>
        <v>0</v>
      </c>
      <c r="Q68" s="376">
        <f>+P68+'RPT1'!P64</f>
        <v>0</v>
      </c>
      <c r="R68" s="11"/>
      <c r="S68" s="11"/>
    </row>
    <row r="69" spans="2:19" ht="32.25" customHeight="1" thickBot="1" x14ac:dyDescent="0.55000000000000004">
      <c r="B69" s="561"/>
      <c r="C69" s="562"/>
      <c r="D69" s="134"/>
      <c r="E69" s="660">
        <f>SUMIFS('RPT2 '!$K$17:$K$60,'RPT2 '!$C$17:$C$60,'RPT2 '!B69,'RPT2 '!$F$17:$F$60,D69)</f>
        <v>0</v>
      </c>
      <c r="F69" s="660"/>
      <c r="G69" s="661">
        <f>SUMIFS('RPT2 '!$D$89:$D$122,'RPT2 '!$B$89:$B$122,'RPT2 '!D69,'RPT2 '!$C$89:$C$122,'RPT2 '!B69)*E69</f>
        <v>0</v>
      </c>
      <c r="H69" s="661"/>
      <c r="I69" s="661"/>
      <c r="J69" s="135">
        <f>SUMIFS('RPT2 '!$M$17:$M$60,'RPT2 '!$C$17:$C$60,'RPT2 '!B69,'RPT2 '!$F$17:$F$60,D69)</f>
        <v>0</v>
      </c>
      <c r="K69" s="559" t="str">
        <f t="shared" si="10"/>
        <v>-</v>
      </c>
      <c r="L69" s="560"/>
      <c r="M69" s="10"/>
      <c r="N69" s="622" t="s">
        <v>47</v>
      </c>
      <c r="O69" s="623"/>
      <c r="P69" s="376">
        <f>SUMIFS('RPT2 '!$M$17:$M$60,'RPT2 '!$H$17:$H$60,'RPT2 '!N69)</f>
        <v>0</v>
      </c>
      <c r="Q69" s="376">
        <f>+P69+'RPT1'!P65</f>
        <v>0</v>
      </c>
      <c r="R69" s="11"/>
      <c r="S69" s="11"/>
    </row>
    <row r="70" spans="2:19" ht="32.25" customHeight="1" thickBot="1" x14ac:dyDescent="0.55000000000000004">
      <c r="B70" s="624"/>
      <c r="C70" s="625"/>
      <c r="D70" s="136"/>
      <c r="E70" s="664">
        <f>SUMIFS('RPT2 '!$K$17:$K$60,'RPT2 '!$C$17:$C$60,'RPT2 '!B70,'RPT2 '!$F$17:$F$60,D70)</f>
        <v>0</v>
      </c>
      <c r="F70" s="664"/>
      <c r="G70" s="665">
        <f>SUMIFS('RPT2 '!$D$89:$D$122,'RPT2 '!$B$89:$B$122,'RPT2 '!D70,'RPT2 '!$C$89:$C$122,'RPT2 '!B70)*E70</f>
        <v>0</v>
      </c>
      <c r="H70" s="665"/>
      <c r="I70" s="665"/>
      <c r="J70" s="137">
        <f>SUMIFS('RPT2 '!$M$17:$M$60,'RPT2 '!$C$17:$C$60,'RPT2 '!B70,'RPT2 '!$F$17:$F$60,D70)</f>
        <v>0</v>
      </c>
      <c r="K70" s="636" t="str">
        <f t="shared" si="10"/>
        <v>-</v>
      </c>
      <c r="L70" s="637"/>
      <c r="N70" s="373" t="s">
        <v>753</v>
      </c>
      <c r="O70" s="377"/>
      <c r="P70" s="376">
        <f>SUM(P68:P69)</f>
        <v>0</v>
      </c>
      <c r="Q70" s="376">
        <f>SUM(Q68:Q69)</f>
        <v>0</v>
      </c>
      <c r="R70" s="9"/>
      <c r="S70" s="11"/>
    </row>
    <row r="71" spans="2:19" ht="43.5" customHeight="1" thickBot="1" x14ac:dyDescent="0.25">
      <c r="B71" s="554" t="s">
        <v>753</v>
      </c>
      <c r="C71" s="555"/>
      <c r="D71" s="556"/>
      <c r="E71" s="553">
        <f>SUM(E63:F70)</f>
        <v>0</v>
      </c>
      <c r="F71" s="551"/>
      <c r="G71" s="549">
        <f>SUM(G63:I70)</f>
        <v>0</v>
      </c>
      <c r="H71" s="550"/>
      <c r="I71" s="551"/>
      <c r="J71" s="164">
        <f>SUM(J63:J70)</f>
        <v>0</v>
      </c>
      <c r="K71" s="549" t="e">
        <f>E71/J71</f>
        <v>#DIV/0!</v>
      </c>
      <c r="L71" s="552"/>
    </row>
    <row r="72" spans="2:19" ht="13.5" thickBot="1" x14ac:dyDescent="0.25"/>
    <row r="73" spans="2:19" ht="33.6" customHeight="1" thickBot="1" x14ac:dyDescent="0.25">
      <c r="B73" s="616"/>
      <c r="C73" s="617"/>
      <c r="D73" s="130" t="s">
        <v>3</v>
      </c>
      <c r="E73" s="618" t="s">
        <v>15</v>
      </c>
      <c r="F73" s="618"/>
      <c r="G73" s="618" t="s">
        <v>7</v>
      </c>
      <c r="H73" s="618"/>
      <c r="I73" s="618"/>
      <c r="J73" s="130" t="s">
        <v>5</v>
      </c>
      <c r="K73" s="618" t="s">
        <v>6</v>
      </c>
      <c r="L73" s="618"/>
    </row>
    <row r="74" spans="2:19" ht="32.25" customHeight="1" thickBot="1" x14ac:dyDescent="0.25">
      <c r="B74" s="612"/>
      <c r="C74" s="613"/>
      <c r="D74" s="155" t="s">
        <v>116</v>
      </c>
      <c r="E74" s="614">
        <f>SUMIFS('RPT2 '!$E$63:$E$70,'RPT2 '!$D$63:$D$70,D74)</f>
        <v>0</v>
      </c>
      <c r="F74" s="614"/>
      <c r="G74" s="615">
        <f>SUMIFS('RPT2 '!$G$63:$G$70,'RPT2 '!$D$63:$D$70,D74)</f>
        <v>0</v>
      </c>
      <c r="H74" s="615"/>
      <c r="I74" s="615"/>
      <c r="J74" s="156">
        <f>SUMIFS('RPT2 '!$J$63:$J$70,'RPT2 '!$D$63:$D$70,D74)</f>
        <v>0</v>
      </c>
      <c r="K74" s="615" t="str">
        <f>IF(E74=0,"-",E74/J74)</f>
        <v>-</v>
      </c>
      <c r="L74" s="615"/>
      <c r="M74" s="10"/>
      <c r="N74" s="10"/>
      <c r="O74" s="62"/>
      <c r="P74" s="63"/>
      <c r="Q74" s="63"/>
      <c r="R74" s="63"/>
      <c r="S74" s="11"/>
    </row>
    <row r="75" spans="2:19" ht="32.25" customHeight="1" thickBot="1" x14ac:dyDescent="0.25">
      <c r="B75" s="612"/>
      <c r="C75" s="613"/>
      <c r="D75" s="155" t="s">
        <v>117</v>
      </c>
      <c r="E75" s="614">
        <f>SUMIFS('RPT2 '!$E$63:$E$70,'RPT2 '!$D$63:$D$70,D75)</f>
        <v>0</v>
      </c>
      <c r="F75" s="614"/>
      <c r="G75" s="615">
        <f>SUMIFS('RPT2 '!$G$63:$G$70,'RPT2 '!$D$63:$D$70,D75)</f>
        <v>0</v>
      </c>
      <c r="H75" s="615"/>
      <c r="I75" s="615"/>
      <c r="J75" s="156">
        <f>SUMIFS('RPT2 '!$J$63:$J$70,'RPT2 '!$D$63:$D$70,D75)</f>
        <v>0</v>
      </c>
      <c r="K75" s="615" t="str">
        <f>IF(E75=0,"-",E75/J75)</f>
        <v>-</v>
      </c>
      <c r="L75" s="615"/>
      <c r="P75" s="9"/>
      <c r="Q75" s="9"/>
      <c r="R75" s="9"/>
      <c r="S75" s="11"/>
    </row>
    <row r="77" spans="2:19" x14ac:dyDescent="0.2">
      <c r="Q77" s="48"/>
      <c r="R77" s="49"/>
    </row>
    <row r="78" spans="2:19" ht="40.5" customHeight="1" thickBot="1" x14ac:dyDescent="0.25">
      <c r="D78" s="161" t="s">
        <v>752</v>
      </c>
      <c r="Q78" s="48"/>
      <c r="R78" s="49"/>
    </row>
    <row r="79" spans="2:19" ht="33" thickBot="1" x14ac:dyDescent="0.25">
      <c r="D79" s="130" t="s">
        <v>3</v>
      </c>
      <c r="E79" s="618" t="s">
        <v>15</v>
      </c>
      <c r="F79" s="618"/>
      <c r="G79" s="618" t="s">
        <v>7</v>
      </c>
      <c r="H79" s="618"/>
      <c r="I79" s="618"/>
      <c r="J79" s="130" t="s">
        <v>5</v>
      </c>
      <c r="K79" s="618" t="s">
        <v>6</v>
      </c>
      <c r="L79" s="618"/>
      <c r="Q79" s="50"/>
      <c r="R79" s="49"/>
    </row>
    <row r="80" spans="2:19" ht="35.1" customHeight="1" thickBot="1" x14ac:dyDescent="0.25">
      <c r="D80" s="155" t="s">
        <v>116</v>
      </c>
      <c r="E80" s="614">
        <f>SUMIFS('RPT2 '!$E$63:$E$70,'RPT2 '!$D$63:$D$70,D80)+SUMIFS('RPT1'!$E$58:$E$65,'RPT1'!$D$58:$D$65,D80)</f>
        <v>0</v>
      </c>
      <c r="F80" s="614"/>
      <c r="G80" s="615">
        <f>SUMIFS('RPT2 '!$G$63:$G$70,'RPT2 '!$D$63:$D$70,D80)+SUMIFS('RPT1'!$G$58:$G$65,'RPT1'!$D$58:$D$65,D80)</f>
        <v>0</v>
      </c>
      <c r="H80" s="615"/>
      <c r="I80" s="615"/>
      <c r="J80" s="156">
        <f>SUMIFS('RPT2 '!$J$63:$J$70,'RPT2 '!$D$63:$D$70,D80)+SUMIFS('RPT1'!$J$58:$J$65,'RPT1'!$D$58:$D$65,D80)</f>
        <v>0</v>
      </c>
      <c r="K80" s="615" t="str">
        <f>IF(E80=0,"-",E80/J80)</f>
        <v>-</v>
      </c>
      <c r="L80" s="615"/>
      <c r="Q80" s="48"/>
      <c r="R80" s="49"/>
    </row>
    <row r="81" spans="2:18" ht="35.1" customHeight="1" thickBot="1" x14ac:dyDescent="0.25">
      <c r="D81" s="155" t="s">
        <v>117</v>
      </c>
      <c r="E81" s="614">
        <f>SUMIFS('RPT2 '!$E$63:$E$70,'RPT2 '!$D$63:$D$70,D81)+SUMIFS('RPT1'!$E$58:$E$65,'RPT1'!$D$58:$D$65,D81)</f>
        <v>0</v>
      </c>
      <c r="F81" s="614"/>
      <c r="G81" s="615">
        <f>SUMIFS('RPT2 '!$G$63:$G$70,'RPT2 '!$D$63:$D$70,D81)+SUMIFS('RPT1'!$G$58:$G$65,'RPT1'!$D$58:$D$65,D81)</f>
        <v>0</v>
      </c>
      <c r="H81" s="615"/>
      <c r="I81" s="615"/>
      <c r="J81" s="156">
        <f>SUMIFS('RPT2 '!$J$63:$J$70,'RPT2 '!$D$63:$D$70,D81)+SUMIFS('RPT1'!$J$58:$J$65,'RPT1'!$D$58:$D$65,D81)</f>
        <v>0</v>
      </c>
      <c r="K81" s="615" t="str">
        <f>IF(E81=0,"-",E81/J81)</f>
        <v>-</v>
      </c>
      <c r="L81" s="615"/>
      <c r="Q81" s="48"/>
      <c r="R81" s="49"/>
    </row>
    <row r="82" spans="2:18" ht="35.1" customHeight="1" thickBot="1" x14ac:dyDescent="0.25">
      <c r="Q82" s="48"/>
      <c r="R82" s="49"/>
    </row>
    <row r="83" spans="2:18" ht="24" customHeight="1" thickBot="1" x14ac:dyDescent="0.25">
      <c r="D83" s="162" t="s">
        <v>755</v>
      </c>
      <c r="E83" s="163">
        <f>SUM(M18:M50)</f>
        <v>0</v>
      </c>
      <c r="Q83" s="48"/>
      <c r="R83" s="51"/>
    </row>
    <row r="85" spans="2:18" ht="15.75" x14ac:dyDescent="0.2">
      <c r="D85" s="47"/>
      <c r="E85" s="47"/>
      <c r="F85" s="47"/>
      <c r="G85" s="47"/>
      <c r="H85" s="47"/>
      <c r="I85" s="47"/>
      <c r="J85" s="47"/>
      <c r="K85" s="47"/>
    </row>
    <row r="86" spans="2:18" ht="15.75" x14ac:dyDescent="0.2">
      <c r="D86" s="47"/>
      <c r="E86" s="47"/>
      <c r="F86" s="47"/>
      <c r="G86" s="47"/>
      <c r="H86" s="47"/>
      <c r="I86" s="47"/>
      <c r="J86" s="47"/>
      <c r="K86" s="47"/>
    </row>
    <row r="87" spans="2:18" ht="15.75" x14ac:dyDescent="0.2">
      <c r="D87" s="47"/>
      <c r="E87" s="47"/>
      <c r="F87" s="47"/>
      <c r="G87" s="47"/>
      <c r="H87" s="47"/>
      <c r="I87" s="47"/>
      <c r="J87" s="47"/>
      <c r="K87" s="47"/>
    </row>
    <row r="88" spans="2:18" ht="15.75" x14ac:dyDescent="0.2">
      <c r="B88" s="54" t="s">
        <v>126</v>
      </c>
      <c r="C88" s="54" t="s">
        <v>13</v>
      </c>
      <c r="D88" s="54" t="s">
        <v>114</v>
      </c>
      <c r="E88" s="47"/>
      <c r="F88" s="47"/>
      <c r="G88" s="47"/>
      <c r="H88" s="47"/>
      <c r="I88" s="47"/>
      <c r="J88" s="47"/>
      <c r="K88" s="47"/>
    </row>
    <row r="89" spans="2:18" ht="18" x14ac:dyDescent="0.2">
      <c r="B89" s="71" t="s">
        <v>116</v>
      </c>
      <c r="C89" s="52" t="s">
        <v>34</v>
      </c>
      <c r="D89" s="379">
        <v>0.6</v>
      </c>
      <c r="E89" s="47"/>
      <c r="F89" s="47"/>
      <c r="G89" s="47"/>
      <c r="H89" s="47"/>
      <c r="I89" s="47"/>
      <c r="J89" s="47"/>
      <c r="K89" s="47"/>
    </row>
    <row r="90" spans="2:18" ht="18" x14ac:dyDescent="0.2">
      <c r="B90" s="71" t="s">
        <v>116</v>
      </c>
      <c r="C90" s="52" t="s">
        <v>35</v>
      </c>
      <c r="D90" s="379">
        <v>0.56000000000000005</v>
      </c>
    </row>
    <row r="91" spans="2:18" ht="18" x14ac:dyDescent="0.2">
      <c r="B91" s="71" t="s">
        <v>116</v>
      </c>
      <c r="C91" s="52" t="s">
        <v>26</v>
      </c>
      <c r="D91" s="379">
        <v>0.76</v>
      </c>
    </row>
    <row r="92" spans="2:18" ht="18" x14ac:dyDescent="0.2">
      <c r="B92" s="71" t="s">
        <v>116</v>
      </c>
      <c r="C92" s="52" t="s">
        <v>30</v>
      </c>
      <c r="D92" s="379">
        <v>0.79</v>
      </c>
    </row>
    <row r="93" spans="2:18" ht="18" x14ac:dyDescent="0.2">
      <c r="B93" s="71" t="s">
        <v>116</v>
      </c>
      <c r="C93" s="52" t="s">
        <v>33</v>
      </c>
      <c r="D93" s="379">
        <v>0.64</v>
      </c>
    </row>
    <row r="94" spans="2:18" ht="18" x14ac:dyDescent="0.2">
      <c r="B94" s="71" t="s">
        <v>116</v>
      </c>
      <c r="C94" s="52" t="s">
        <v>36</v>
      </c>
      <c r="D94" s="379">
        <v>0.49</v>
      </c>
    </row>
    <row r="95" spans="2:18" ht="18" x14ac:dyDescent="0.2">
      <c r="B95" s="71" t="s">
        <v>116</v>
      </c>
      <c r="C95" s="52" t="s">
        <v>22</v>
      </c>
      <c r="D95" s="379">
        <v>0.82</v>
      </c>
    </row>
    <row r="96" spans="2:18" ht="18" hidden="1" x14ac:dyDescent="0.2">
      <c r="B96" s="71" t="s">
        <v>120</v>
      </c>
      <c r="C96" s="52" t="s">
        <v>109</v>
      </c>
      <c r="D96" s="379">
        <v>0.4</v>
      </c>
    </row>
    <row r="97" spans="2:4" ht="18" hidden="1" x14ac:dyDescent="0.2">
      <c r="B97" s="71" t="s">
        <v>118</v>
      </c>
      <c r="C97" s="52" t="s">
        <v>110</v>
      </c>
      <c r="D97" s="379">
        <v>0.82</v>
      </c>
    </row>
    <row r="98" spans="2:4" ht="18" hidden="1" x14ac:dyDescent="0.2">
      <c r="B98" s="71" t="s">
        <v>118</v>
      </c>
      <c r="C98" s="52" t="s">
        <v>543</v>
      </c>
      <c r="D98" s="379">
        <v>0.82</v>
      </c>
    </row>
    <row r="99" spans="2:4" ht="18" hidden="1" x14ac:dyDescent="0.2">
      <c r="B99" s="71" t="s">
        <v>118</v>
      </c>
      <c r="C99" s="52" t="s">
        <v>111</v>
      </c>
      <c r="D99" s="379">
        <v>0.82</v>
      </c>
    </row>
    <row r="100" spans="2:4" ht="18" hidden="1" x14ac:dyDescent="0.2">
      <c r="B100" s="71" t="s">
        <v>118</v>
      </c>
      <c r="C100" s="52" t="s">
        <v>128</v>
      </c>
      <c r="D100" s="379">
        <v>0.82</v>
      </c>
    </row>
    <row r="101" spans="2:4" ht="18" hidden="1" x14ac:dyDescent="0.2">
      <c r="B101" s="71" t="s">
        <v>118</v>
      </c>
      <c r="C101" s="52" t="s">
        <v>112</v>
      </c>
      <c r="D101" s="379">
        <v>0.84</v>
      </c>
    </row>
    <row r="102" spans="2:4" ht="18" hidden="1" x14ac:dyDescent="0.2">
      <c r="B102" s="71" t="s">
        <v>118</v>
      </c>
      <c r="C102" s="52" t="s">
        <v>113</v>
      </c>
      <c r="D102" s="379">
        <v>0.85</v>
      </c>
    </row>
    <row r="103" spans="2:4" ht="18" hidden="1" x14ac:dyDescent="0.2">
      <c r="B103" s="71" t="s">
        <v>118</v>
      </c>
      <c r="C103" s="52" t="s">
        <v>127</v>
      </c>
      <c r="D103" s="379">
        <v>0.84</v>
      </c>
    </row>
    <row r="104" spans="2:4" ht="18" hidden="1" x14ac:dyDescent="0.2">
      <c r="B104" s="71" t="s">
        <v>118</v>
      </c>
      <c r="C104" s="52" t="s">
        <v>129</v>
      </c>
      <c r="D104" s="379">
        <v>0.84</v>
      </c>
    </row>
    <row r="105" spans="2:4" ht="18" hidden="1" x14ac:dyDescent="0.2">
      <c r="B105" s="71" t="s">
        <v>118</v>
      </c>
      <c r="C105" s="52" t="s">
        <v>35</v>
      </c>
      <c r="D105" s="379">
        <v>0.75</v>
      </c>
    </row>
    <row r="106" spans="2:4" ht="18" hidden="1" x14ac:dyDescent="0.2">
      <c r="B106" s="71" t="s">
        <v>118</v>
      </c>
      <c r="C106" s="52" t="s">
        <v>34</v>
      </c>
      <c r="D106" s="379">
        <v>0.76</v>
      </c>
    </row>
    <row r="107" spans="2:4" ht="18" hidden="1" x14ac:dyDescent="0.2">
      <c r="B107" s="71" t="s">
        <v>118</v>
      </c>
      <c r="C107" s="52" t="s">
        <v>36</v>
      </c>
      <c r="D107" s="379">
        <v>0.71</v>
      </c>
    </row>
    <row r="108" spans="2:4" ht="18" hidden="1" x14ac:dyDescent="0.2">
      <c r="B108" s="72" t="s">
        <v>118</v>
      </c>
      <c r="C108" s="73" t="s">
        <v>544</v>
      </c>
      <c r="D108" s="380">
        <v>0.8</v>
      </c>
    </row>
    <row r="109" spans="2:4" ht="18" hidden="1" x14ac:dyDescent="0.2">
      <c r="B109" s="72" t="s">
        <v>118</v>
      </c>
      <c r="C109" s="73" t="s">
        <v>26</v>
      </c>
      <c r="D109" s="380">
        <v>0.8</v>
      </c>
    </row>
    <row r="110" spans="2:4" ht="18" hidden="1" x14ac:dyDescent="0.2">
      <c r="B110" s="72" t="s">
        <v>118</v>
      </c>
      <c r="C110" s="73" t="s">
        <v>30</v>
      </c>
      <c r="D110" s="380">
        <v>0.79</v>
      </c>
    </row>
    <row r="111" spans="2:4" ht="18" hidden="1" x14ac:dyDescent="0.2">
      <c r="B111" s="72" t="s">
        <v>118</v>
      </c>
      <c r="C111" s="73" t="s">
        <v>33</v>
      </c>
      <c r="D111" s="380">
        <v>0.78</v>
      </c>
    </row>
    <row r="112" spans="2:4" ht="18" x14ac:dyDescent="0.2">
      <c r="B112" s="72" t="s">
        <v>117</v>
      </c>
      <c r="C112" s="73" t="s">
        <v>34</v>
      </c>
      <c r="D112" s="380">
        <v>0.63</v>
      </c>
    </row>
    <row r="113" spans="2:4" ht="18" x14ac:dyDescent="0.2">
      <c r="B113" s="72" t="s">
        <v>117</v>
      </c>
      <c r="C113" s="73" t="s">
        <v>35</v>
      </c>
      <c r="D113" s="380">
        <v>0.6</v>
      </c>
    </row>
    <row r="114" spans="2:4" ht="18" x14ac:dyDescent="0.2">
      <c r="B114" s="72" t="s">
        <v>117</v>
      </c>
      <c r="C114" s="73" t="s">
        <v>30</v>
      </c>
      <c r="D114" s="380">
        <v>0.66</v>
      </c>
    </row>
    <row r="115" spans="2:4" ht="18" x14ac:dyDescent="0.2">
      <c r="B115" s="72" t="s">
        <v>117</v>
      </c>
      <c r="C115" s="73" t="s">
        <v>33</v>
      </c>
      <c r="D115" s="380">
        <v>0.66</v>
      </c>
    </row>
    <row r="116" spans="2:4" ht="18" x14ac:dyDescent="0.2">
      <c r="B116" s="72" t="s">
        <v>117</v>
      </c>
      <c r="C116" s="73" t="s">
        <v>36</v>
      </c>
      <c r="D116" s="380">
        <v>0.44</v>
      </c>
    </row>
    <row r="117" spans="2:4" ht="18" hidden="1" x14ac:dyDescent="0.2">
      <c r="B117" s="72" t="s">
        <v>119</v>
      </c>
      <c r="C117" s="73" t="s">
        <v>34</v>
      </c>
      <c r="D117" s="74">
        <v>0.62</v>
      </c>
    </row>
    <row r="118" spans="2:4" ht="18" hidden="1" x14ac:dyDescent="0.2">
      <c r="B118" s="72" t="s">
        <v>119</v>
      </c>
      <c r="C118" s="73" t="s">
        <v>35</v>
      </c>
      <c r="D118" s="74">
        <v>0.57999999999999996</v>
      </c>
    </row>
    <row r="119" spans="2:4" ht="18" hidden="1" x14ac:dyDescent="0.2">
      <c r="B119" s="72" t="s">
        <v>119</v>
      </c>
      <c r="C119" s="73" t="s">
        <v>26</v>
      </c>
      <c r="D119" s="74">
        <v>0.69</v>
      </c>
    </row>
    <row r="120" spans="2:4" ht="18" hidden="1" x14ac:dyDescent="0.2">
      <c r="B120" s="72" t="s">
        <v>119</v>
      </c>
      <c r="C120" s="73" t="s">
        <v>30</v>
      </c>
      <c r="D120" s="74">
        <v>0.71</v>
      </c>
    </row>
    <row r="121" spans="2:4" ht="18" hidden="1" x14ac:dyDescent="0.2">
      <c r="B121" s="72" t="s">
        <v>119</v>
      </c>
      <c r="C121" s="73" t="s">
        <v>33</v>
      </c>
      <c r="D121" s="74">
        <v>0.69</v>
      </c>
    </row>
    <row r="122" spans="2:4" ht="18" hidden="1" x14ac:dyDescent="0.2">
      <c r="B122" s="72" t="s">
        <v>119</v>
      </c>
      <c r="C122" s="73" t="s">
        <v>36</v>
      </c>
      <c r="D122" s="74">
        <v>0.55000000000000004</v>
      </c>
    </row>
  </sheetData>
  <protectedRanges>
    <protectedRange algorithmName="SHA-512" hashValue="329M+r7neYCtybLEZXWlInpCagd+fjmatrwt+Q4yB+quD+8fHORCg4yJawmZH6QYWnNqD9t6V+6d+TN9Sb97Cw==" saltValue="V0xAi+MZftLCQSiSS09gDQ==" spinCount="100000" sqref="N59:N60 J59 F59:F60 D59:E59 G59 B59 L55:L60" name="Plage1_2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B60 D60:G60 N60 L60 J60" name="Plage3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P16:R16 D73 Q15 N16 D50:E50 D79 L16 E51:G51 J53 L19 J18:J19 G27:G31 J24 N18:N24 L21:L24 J21:J22 F54:G54 D54:D56 B62:D70 G33:G39 D18 N28:N51 F18:F37 L29:L51 B40:B51 D20:D49 J29:J51 F40:G50" name="Plage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C43:C51 C53:C60 C18 C22:C37" name="Plage1_4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P60" name="Plage3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P17:P51 P53:P60" name="Plage1_5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74 D80" name="Plage1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75 D81" name="Plage1_6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H60:I60" name="Plage3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H59:I60 H40:I51" name="Plage1_7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E54:E56 E18 E20:E49" name="Plage1_1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Q60:R60" name="Plage3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Q18:R51 Q53:R60" name="Plage1_8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Q17:R17" name="Plage1_2_1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N17" name="Plage1_1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N53:N58 B55:B58 D57:I58 J55:J58 L53:L54 D53:I53 H54:I54 F55:I56" name="Plage1_18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53:B54" name="Plage1_5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6 L26" name="Plage1_9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7:J28" name="Plage1_16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7:L28" name="Plage1_17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D51" name="Plage1_1_4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G32" name="Plage1_14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G18:G24" name="Plage1_13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L18" name="Plage1_20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B18:B36" name="Plage1_22_1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F38:F39" name="Plage3_4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5 N25:N27 J25 J54 F38:F39 G25:G26 H18:I39 C38:C42" name="Plage1_15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37:B39" name="Plage1_11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3" name="Plage1_10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B17" name="Plage1_22_1_2_2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D52" name="Plage1_1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C52" name="Plage1_4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P52" name="Plage1_5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E52" name="Plage1_1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Q52:R52" name="Plage1_8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F52 H52:I52" name="Plage1_18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52" name="Plage1_16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N52" name="Plage1_18_1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G52" name="Plage1_15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52" name="Plage1_11_1_2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52" name="Plage1_11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0 J20" name="Plage1_22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G17 D17 D19" name="Plage1_19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E17 E19" name="Plage1_1_2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F17" name="Plage3_4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H17:I17 F17 C17 C19:C21" name="Plage1_15_2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L17 J17" name="Plage1_21" securityDescriptor="O:WDG:WDD:(A;;CC;;;S-1-5-21-3126896699-2736327119-1644971827-159763)"/>
  </protectedRanges>
  <mergeCells count="155">
    <mergeCell ref="B71:D71"/>
    <mergeCell ref="E71:F71"/>
    <mergeCell ref="G71:I71"/>
    <mergeCell ref="K71:L71"/>
    <mergeCell ref="O66:R66"/>
    <mergeCell ref="B67:C67"/>
    <mergeCell ref="E67:F67"/>
    <mergeCell ref="G67:I67"/>
    <mergeCell ref="K67:L67"/>
    <mergeCell ref="B68:C68"/>
    <mergeCell ref="E68:F68"/>
    <mergeCell ref="G68:I68"/>
    <mergeCell ref="K68:L68"/>
    <mergeCell ref="N68:O68"/>
    <mergeCell ref="N69:O69"/>
    <mergeCell ref="B69:C69"/>
    <mergeCell ref="E69:F69"/>
    <mergeCell ref="G69:I69"/>
    <mergeCell ref="K69:L69"/>
    <mergeCell ref="B70:C70"/>
    <mergeCell ref="E70:F70"/>
    <mergeCell ref="G70:I70"/>
    <mergeCell ref="K70:L70"/>
    <mergeCell ref="K65:L65"/>
    <mergeCell ref="B66:C66"/>
    <mergeCell ref="E66:F66"/>
    <mergeCell ref="G66:I66"/>
    <mergeCell ref="K66:L66"/>
    <mergeCell ref="B63:C63"/>
    <mergeCell ref="E63:F63"/>
    <mergeCell ref="G63:I63"/>
    <mergeCell ref="K63:L63"/>
    <mergeCell ref="B64:C64"/>
    <mergeCell ref="E64:F64"/>
    <mergeCell ref="G64:I64"/>
    <mergeCell ref="K64:L64"/>
    <mergeCell ref="B65:C65"/>
    <mergeCell ref="E65:F65"/>
    <mergeCell ref="G65:I65"/>
    <mergeCell ref="B62:C62"/>
    <mergeCell ref="E62:F62"/>
    <mergeCell ref="G62:I62"/>
    <mergeCell ref="K62:L62"/>
    <mergeCell ref="H53:I53"/>
    <mergeCell ref="H54:I54"/>
    <mergeCell ref="H59:I59"/>
    <mergeCell ref="Q53:R53"/>
    <mergeCell ref="Q54:R54"/>
    <mergeCell ref="Q59:R59"/>
    <mergeCell ref="Q60:R60"/>
    <mergeCell ref="H55:I55"/>
    <mergeCell ref="H56:I56"/>
    <mergeCell ref="H40:I40"/>
    <mergeCell ref="H50:I50"/>
    <mergeCell ref="H51:I51"/>
    <mergeCell ref="H37:I37"/>
    <mergeCell ref="H38:I38"/>
    <mergeCell ref="H39:I39"/>
    <mergeCell ref="H41:I41"/>
    <mergeCell ref="H60:I60"/>
    <mergeCell ref="H61:I61"/>
    <mergeCell ref="H52:I52"/>
    <mergeCell ref="H42:I42"/>
    <mergeCell ref="H43:I43"/>
    <mergeCell ref="H44:I44"/>
    <mergeCell ref="H45:I45"/>
    <mergeCell ref="H46:I46"/>
    <mergeCell ref="H49:I49"/>
    <mergeCell ref="H47:I47"/>
    <mergeCell ref="H48:I48"/>
    <mergeCell ref="H33:I33"/>
    <mergeCell ref="H34:I34"/>
    <mergeCell ref="H35:I35"/>
    <mergeCell ref="H30:I30"/>
    <mergeCell ref="H31:I31"/>
    <mergeCell ref="H32:I32"/>
    <mergeCell ref="Q30:R30"/>
    <mergeCell ref="Q31:R31"/>
    <mergeCell ref="Q32:R32"/>
    <mergeCell ref="Q33:R33"/>
    <mergeCell ref="Q34:R34"/>
    <mergeCell ref="Q35:R35"/>
    <mergeCell ref="H27:I27"/>
    <mergeCell ref="Q26:R26"/>
    <mergeCell ref="Q27:R27"/>
    <mergeCell ref="H28:I28"/>
    <mergeCell ref="H29:I29"/>
    <mergeCell ref="H24:I24"/>
    <mergeCell ref="H25:I25"/>
    <mergeCell ref="H26:I26"/>
    <mergeCell ref="Q28:R28"/>
    <mergeCell ref="Q29:R29"/>
    <mergeCell ref="H36:I36"/>
    <mergeCell ref="C2:D3"/>
    <mergeCell ref="C4:D5"/>
    <mergeCell ref="F6:G6"/>
    <mergeCell ref="I6:J6"/>
    <mergeCell ref="K6:L6"/>
    <mergeCell ref="M6:O6"/>
    <mergeCell ref="B13:R14"/>
    <mergeCell ref="Q15:R15"/>
    <mergeCell ref="H16:I16"/>
    <mergeCell ref="P16:R16"/>
    <mergeCell ref="H17:I17"/>
    <mergeCell ref="Q6:R6"/>
    <mergeCell ref="B8:C9"/>
    <mergeCell ref="E8:R8"/>
    <mergeCell ref="E9:R9"/>
    <mergeCell ref="B10:C10"/>
    <mergeCell ref="F10:Q10"/>
    <mergeCell ref="H21:I21"/>
    <mergeCell ref="H22:I22"/>
    <mergeCell ref="H23:I23"/>
    <mergeCell ref="H18:I18"/>
    <mergeCell ref="H19:I19"/>
    <mergeCell ref="H20:I20"/>
    <mergeCell ref="E79:F79"/>
    <mergeCell ref="G79:I79"/>
    <mergeCell ref="K79:L79"/>
    <mergeCell ref="E81:F81"/>
    <mergeCell ref="G81:I81"/>
    <mergeCell ref="K81:L81"/>
    <mergeCell ref="E80:F80"/>
    <mergeCell ref="G80:I80"/>
    <mergeCell ref="K80:L80"/>
    <mergeCell ref="B75:C75"/>
    <mergeCell ref="E75:F75"/>
    <mergeCell ref="G75:I75"/>
    <mergeCell ref="K75:L75"/>
    <mergeCell ref="B73:C73"/>
    <mergeCell ref="E73:F73"/>
    <mergeCell ref="G73:I73"/>
    <mergeCell ref="K73:L73"/>
    <mergeCell ref="B74:C74"/>
    <mergeCell ref="E74:F74"/>
    <mergeCell ref="G74:I74"/>
    <mergeCell ref="K74:L74"/>
    <mergeCell ref="Q37:R37"/>
    <mergeCell ref="Q38:R38"/>
    <mergeCell ref="Q39:R39"/>
    <mergeCell ref="Q40:R40"/>
    <mergeCell ref="Q41:R41"/>
    <mergeCell ref="Q50:R50"/>
    <mergeCell ref="Q51:R51"/>
    <mergeCell ref="Q52:R52"/>
    <mergeCell ref="Q17:R17"/>
    <mergeCell ref="Q19:R19"/>
    <mergeCell ref="Q20:R20"/>
    <mergeCell ref="Q21:R21"/>
    <mergeCell ref="Q22:R22"/>
    <mergeCell ref="Q36:R36"/>
    <mergeCell ref="Q18:R18"/>
    <mergeCell ref="Q23:R23"/>
    <mergeCell ref="Q24:R24"/>
    <mergeCell ref="Q25:R25"/>
  </mergeCells>
  <conditionalFormatting sqref="P18:Q18 O53:O60 P31:R36 O17:O51">
    <cfRule type="expression" dxfId="593" priority="1340">
      <formula>IF(OR($F17="SC-BA"),$O17&lt;1400)</formula>
    </cfRule>
    <cfRule type="expression" dxfId="592" priority="1402">
      <formula>IF(OR($F17="SC-PW"),$O17&lt;1999)</formula>
    </cfRule>
  </conditionalFormatting>
  <conditionalFormatting sqref="P19:R19">
    <cfRule type="expression" dxfId="591" priority="1338">
      <formula>IF(OR($F19="SC-BA"),$O19&lt;1400)</formula>
    </cfRule>
    <cfRule type="expression" dxfId="590" priority="1339">
      <formula>IF(OR($F19="SC-PW"),$O19&lt;1999)</formula>
    </cfRule>
  </conditionalFormatting>
  <conditionalFormatting sqref="P20:R20">
    <cfRule type="expression" dxfId="589" priority="1336">
      <formula>IF(OR($F20="SC-BA"),$O20&lt;1400)</formula>
    </cfRule>
    <cfRule type="expression" dxfId="588" priority="1337">
      <formula>IF(OR($F20="SC-PW"),$O20&lt;1999)</formula>
    </cfRule>
  </conditionalFormatting>
  <conditionalFormatting sqref="P21:R21">
    <cfRule type="expression" dxfId="587" priority="1334">
      <formula>IF(OR($F21="SC-BA"),$O21&lt;1400)</formula>
    </cfRule>
    <cfRule type="expression" dxfId="586" priority="1335">
      <formula>IF(OR($F21="SC-PW"),$O21&lt;1999)</formula>
    </cfRule>
  </conditionalFormatting>
  <conditionalFormatting sqref="P22:R22">
    <cfRule type="expression" dxfId="585" priority="1332">
      <formula>IF(OR($F22="SC-BA"),$O22&lt;1400)</formula>
    </cfRule>
    <cfRule type="expression" dxfId="584" priority="1333">
      <formula>IF(OR($F22="SC-PW"),$O22&lt;1999)</formula>
    </cfRule>
  </conditionalFormatting>
  <conditionalFormatting sqref="P23:P24">
    <cfRule type="expression" dxfId="583" priority="1330">
      <formula>IF(OR($F23="SC-BA"),$O23&lt;1400)</formula>
    </cfRule>
    <cfRule type="expression" dxfId="582" priority="1331">
      <formula>IF(OR($F23="SC-PW"),$O23&lt;1999)</formula>
    </cfRule>
  </conditionalFormatting>
  <conditionalFormatting sqref="P25">
    <cfRule type="expression" dxfId="581" priority="1326">
      <formula>IF(OR($F25="SC-BA"),$O25&lt;1400)</formula>
    </cfRule>
    <cfRule type="expression" dxfId="580" priority="1327">
      <formula>IF(OR($F25="SC-PW"),$O25&lt;1999)</formula>
    </cfRule>
  </conditionalFormatting>
  <conditionalFormatting sqref="P26:R26">
    <cfRule type="expression" dxfId="579" priority="1324">
      <formula>IF(OR($F26="SC-BA"),$O26&lt;1400)</formula>
    </cfRule>
    <cfRule type="expression" dxfId="578" priority="1325">
      <formula>IF(OR($F26="SC-PW"),$O26&lt;1999)</formula>
    </cfRule>
  </conditionalFormatting>
  <conditionalFormatting sqref="P27:R27">
    <cfRule type="expression" dxfId="577" priority="1322">
      <formula>IF(OR($F27="SC-BA"),$O27&lt;1400)</formula>
    </cfRule>
    <cfRule type="expression" dxfId="576" priority="1323">
      <formula>IF(OR($F27="SC-PW"),$O27&lt;1999)</formula>
    </cfRule>
  </conditionalFormatting>
  <conditionalFormatting sqref="P28:R28">
    <cfRule type="expression" dxfId="575" priority="1320">
      <formula>IF(OR($F28="SC-BA"),$O28&lt;1400)</formula>
    </cfRule>
    <cfRule type="expression" dxfId="574" priority="1321">
      <formula>IF(OR($F28="SC-PW"),$O28&lt;1999)</formula>
    </cfRule>
  </conditionalFormatting>
  <conditionalFormatting sqref="P29:R29">
    <cfRule type="expression" dxfId="573" priority="1318">
      <formula>IF(OR($F29="SC-BA"),$O29&lt;1400)</formula>
    </cfRule>
    <cfRule type="expression" dxfId="572" priority="1319">
      <formula>IF(OR($F29="SC-PW"),$O29&lt;1999)</formula>
    </cfRule>
  </conditionalFormatting>
  <conditionalFormatting sqref="P30:R30">
    <cfRule type="expression" dxfId="571" priority="1316">
      <formula>IF(OR($F30="SC-BA"),$O30&lt;1400)</formula>
    </cfRule>
    <cfRule type="expression" dxfId="570" priority="1317">
      <formula>IF(OR($F30="SC-PW"),$O30&lt;1999)</formula>
    </cfRule>
  </conditionalFormatting>
  <conditionalFormatting sqref="P37:R37">
    <cfRule type="expression" dxfId="569" priority="1298">
      <formula>IF(OR($F37="SC-BA"),$O37&lt;1400)</formula>
    </cfRule>
    <cfRule type="expression" dxfId="568" priority="1299">
      <formula>IF(OR($F37="SC-PW"),$O37&lt;1999)</formula>
    </cfRule>
  </conditionalFormatting>
  <conditionalFormatting sqref="P38:R38">
    <cfRule type="expression" dxfId="567" priority="1296">
      <formula>IF(OR($F38="SC-BA"),$O38&lt;1400)</formula>
    </cfRule>
    <cfRule type="expression" dxfId="566" priority="1297">
      <formula>IF(OR($F38="SC-PW"),$O38&lt;1999)</formula>
    </cfRule>
  </conditionalFormatting>
  <conditionalFormatting sqref="P39:R39 Q40:R49">
    <cfRule type="expression" dxfId="565" priority="1294">
      <formula>IF(OR($F39="SC-BA"),$O39&lt;1400)</formula>
    </cfRule>
    <cfRule type="expression" dxfId="564" priority="1295">
      <formula>IF(OR($F39="SC-PW"),$O39&lt;1999)</formula>
    </cfRule>
  </conditionalFormatting>
  <conditionalFormatting sqref="P40">
    <cfRule type="expression" dxfId="563" priority="1292">
      <formula>IF(OR($F40="SC-BA"),$O40&lt;1400)</formula>
    </cfRule>
    <cfRule type="expression" dxfId="562" priority="1293">
      <formula>IF(OR($F40="SC-PW"),$O40&lt;1999)</formula>
    </cfRule>
  </conditionalFormatting>
  <conditionalFormatting sqref="P41:P49">
    <cfRule type="expression" dxfId="561" priority="1290">
      <formula>IF(OR($F41="SC-BA"),$O41&lt;1400)</formula>
    </cfRule>
    <cfRule type="expression" dxfId="560" priority="1291">
      <formula>IF(OR($F41="SC-PW"),$O41&lt;1999)</formula>
    </cfRule>
  </conditionalFormatting>
  <conditionalFormatting sqref="P50:R50">
    <cfRule type="expression" dxfId="559" priority="1288">
      <formula>IF(OR($F50="SC-BA"),$O50&lt;1400)</formula>
    </cfRule>
    <cfRule type="expression" dxfId="558" priority="1289">
      <formula>IF(OR($F50="SC-PW"),$O50&lt;1999)</formula>
    </cfRule>
  </conditionalFormatting>
  <conditionalFormatting sqref="P53:R53">
    <cfRule type="expression" dxfId="557" priority="1286">
      <formula>IF(OR($F53="SC-BA"),$O53&lt;1400)</formula>
    </cfRule>
    <cfRule type="expression" dxfId="556" priority="1287">
      <formula>IF(OR($F53="SC-PW"),$O53&lt;1999)</formula>
    </cfRule>
  </conditionalFormatting>
  <conditionalFormatting sqref="P54:R58">
    <cfRule type="expression" dxfId="555" priority="1284">
      <formula>IF(OR($F54="SC-BA"),$O54&lt;1400)</formula>
    </cfRule>
    <cfRule type="expression" dxfId="554" priority="1285">
      <formula>IF(OR($F54="SC-PW"),$O54&lt;1999)</formula>
    </cfRule>
  </conditionalFormatting>
  <conditionalFormatting sqref="P59:R59">
    <cfRule type="expression" dxfId="553" priority="1282">
      <formula>IF(OR($F59="SC-BA"),$O59&lt;1400)</formula>
    </cfRule>
    <cfRule type="expression" dxfId="552" priority="1283">
      <formula>IF(OR($F59="SC-PW"),$O59&lt;1999)</formula>
    </cfRule>
  </conditionalFormatting>
  <conditionalFormatting sqref="P60:R60">
    <cfRule type="expression" dxfId="551" priority="1280">
      <formula>IF(OR($F60="SC-BA"),$O60&lt;1400)</formula>
    </cfRule>
    <cfRule type="expression" dxfId="550" priority="1281">
      <formula>IF(OR($F60="SC-PW"),$O60&lt;1999)</formula>
    </cfRule>
  </conditionalFormatting>
  <conditionalFormatting sqref="C38:C42">
    <cfRule type="cellIs" dxfId="549" priority="532" operator="equal">
      <formula>MT</formula>
    </cfRule>
  </conditionalFormatting>
  <conditionalFormatting sqref="O52">
    <cfRule type="expression" dxfId="548" priority="211">
      <formula>IF(OR($F52="SC-BA"),$O52&lt;1400)</formula>
    </cfRule>
    <cfRule type="expression" dxfId="547" priority="212">
      <formula>IF(OR($F52="SC-PW"),$O52&lt;1999)</formula>
    </cfRule>
  </conditionalFormatting>
  <conditionalFormatting sqref="C17">
    <cfRule type="cellIs" dxfId="546" priority="72" operator="equal">
      <formula>MT</formula>
    </cfRule>
  </conditionalFormatting>
  <conditionalFormatting sqref="C19:C21">
    <cfRule type="cellIs" dxfId="545" priority="36" operator="equal">
      <formula>MT</formula>
    </cfRule>
  </conditionalFormatting>
  <dataValidations count="2">
    <dataValidation type="list" allowBlank="1" showInputMessage="1" showErrorMessage="1" sqref="B74:C75">
      <formula1>$A$2:$A$15</formula1>
    </dataValidation>
    <dataValidation type="list" allowBlank="1" showInputMessage="1" showErrorMessage="1" sqref="D74:D75">
      <formula1>$A$2:$A$10</formula1>
    </dataValidation>
  </dataValidations>
  <printOptions horizontalCentered="1" verticalCentered="1"/>
  <pageMargins left="0" right="0.19685039370078741" top="0" bottom="0" header="0" footer="0"/>
  <pageSetup paperSize="9" scale="31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56" operator="equal" id="{106F026D-73C2-428E-8FE9-87AB9CB1458A}">
            <xm:f>QUALITE!$A$18</xm:f>
            <x14:dxf>
              <font>
                <color rgb="FFFF0000"/>
              </font>
            </x14:dxf>
          </x14:cfRule>
          <x14:cfRule type="cellIs" priority="1557" operator="equal" id="{DA907C2C-0263-441A-9E19-5B24C31DD7A5}">
            <xm:f>QUALITE!$A$17</xm:f>
            <x14:dxf>
              <font>
                <color rgb="FF00B0F0"/>
              </font>
            </x14:dxf>
          </x14:cfRule>
          <x14:cfRule type="cellIs" priority="1558" operator="equal" id="{3D552C7C-3457-47FB-B5B8-0D4E36C4E0AE}">
            <xm:f>QUALITE!$A$16</xm:f>
            <x14:dxf>
              <font>
                <color theme="2" tint="-0.499984740745262"/>
              </font>
            </x14:dxf>
          </x14:cfRule>
          <x14:cfRule type="cellIs" priority="1559" operator="equal" id="{E34BC109-F452-4576-884F-1A0AF736CE2D}">
            <xm:f>QUALITE!$A$15</xm:f>
            <x14:dxf>
              <font>
                <color theme="2" tint="-0.499984740745262"/>
              </font>
            </x14:dxf>
          </x14:cfRule>
          <x14:cfRule type="cellIs" priority="1560" operator="equal" id="{65D1FB8D-9AEE-4AD8-A471-E8D05F3094AE}">
            <xm:f>QUALITE!$A$14</xm:f>
            <x14:dxf>
              <font>
                <color rgb="FFFF0000"/>
              </font>
            </x14:dxf>
          </x14:cfRule>
          <x14:cfRule type="cellIs" priority="1561" operator="equal" id="{7EC2057A-EE94-48C9-8BED-0A63D3F3CA9B}">
            <xm:f>QUALITE!$A$13</xm:f>
            <x14:dxf>
              <font>
                <color rgb="FFFF0000"/>
              </font>
            </x14:dxf>
          </x14:cfRule>
          <x14:cfRule type="cellIs" priority="1562" operator="equal" id="{659404D3-EEE3-43DF-AFE6-4601A09F1B3A}">
            <xm:f>QUALITE!$A$12</xm:f>
            <x14:dxf>
              <font>
                <color rgb="FF00B050"/>
              </font>
            </x14:dxf>
          </x14:cfRule>
          <x14:cfRule type="cellIs" priority="1563" operator="equal" id="{C3BE8B87-B4BA-4746-A5CB-B0F4B653BCCF}">
            <xm:f>QUALITE!$A$11</xm:f>
            <x14:dxf>
              <font>
                <color rgb="FF0070C0"/>
              </font>
            </x14:dxf>
          </x14:cfRule>
          <x14:cfRule type="cellIs" priority="1564" operator="equal" id="{D998B1DB-7D55-43E4-B889-C746B00DF8C7}">
            <xm:f>QUALITE!$A$10</xm:f>
            <x14:dxf>
              <font>
                <color rgb="FF00B0F0"/>
              </font>
            </x14:dxf>
          </x14:cfRule>
          <x14:cfRule type="cellIs" priority="1565" operator="equal" id="{3F553A0F-2376-4668-BC30-E8397841A520}">
            <xm:f>QUALITE!$A$9</xm:f>
            <x14:dxf>
              <font>
                <color theme="2" tint="-0.499984740745262"/>
              </font>
            </x14:dxf>
          </x14:cfRule>
          <x14:cfRule type="cellIs" priority="1566" operator="equal" id="{5267D4FE-9C4B-4F78-AF08-AD508D1B1B83}">
            <xm:f>QUALITE!$A$8</xm:f>
            <x14:dxf>
              <font>
                <color rgb="FFC00000"/>
              </font>
            </x14:dxf>
          </x14:cfRule>
          <x14:cfRule type="cellIs" priority="1567" operator="equal" id="{43D48C5D-16E2-4773-8B36-4743F623378E}">
            <xm:f>QUALITE!$A$7</xm:f>
            <x14:dxf>
              <font>
                <color rgb="FFFFC000"/>
              </font>
            </x14:dxf>
          </x14:cfRule>
          <x14:cfRule type="cellIs" priority="1568" operator="equal" id="{FF1FF879-C5E8-45CF-AD07-4B881ED136FF}">
            <xm:f>QUALITE!$A$6</xm:f>
            <x14:dxf>
              <font>
                <color rgb="FF00B050"/>
              </font>
            </x14:dxf>
          </x14:cfRule>
          <x14:cfRule type="cellIs" priority="1569" operator="equal" id="{683AB6A1-D0CA-4F4A-8980-0EE828825EA4}">
            <xm:f>QUALITE!$A$5</xm:f>
            <x14:dxf>
              <font>
                <color rgb="FFFF0000"/>
              </font>
            </x14:dxf>
          </x14:cfRule>
          <x14:cfRule type="cellIs" priority="1570" operator="equal" id="{91825549-82B9-47C0-90ED-D4CCAFE885E4}">
            <xm:f>QUALITE!$A$4</xm:f>
            <x14:dxf>
              <font>
                <color rgb="FFFF0000"/>
              </font>
            </x14:dxf>
          </x14:cfRule>
          <x14:cfRule type="cellIs" priority="1571" operator="equal" id="{B15AB3DF-5A87-4BA8-B182-3AD5108852B9}">
            <xm:f>QUALITE!$A$3</xm:f>
            <x14:dxf>
              <font>
                <color rgb="FF0070C0"/>
              </font>
            </x14:dxf>
          </x14:cfRule>
          <x14:cfRule type="cellIs" priority="1572" operator="equal" id="{42B560A9-CCA6-44BC-A1B7-1BF539352B5B}">
            <xm:f>QUALITE!$A$2</xm:f>
            <x14:dxf>
              <font>
                <color rgb="FF00B0F0"/>
              </font>
            </x14:dxf>
          </x14:cfRule>
          <xm:sqref>C43:C51 C18 C22:C37</xm:sqref>
        </x14:conditionalFormatting>
        <x14:conditionalFormatting xmlns:xm="http://schemas.microsoft.com/office/excel/2006/main">
          <x14:cfRule type="cellIs" priority="1624" operator="equal" id="{609DC421-F603-4207-A857-7FE30802F617}">
            <xm:f>QUALITE!$A$18</xm:f>
            <x14:dxf>
              <font>
                <color rgb="FFFF0000"/>
              </font>
            </x14:dxf>
          </x14:cfRule>
          <x14:cfRule type="cellIs" priority="1625" operator="equal" id="{18148C8A-6773-4034-AD5C-9FDF24F0EA1F}">
            <xm:f>QUALITE!$A$17</xm:f>
            <x14:dxf>
              <font>
                <color rgb="FF00B0F0"/>
              </font>
            </x14:dxf>
          </x14:cfRule>
          <x14:cfRule type="cellIs" priority="1626" operator="equal" id="{6240E291-8297-420C-9D3E-74EBAA6E33BE}">
            <xm:f>QUALITE!$A$16</xm:f>
            <x14:dxf>
              <font>
                <color theme="2" tint="-0.499984740745262"/>
              </font>
            </x14:dxf>
          </x14:cfRule>
          <x14:cfRule type="cellIs" priority="1627" operator="equal" id="{DAE13F67-DA5E-4A7F-AE98-46B67DD5AFA5}">
            <xm:f>QUALITE!$A$15</xm:f>
            <x14:dxf>
              <font>
                <color theme="2" tint="-0.499984740745262"/>
              </font>
            </x14:dxf>
          </x14:cfRule>
          <x14:cfRule type="cellIs" priority="1628" operator="equal" id="{5E7EAFBD-EB89-4351-86DC-8DED3B8AE7F7}">
            <xm:f>QUALITE!$A$14</xm:f>
            <x14:dxf>
              <font>
                <color rgb="FFFF0000"/>
              </font>
            </x14:dxf>
          </x14:cfRule>
          <x14:cfRule type="cellIs" priority="1629" operator="equal" id="{5F3F1045-78F0-46F0-8311-40025B35D8CC}">
            <xm:f>QUALITE!$A$13</xm:f>
            <x14:dxf>
              <font>
                <color rgb="FFFF0000"/>
              </font>
            </x14:dxf>
          </x14:cfRule>
          <x14:cfRule type="cellIs" priority="1630" operator="equal" id="{FBD95120-E47F-467B-9BCC-7C480CE1FF9D}">
            <xm:f>QUALITE!$A$12</xm:f>
            <x14:dxf>
              <font>
                <color rgb="FF00B050"/>
              </font>
            </x14:dxf>
          </x14:cfRule>
          <x14:cfRule type="cellIs" priority="1631" operator="equal" id="{D5CDB2E8-7129-4EBD-9932-25BF4A7147A7}">
            <xm:f>QUALITE!$A$11</xm:f>
            <x14:dxf>
              <font>
                <color rgb="FF0070C0"/>
              </font>
            </x14:dxf>
          </x14:cfRule>
          <x14:cfRule type="cellIs" priority="1632" operator="equal" id="{88E27583-6F2F-494A-9A25-4BA03BD20B4E}">
            <xm:f>QUALITE!$A$10</xm:f>
            <x14:dxf>
              <font>
                <color rgb="FF00B0F0"/>
              </font>
            </x14:dxf>
          </x14:cfRule>
          <x14:cfRule type="cellIs" priority="1633" operator="equal" id="{2CB06E76-644C-4E88-AE2F-E89199570FE3}">
            <xm:f>QUALITE!$A$9</xm:f>
            <x14:dxf>
              <font>
                <color theme="2" tint="-0.499984740745262"/>
              </font>
            </x14:dxf>
          </x14:cfRule>
          <x14:cfRule type="cellIs" priority="1634" operator="equal" id="{00102715-ED5B-4772-B69B-0DD1310CDA50}">
            <xm:f>QUALITE!$A$8</xm:f>
            <x14:dxf>
              <font>
                <color rgb="FFC00000"/>
              </font>
            </x14:dxf>
          </x14:cfRule>
          <x14:cfRule type="cellIs" priority="1635" operator="equal" id="{6575602D-99AB-42D6-9B7D-6EC0001F2FC3}">
            <xm:f>QUALITE!$A$7</xm:f>
            <x14:dxf>
              <font>
                <color auto="1"/>
              </font>
            </x14:dxf>
          </x14:cfRule>
          <x14:cfRule type="cellIs" priority="1636" operator="equal" id="{F89F4C7C-1938-4F66-AD01-ACE60DA790FD}">
            <xm:f>QUALITE!$A$6</xm:f>
            <x14:dxf>
              <font>
                <color rgb="FF00B050"/>
              </font>
            </x14:dxf>
          </x14:cfRule>
          <x14:cfRule type="cellIs" priority="1637" operator="equal" id="{83F0F3D8-BA62-4D98-B35D-8AFB495D3F3D}">
            <xm:f>QUALITE!$A$5</xm:f>
            <x14:dxf>
              <font>
                <color rgb="FFFF0000"/>
              </font>
            </x14:dxf>
          </x14:cfRule>
          <x14:cfRule type="cellIs" priority="1638" operator="equal" id="{7426AC96-89B3-4FB2-9571-3C7A0A043E00}">
            <xm:f>QUALITE!$A$4</xm:f>
            <x14:dxf>
              <font>
                <color rgb="FFFF0000"/>
              </font>
            </x14:dxf>
          </x14:cfRule>
          <x14:cfRule type="cellIs" priority="1639" operator="equal" id="{378F088E-FF6B-4937-9097-4DF390506ADF}">
            <xm:f>QUALITE!$A$3</xm:f>
            <x14:dxf>
              <font>
                <color rgb="FF0070C0"/>
              </font>
            </x14:dxf>
          </x14:cfRule>
          <x14:cfRule type="cellIs" priority="1640" operator="equal" id="{761A1598-77A9-4D14-B789-51AF9C8BD18C}">
            <xm:f>QUALITE!$A$2</xm:f>
            <x14:dxf>
              <font>
                <color rgb="FF00B0F0"/>
              </font>
            </x14:dxf>
          </x14:cfRule>
          <xm:sqref>B63:B70</xm:sqref>
        </x14:conditionalFormatting>
        <x14:conditionalFormatting xmlns:xm="http://schemas.microsoft.com/office/excel/2006/main">
          <x14:cfRule type="cellIs" priority="1151" operator="equal" id="{62ADCA88-C21E-48D9-AD47-27EB0C06640D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52" operator="equal" id="{548E9A8F-E827-4E09-8D27-6DE5C4C63E53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153" operator="equal" id="{2096EC15-1F8A-4196-A93A-42EAE2A8DB41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54" operator="equal" id="{E26DA571-9C64-4AF0-9F5A-3C2E6BCA6951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55" operator="equal" id="{E194048F-BBD4-428A-9AB9-942C230E20C3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56" operator="equal" id="{B754F01E-5680-4EB2-B4A7-76F7C5B9DBC3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57" operator="equal" id="{BC138226-ECE9-4409-8AF7-5AB88109554A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158" operator="equal" id="{22993224-321F-4F7F-A923-1D99A46C1E57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159" operator="equal" id="{BAEEBC18-301D-43F8-BC8D-D2EF3DF229CB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160" operator="equal" id="{159CBF0D-3972-4E05-9C34-CA5B8B727819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61" operator="equal" id="{18120E8B-9D87-407E-817D-791545CD02B3}">
            <xm:f>'\Users\SDC.ParcWafi\Documents\RJ Digital JUIN 2021\[Rapport  jounalier PW 29-06-2021 .xlsx]QUALITE'!#REF!</xm:f>
            <x14:dxf>
              <font>
                <color rgb="FFC00000"/>
              </font>
            </x14:dxf>
          </x14:cfRule>
          <x14:cfRule type="cellIs" priority="1162" operator="equal" id="{7CCC4B88-8019-41AA-BD1A-84FC57857395}">
            <xm:f>'\Users\SDC.ParcWafi\Documents\RJ Digital JUIN 2021\[Rapport  jounalier PW 29-06-2021 .xlsx]QUALITE'!#REF!</xm:f>
            <x14:dxf>
              <font>
                <color rgb="FFFFC000"/>
              </font>
            </x14:dxf>
          </x14:cfRule>
          <x14:cfRule type="cellIs" priority="1163" operator="equal" id="{24C9A33C-D07B-457A-86BD-C4F1FBBC6EF6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164" operator="equal" id="{DC38407D-EBCA-4328-9196-DA9651C9A07F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65" operator="equal" id="{82B7F994-01CF-49AA-8A33-EDC3FC8ECBCB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66" operator="equal" id="{D59C2F74-BFAE-47B5-8E44-5A59CCA6571F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167" operator="equal" id="{1976BB70-C95C-480B-AAA0-1300BA137120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m:sqref>C18 C22:C37</xm:sqref>
        </x14:conditionalFormatting>
        <x14:conditionalFormatting xmlns:xm="http://schemas.microsoft.com/office/excel/2006/main">
          <x14:cfRule type="cellIs" priority="1134" operator="equal" id="{90EB5AC0-278C-41CB-B5F7-FBC8AA560F0F}">
            <xm:f>QUALITE!$A$18</xm:f>
            <x14:dxf>
              <font>
                <color rgb="FFFF0000"/>
              </font>
            </x14:dxf>
          </x14:cfRule>
          <x14:cfRule type="cellIs" priority="1135" operator="equal" id="{1E5DD810-D0FA-409C-AE28-3CBCC9C60BA8}">
            <xm:f>QUALITE!$A$17</xm:f>
            <x14:dxf>
              <font>
                <color rgb="FF00B0F0"/>
              </font>
            </x14:dxf>
          </x14:cfRule>
          <x14:cfRule type="cellIs" priority="1136" operator="equal" id="{B3024816-282C-4DFF-8CEE-E411BCCE8B84}">
            <xm:f>QUALITE!$A$16</xm:f>
            <x14:dxf>
              <font>
                <color theme="2" tint="-0.499984740745262"/>
              </font>
            </x14:dxf>
          </x14:cfRule>
          <x14:cfRule type="cellIs" priority="1137" operator="equal" id="{4CC98F0D-5A11-4D2B-9B01-EF4F41822673}">
            <xm:f>QUALITE!$A$15</xm:f>
            <x14:dxf>
              <font>
                <color theme="2" tint="-0.499984740745262"/>
              </font>
            </x14:dxf>
          </x14:cfRule>
          <x14:cfRule type="cellIs" priority="1138" operator="equal" id="{C4473CDB-7BED-4041-806A-EDDB738A91E5}">
            <xm:f>QUALITE!$A$14</xm:f>
            <x14:dxf>
              <font>
                <color rgb="FFFF0000"/>
              </font>
            </x14:dxf>
          </x14:cfRule>
          <x14:cfRule type="cellIs" priority="1139" operator="equal" id="{4B849E87-20A3-49D4-82E9-C7EE6BAE3083}">
            <xm:f>QUALITE!$A$13</xm:f>
            <x14:dxf>
              <font>
                <color rgb="FFFF0000"/>
              </font>
            </x14:dxf>
          </x14:cfRule>
          <x14:cfRule type="cellIs" priority="1140" operator="equal" id="{B1BD85DA-35AA-40E5-B51B-9DC2B74EFBD9}">
            <xm:f>QUALITE!$A$12</xm:f>
            <x14:dxf>
              <font>
                <color rgb="FF00B050"/>
              </font>
            </x14:dxf>
          </x14:cfRule>
          <x14:cfRule type="cellIs" priority="1141" operator="equal" id="{13BE391E-8ABC-4578-8096-058D5347434E}">
            <xm:f>QUALITE!$A$11</xm:f>
            <x14:dxf>
              <font>
                <color rgb="FF0070C0"/>
              </font>
            </x14:dxf>
          </x14:cfRule>
          <x14:cfRule type="cellIs" priority="1142" operator="equal" id="{D83C073B-C759-4342-95FD-3684E7FBFD40}">
            <xm:f>QUALITE!$A$10</xm:f>
            <x14:dxf>
              <font>
                <color rgb="FF00B0F0"/>
              </font>
            </x14:dxf>
          </x14:cfRule>
          <x14:cfRule type="cellIs" priority="1143" operator="equal" id="{D3B83C86-28D4-4EAA-8760-72FD5EC70297}">
            <xm:f>QUALITE!$A$9</xm:f>
            <x14:dxf>
              <font>
                <color theme="2" tint="-0.499984740745262"/>
              </font>
            </x14:dxf>
          </x14:cfRule>
          <x14:cfRule type="cellIs" priority="1144" operator="equal" id="{3994F5B9-A229-4597-84C6-3D3F772E0F4D}">
            <xm:f>QUALITE!$A$8</xm:f>
            <x14:dxf>
              <font>
                <color rgb="FFC00000"/>
              </font>
            </x14:dxf>
          </x14:cfRule>
          <x14:cfRule type="cellIs" priority="1145" operator="equal" id="{4D273C3C-3748-42CF-B382-91E923DA177B}">
            <xm:f>QUALITE!$A$7</xm:f>
            <x14:dxf>
              <font>
                <color rgb="FFFFC000"/>
              </font>
            </x14:dxf>
          </x14:cfRule>
          <x14:cfRule type="cellIs" priority="1146" operator="equal" id="{9D7BE1D3-515F-476B-B1A6-20461D769AC7}">
            <xm:f>QUALITE!$A$6</xm:f>
            <x14:dxf>
              <font>
                <color rgb="FF00B050"/>
              </font>
            </x14:dxf>
          </x14:cfRule>
          <x14:cfRule type="cellIs" priority="1147" operator="equal" id="{DEA2845B-9E4D-496A-84A1-4EE0179A6676}">
            <xm:f>QUALITE!$A$5</xm:f>
            <x14:dxf>
              <font>
                <color rgb="FFFF0000"/>
              </font>
            </x14:dxf>
          </x14:cfRule>
          <x14:cfRule type="cellIs" priority="1148" operator="equal" id="{37643DAB-FF34-4EDE-B0B2-B78908C31BBF}">
            <xm:f>QUALITE!$A$4</xm:f>
            <x14:dxf>
              <font>
                <color rgb="FFFF0000"/>
              </font>
            </x14:dxf>
          </x14:cfRule>
          <x14:cfRule type="cellIs" priority="1149" operator="equal" id="{D16C5BE4-0083-4FE4-80CE-ABE991A5292E}">
            <xm:f>QUALITE!$A$3</xm:f>
            <x14:dxf>
              <font>
                <color rgb="FF0070C0"/>
              </font>
            </x14:dxf>
          </x14:cfRule>
          <x14:cfRule type="cellIs" priority="1150" operator="equal" id="{A9B37D23-CCB6-4272-B8CD-E4433F4715C0}">
            <xm:f>QUALITE!$A$2</xm:f>
            <x14:dxf>
              <font>
                <color rgb="FF00B0F0"/>
              </font>
            </x14:dxf>
          </x14:cfRule>
          <xm:sqref>C53 C55:C60</xm:sqref>
        </x14:conditionalFormatting>
        <x14:conditionalFormatting xmlns:xm="http://schemas.microsoft.com/office/excel/2006/main">
          <x14:cfRule type="cellIs" priority="530" operator="equal" id="{DDE0DC6E-0118-4CF2-A171-ED9AA17D1E0C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531" operator="equal" id="{5304D811-4F43-40D0-8DCF-55FFBF7E0BC5}">
            <xm:f>'\Users\SDC.ParcWafi\Documents\[RPJ DIGITAL.xlsx]QUALITE'!#REF!</xm:f>
            <x14:dxf/>
          </x14:cfRule>
          <xm:sqref>C38:C42</xm:sqref>
        </x14:conditionalFormatting>
        <x14:conditionalFormatting xmlns:xm="http://schemas.microsoft.com/office/excel/2006/main">
          <x14:cfRule type="cellIs" priority="524" operator="equal" id="{A5B1F009-27C3-4C0A-B8C9-01CEB8804F0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5" operator="equal" id="{CCF523DD-1923-4D26-AC11-9D85B02FA3EE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26" operator="equal" id="{E6C45BA5-75A9-4EB2-8B21-E4D0C2CF78D7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527" operator="equal" id="{F994665B-B70B-4C6F-B4FB-FE5434013B9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8" operator="equal" id="{242F2792-8675-4BA4-A5F4-56793DD69842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9" operator="equal" id="{D98A8C79-1DCB-4CB1-9850-806FED493641}">
            <xm:f>'\Users\SDC.ParcWafi\Documents\[RPJ DIGITAL.xlsx]QUALITE'!#REF!</xm:f>
            <x14:dxf>
              <font>
                <color rgb="FF00B0F0"/>
              </font>
            </x14:dxf>
          </x14:cfRule>
          <xm:sqref>C38:C42</xm:sqref>
        </x14:conditionalFormatting>
        <x14:conditionalFormatting xmlns:xm="http://schemas.microsoft.com/office/excel/2006/main">
          <x14:cfRule type="cellIs" priority="501" operator="equal" id="{13990935-CE37-4F2D-937F-C41558A6CBE0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502" operator="equal" id="{88BC876B-5371-43F2-A26B-F5737D794782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03" operator="equal" id="{CA4261EC-E36E-4ACE-A986-2C14ABE51343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04" operator="equal" id="{0BB6A353-99F0-42FC-B1AC-6B0D640D8D15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05" operator="equal" id="{6DCBA1B6-7655-4FE9-AC03-45A9D4ED0FE4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06" operator="equal" id="{EE5626D4-4405-4301-9F66-10621A890558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07" operator="equal" id="{A1DCAAF4-E05E-4BC3-B399-2858D3233CE4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08" operator="equal" id="{D9730970-5237-4673-8409-3F5D5F9FF754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09" operator="equal" id="{B5C9D010-6DB8-41FA-9B95-DE800574B5DA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10" operator="equal" id="{53A6E4FB-74C3-4016-BDBF-C1736231AA64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11" operator="equal" id="{37A0F925-1298-434F-912E-5AC9053BC385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12" operator="equal" id="{93E5DAA4-7EEA-4EB1-9238-4E71A5385F30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13" operator="equal" id="{281BD2A1-2132-4906-8F44-8A172F05F03A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14" operator="equal" id="{E454C9C3-53E4-41F0-8CEE-B2AFF8308EA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15" operator="equal" id="{9DDEB31C-5F7A-4C50-A046-0365A2713CAF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16" operator="equal" id="{C3542870-2EE0-4827-815C-420E7C58F82C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23" operator="equal" id="{8330EEC6-DB79-44C0-8ED2-B98D898AD488}">
            <xm:f>'\Users\SDC.ParcWafi\Documents\[RPJ DIGITAL.xlsx]QUALITE'!#REF!</xm:f>
            <x14:dxf>
              <font>
                <color rgb="FF00B0F0"/>
              </font>
            </x14:dxf>
          </x14:cfRule>
          <xm:sqref>C38:C42</xm:sqref>
        </x14:conditionalFormatting>
        <x14:conditionalFormatting xmlns:xm="http://schemas.microsoft.com/office/excel/2006/main">
          <x14:cfRule type="cellIs" priority="517" operator="equal" id="{C5D7D937-A6F8-4D69-BF74-0C13C79CC7E0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18" operator="equal" id="{2BEE07B3-C691-47A5-834F-067C3C3C2845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19" operator="equal" id="{0EA13458-CB2D-4285-AF08-DBB2E6718A90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520" operator="equal" id="{1F5260B8-AEDC-42CF-AB23-CB34B616D1B8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1" operator="equal" id="{5EC2FF1B-45F5-479D-8D05-F89589224A83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2" operator="equal" id="{5EF1EECE-CEC2-4658-9319-0C52419F7233}">
            <xm:f>'\Users\SDC.ParcWafi\Documents\[RPJ DIGITAL.xlsx]QUALITE'!#REF!</xm:f>
            <x14:dxf>
              <font>
                <color rgb="FF00B0F0"/>
              </font>
            </x14:dxf>
          </x14:cfRule>
          <xm:sqref>C38:C42</xm:sqref>
        </x14:conditionalFormatting>
        <x14:conditionalFormatting xmlns:xm="http://schemas.microsoft.com/office/excel/2006/main">
          <x14:cfRule type="cellIs" priority="497" operator="equal" id="{83F5FC7A-5D6B-447B-BD33-EA24AC27A91B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498" operator="equal" id="{A42A858D-5EFA-48AA-B0D9-97F38647151D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499" operator="equal" id="{C944634B-7066-4961-A69B-9D1C88934077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500" operator="equal" id="{DB801B65-3E95-4BC2-843A-41818CA94E65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C38:C42</xm:sqref>
        </x14:conditionalFormatting>
        <x14:conditionalFormatting xmlns:xm="http://schemas.microsoft.com/office/excel/2006/main">
          <x14:cfRule type="cellIs" priority="194" operator="equal" id="{9FC52927-E85B-4355-B650-D80402F8C2CA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195" operator="equal" id="{6CF44513-5323-4D00-BA4D-C2C64FECA333}">
            <xm:f>'\Users\SDC.ParcWafi\Desktop\Mars\[Rapport  journalier PW 30-03-2023.xlsm]QUALITE'!#REF!</xm:f>
            <x14:dxf>
              <font>
                <color rgb="FF00B0F0"/>
              </font>
            </x14:dxf>
          </x14:cfRule>
          <x14:cfRule type="cellIs" priority="196" operator="equal" id="{C0B59EC3-3D3D-47E4-AED7-C6BFD478BD38}">
            <xm:f>'\Users\SDC.ParcWafi\Desktop\Mars\[Rapport  journalier PW 30-03-2023.xlsm]QUALITE'!#REF!</xm:f>
            <x14:dxf>
              <font>
                <color theme="2" tint="-0.499984740745262"/>
              </font>
            </x14:dxf>
          </x14:cfRule>
          <x14:cfRule type="cellIs" priority="197" operator="equal" id="{AE7BEF66-94FF-469D-BF11-CDDF24586A33}">
            <xm:f>'\Users\SDC.ParcWafi\Desktop\Mars\[Rapport  journalier PW 30-03-2023.xlsm]QUALITE'!#REF!</xm:f>
            <x14:dxf>
              <font>
                <color theme="2" tint="-0.499984740745262"/>
              </font>
            </x14:dxf>
          </x14:cfRule>
          <x14:cfRule type="cellIs" priority="198" operator="equal" id="{27C44A8D-68C4-42BE-A7BD-4B3BCC3CD038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199" operator="equal" id="{86DAA804-B599-4FB2-A009-F4C04929FDA3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200" operator="equal" id="{4511660B-7AEE-44D9-9FCE-13DFF7E6E278}">
            <xm:f>'\Users\SDC.ParcWafi\Desktop\Mars\[Rapport  journalier PW 30-03-2023.xlsm]QUALITE'!#REF!</xm:f>
            <x14:dxf>
              <font>
                <color rgb="FF00B050"/>
              </font>
            </x14:dxf>
          </x14:cfRule>
          <x14:cfRule type="cellIs" priority="201" operator="equal" id="{A3E510F0-F1E9-4351-AEC8-1F6E0954D0F1}">
            <xm:f>'\Users\SDC.ParcWafi\Desktop\Mars\[Rapport  journalier PW 30-03-2023.xlsm]QUALITE'!#REF!</xm:f>
            <x14:dxf>
              <font>
                <color rgb="FF0070C0"/>
              </font>
            </x14:dxf>
          </x14:cfRule>
          <x14:cfRule type="cellIs" priority="202" operator="equal" id="{1587D569-32B1-42D2-8184-D8EF4B48146D}">
            <xm:f>'\Users\SDC.ParcWafi\Desktop\Mars\[Rapport  journalier PW 30-03-2023.xlsm]QUALITE'!#REF!</xm:f>
            <x14:dxf>
              <font>
                <color rgb="FF00B0F0"/>
              </font>
            </x14:dxf>
          </x14:cfRule>
          <x14:cfRule type="cellIs" priority="203" operator="equal" id="{54818735-1230-4F8B-B365-B3637FCF2D08}">
            <xm:f>'\Users\SDC.ParcWafi\Desktop\Mars\[Rapport  journalier PW 30-03-2023.xlsm]QUALITE'!#REF!</xm:f>
            <x14:dxf>
              <font>
                <color theme="2" tint="-0.499984740745262"/>
              </font>
            </x14:dxf>
          </x14:cfRule>
          <x14:cfRule type="cellIs" priority="204" operator="equal" id="{DBC64E31-DD42-4D79-B8AD-2C29E3AD9F04}">
            <xm:f>'\Users\SDC.ParcWafi\Desktop\Mars\[Rapport  journalier PW 30-03-2023.xlsm]QUALITE'!#REF!</xm:f>
            <x14:dxf>
              <font>
                <color rgb="FFC00000"/>
              </font>
            </x14:dxf>
          </x14:cfRule>
          <x14:cfRule type="cellIs" priority="205" operator="equal" id="{CDC2D6FA-DA98-4FF1-884B-4EE9974C75CB}">
            <xm:f>'\Users\SDC.ParcWafi\Desktop\Mars\[Rapport  journalier PW 30-03-2023.xlsm]QUALITE'!#REF!</xm:f>
            <x14:dxf>
              <font>
                <color rgb="FFFFC000"/>
              </font>
            </x14:dxf>
          </x14:cfRule>
          <x14:cfRule type="cellIs" priority="206" operator="equal" id="{D11467BD-D4C9-4167-AB73-396371260C34}">
            <xm:f>'\Users\SDC.ParcWafi\Desktop\Mars\[Rapport  journalier PW 30-03-2023.xlsm]QUALITE'!#REF!</xm:f>
            <x14:dxf>
              <font>
                <color rgb="FF00B050"/>
              </font>
            </x14:dxf>
          </x14:cfRule>
          <x14:cfRule type="cellIs" priority="207" operator="equal" id="{E9EFD1D1-29C9-4F60-B75E-F96ACA5B8CB7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208" operator="equal" id="{0EE71A85-659F-4A77-A30E-0C7DC0B99DD8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209" operator="equal" id="{49442030-E3E8-46E8-AB86-36F10093B1A6}">
            <xm:f>'\Users\SDC.ParcWafi\Desktop\Mars\[Rapport  journalier PW 30-03-2023.xlsm]QUALITE'!#REF!</xm:f>
            <x14:dxf>
              <font>
                <color rgb="FF0070C0"/>
              </font>
            </x14:dxf>
          </x14:cfRule>
          <x14:cfRule type="cellIs" priority="210" operator="equal" id="{C4B18501-DD3E-4898-8F57-B77B47B46ECB}">
            <xm:f>'\Users\SDC.ParcWafi\Desktop\Mars\[Rapport  journalier PW 30-03-2023.xlsm]QUALITE'!#REF!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177" operator="equal" id="{82C0E328-0835-4E9A-911B-048E298108CE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78" operator="equal" id="{5808F91F-40A8-4CD5-B52A-7F4438682959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79" operator="equal" id="{7F60F517-7085-47D9-B9F6-532386EBC56A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80" operator="equal" id="{D85F8C05-49DB-4014-9F35-968FF6FA43CB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81" operator="equal" id="{6B6B4C52-3505-4420-ADF1-8FF8986726E9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82" operator="equal" id="{2E23E257-FF8B-4749-9369-8C8F2F1313F0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83" operator="equal" id="{A3498417-8A4F-4217-B0E9-6A029E498C6C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84" operator="equal" id="{EC911FC4-ABD1-4D96-BAF6-5F352FCC8647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85" operator="equal" id="{DF122DDF-290B-4916-8408-D470CFC52677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86" operator="equal" id="{5418AA06-DA8B-47AC-9C7B-62E2736871A8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87" operator="equal" id="{DDE31649-6FF3-4A12-B8C6-DC17E3ED0674}">
            <xm:f>'\Users\SDC.ParcWafi\Documents\RJ Digital JUIN 2021\[Rapport  jounalier PW 29-06-2021 .xlsx]QUALITE'!#REF!</xm:f>
            <x14:dxf>
              <font>
                <color rgb="FFC00000"/>
              </font>
            </x14:dxf>
          </x14:cfRule>
          <x14:cfRule type="cellIs" priority="188" operator="equal" id="{EE7569F5-CB13-425F-916E-D92DE9A9F161}">
            <xm:f>'\Users\SDC.ParcWafi\Documents\RJ Digital JUIN 2021\[Rapport  jounalier PW 29-06-2021 .xlsx]QUALITE'!#REF!</xm:f>
            <x14:dxf>
              <font>
                <color rgb="FFFFC000"/>
              </font>
            </x14:dxf>
          </x14:cfRule>
          <x14:cfRule type="cellIs" priority="189" operator="equal" id="{AF3B980C-108A-46ED-904F-C0ED7DF285A4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90" operator="equal" id="{012169E0-109A-4B68-848F-DDD614BB9C64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91" operator="equal" id="{9B1BD7CF-C677-4296-A9C9-6E2DC820CCC7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92" operator="equal" id="{8BCC1A34-CE59-41B5-8C5F-1D46664323FC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93" operator="equal" id="{A1BA91F3-53DF-4254-BC63-30A072688410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124" operator="equal" id="{195EF9EC-05FC-49CA-8195-BD17C1B7C216}">
            <xm:f>QUALITE!$A$18</xm:f>
            <x14:dxf>
              <font>
                <color rgb="FFFF0000"/>
              </font>
            </x14:dxf>
          </x14:cfRule>
          <x14:cfRule type="cellIs" priority="125" operator="equal" id="{36E97E8E-356A-42DB-8AA1-25E32A5F0CFE}">
            <xm:f>QUALITE!$A$17</xm:f>
            <x14:dxf>
              <font>
                <color rgb="FF00B0F0"/>
              </font>
            </x14:dxf>
          </x14:cfRule>
          <x14:cfRule type="cellIs" priority="126" operator="equal" id="{2A71D969-7EE3-42E9-979C-83B57B2FC974}">
            <xm:f>QUALITE!$A$16</xm:f>
            <x14:dxf>
              <font>
                <color theme="2" tint="-0.499984740745262"/>
              </font>
            </x14:dxf>
          </x14:cfRule>
          <x14:cfRule type="cellIs" priority="127" operator="equal" id="{24675AC5-2253-45EF-9C65-7A32A2E10C04}">
            <xm:f>QUALITE!$A$15</xm:f>
            <x14:dxf>
              <font>
                <color theme="2" tint="-0.499984740745262"/>
              </font>
            </x14:dxf>
          </x14:cfRule>
          <x14:cfRule type="cellIs" priority="128" operator="equal" id="{CB199A6D-0E6C-4816-B575-D3B574DDF408}">
            <xm:f>QUALITE!$A$14</xm:f>
            <x14:dxf>
              <font>
                <color rgb="FFFF0000"/>
              </font>
            </x14:dxf>
          </x14:cfRule>
          <x14:cfRule type="cellIs" priority="129" operator="equal" id="{6A6B2BE0-0502-47F2-B5A8-74F67A32AD7D}">
            <xm:f>QUALITE!$A$13</xm:f>
            <x14:dxf>
              <font>
                <color rgb="FFFF0000"/>
              </font>
            </x14:dxf>
          </x14:cfRule>
          <x14:cfRule type="cellIs" priority="130" operator="equal" id="{1ADD6E2C-0206-4BE3-B743-5B6E8E34079B}">
            <xm:f>QUALITE!$A$12</xm:f>
            <x14:dxf>
              <font>
                <color rgb="FF00B050"/>
              </font>
            </x14:dxf>
          </x14:cfRule>
          <x14:cfRule type="cellIs" priority="131" operator="equal" id="{A11FF20C-387E-4175-9C89-6452E469CDDB}">
            <xm:f>QUALITE!$A$11</xm:f>
            <x14:dxf>
              <font>
                <color rgb="FF0070C0"/>
              </font>
            </x14:dxf>
          </x14:cfRule>
          <x14:cfRule type="cellIs" priority="132" operator="equal" id="{4A7C42EC-AD50-4B0F-AB1F-A0ABD08936A9}">
            <xm:f>QUALITE!$A$10</xm:f>
            <x14:dxf>
              <font>
                <color rgb="FF00B0F0"/>
              </font>
            </x14:dxf>
          </x14:cfRule>
          <x14:cfRule type="cellIs" priority="133" operator="equal" id="{DE4C5EBF-8B1E-4964-A9E8-33FDCE0EB104}">
            <xm:f>QUALITE!$A$9</xm:f>
            <x14:dxf>
              <font>
                <color theme="2" tint="-0.499984740745262"/>
              </font>
            </x14:dxf>
          </x14:cfRule>
          <x14:cfRule type="cellIs" priority="134" operator="equal" id="{950CFE91-3482-4745-960A-C5C4A11AAE15}">
            <xm:f>QUALITE!$A$8</xm:f>
            <x14:dxf>
              <font>
                <color rgb="FFC00000"/>
              </font>
            </x14:dxf>
          </x14:cfRule>
          <x14:cfRule type="cellIs" priority="135" operator="equal" id="{78FBBF6B-D934-4E64-B15F-8FCE18A30766}">
            <xm:f>QUALITE!$A$7</xm:f>
            <x14:dxf>
              <font>
                <color rgb="FFFFC000"/>
              </font>
            </x14:dxf>
          </x14:cfRule>
          <x14:cfRule type="cellIs" priority="136" operator="equal" id="{8FB49E44-5BA6-442D-8B6F-93C9FB7A5917}">
            <xm:f>QUALITE!$A$6</xm:f>
            <x14:dxf>
              <font>
                <color rgb="FF00B050"/>
              </font>
            </x14:dxf>
          </x14:cfRule>
          <x14:cfRule type="cellIs" priority="137" operator="equal" id="{E6519404-C63A-448A-8DF1-9C3DC8A2728B}">
            <xm:f>QUALITE!$A$5</xm:f>
            <x14:dxf>
              <font>
                <color rgb="FFFF0000"/>
              </font>
            </x14:dxf>
          </x14:cfRule>
          <x14:cfRule type="cellIs" priority="138" operator="equal" id="{7083D36D-C340-4B4C-8273-3124CE64E0EB}">
            <xm:f>QUALITE!$A$4</xm:f>
            <x14:dxf>
              <font>
                <color rgb="FFFF0000"/>
              </font>
            </x14:dxf>
          </x14:cfRule>
          <x14:cfRule type="cellIs" priority="139" operator="equal" id="{C5ECFC8F-36A7-40DD-B87B-B32D8F63A61F}">
            <xm:f>QUALITE!$A$3</xm:f>
            <x14:dxf>
              <font>
                <color rgb="FF0070C0"/>
              </font>
            </x14:dxf>
          </x14:cfRule>
          <x14:cfRule type="cellIs" priority="140" operator="equal" id="{C59F030C-29D0-4012-90AD-AB359D25B892}">
            <xm:f>QUALITE!$A$2</xm:f>
            <x14:dxf>
              <font>
                <color rgb="FF00B0F0"/>
              </font>
            </x14:dxf>
          </x14:cfRule>
          <xm:sqref>C54</xm:sqref>
        </x14:conditionalFormatting>
        <x14:conditionalFormatting xmlns:xm="http://schemas.microsoft.com/office/excel/2006/main">
          <x14:cfRule type="cellIs" priority="107" operator="equal" id="{50C00885-DF29-4689-B5F8-51DE910D9F83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08" operator="equal" id="{C6E05592-FE14-4244-91E3-E9877EDE5BF3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09" operator="equal" id="{4D252EE6-F697-4F0D-ADE5-50503A5DD641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0" operator="equal" id="{F012CB86-EC48-4122-ACCF-C2B757091F35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1" operator="equal" id="{96CE2106-8AFD-4C40-B804-97340E774AD2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2" operator="equal" id="{1696C30F-A43D-4FCC-8D0E-A8FC45368B56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3" operator="equal" id="{14840AAB-6071-404D-A16C-58A3B9A69A4E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14" operator="equal" id="{44A0956F-EEFA-4C52-B8E0-0C0AFAA334D1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15" operator="equal" id="{1A43E59F-5DA7-4BC5-AE4D-DD4F16F7EEFF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16" operator="equal" id="{63769968-405D-461B-9036-E42AE5EDAD55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7" operator="equal" id="{0A04865A-56F3-4A47-83E9-DDE960E6FA20}">
            <xm:f>'\Users\SDC.ParcWafi\Documents\RJ Digital JUIN 2021\[Rapport  jounalier PW 29-06-2021 .xlsx]QUALITE'!#REF!</xm:f>
            <x14:dxf>
              <font>
                <color rgb="FFC00000"/>
              </font>
            </x14:dxf>
          </x14:cfRule>
          <x14:cfRule type="cellIs" priority="118" operator="equal" id="{B2D39F40-8A7B-4C21-862D-AD930A3E759B}">
            <xm:f>'\Users\SDC.ParcWafi\Documents\RJ Digital JUIN 2021\[Rapport  jounalier PW 29-06-2021 .xlsx]QUALITE'!#REF!</xm:f>
            <x14:dxf>
              <font>
                <color rgb="FFFFC000"/>
              </font>
            </x14:dxf>
          </x14:cfRule>
          <x14:cfRule type="cellIs" priority="119" operator="equal" id="{4E88B3E2-6B95-4FA1-861E-92BF6C8313AC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20" operator="equal" id="{C11E21B3-494C-4975-BEE1-C7D24B97EB1F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21" operator="equal" id="{4F7B24BF-45AB-4352-AD1C-A7FABB81C2FC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22" operator="equal" id="{6724EB2C-AF5C-4330-964B-70C1A73E2F29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23" operator="equal" id="{30439A0B-5A1E-4B3B-B01D-1381356E2189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m:sqref>C54</xm:sqref>
        </x14:conditionalFormatting>
        <x14:conditionalFormatting xmlns:xm="http://schemas.microsoft.com/office/excel/2006/main">
          <x14:cfRule type="cellIs" priority="70" operator="equal" id="{B4EA7D7F-ED3B-44AC-A53C-9DD7A3EE75CE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71" operator="equal" id="{67E44BEC-810A-4317-945F-FE071034C529}">
            <xm:f>'\Users\SDC.ParcWafi\Documents\[RPJ DIGITAL.xlsx]QUALITE'!#REF!</xm:f>
            <x14:dxf/>
          </x14:cfRule>
          <xm:sqref>C17</xm:sqref>
        </x14:conditionalFormatting>
        <x14:conditionalFormatting xmlns:xm="http://schemas.microsoft.com/office/excel/2006/main">
          <x14:cfRule type="cellIs" priority="64" operator="equal" id="{A278B7F3-38C2-40C8-AAEE-6CAA2BD7D3FB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5" operator="equal" id="{ECA1FB9D-84BD-4F57-88EC-A23A352798C9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66" operator="equal" id="{3FBC0187-C316-4A8E-9EFD-DF6790A9C392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67" operator="equal" id="{A482413A-E5CA-43D5-AF30-D70814E9B1C2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8" operator="equal" id="{1941B561-DA5C-47D5-AAA0-7E4F2EC33AAD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9" operator="equal" id="{1820220F-A1E3-4DA3-B70D-F817611C00E6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41" operator="equal" id="{0C0E81C1-FCDD-45CF-A2EC-C314DD5769C8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42" operator="equal" id="{626522F2-F498-4A8A-9A7A-0BB1BB959C7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3" operator="equal" id="{08DF723D-7957-4D17-AC58-78B82A26E6D0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44" operator="equal" id="{65C4F842-CFE6-430A-AD73-3B760F329F30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45" operator="equal" id="{F12370A8-42CE-4D6B-B69D-00831B0D2B75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46" operator="equal" id="{E83173E5-1914-498F-8B94-36F90DCE2467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7" operator="equal" id="{8B210E95-D226-4FF5-B732-D749687F3729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8" operator="equal" id="{F6FDC7C0-BB9E-4543-918E-C2B5753A4EA6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49" operator="equal" id="{4F617CA5-5A1D-437B-912A-B903392840FC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0" operator="equal" id="{85D12B79-1565-4E4E-9B10-4A218192DF2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1" operator="equal" id="{CB25726F-4B81-4A54-AB89-E6C0F6D8E032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2" operator="equal" id="{646E4929-0DDE-4610-9059-5F552F166EC2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3" operator="equal" id="{FBCBDB45-79CF-4FB7-ACAE-4A75D91530D7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4" operator="equal" id="{46EFCEF8-40AF-4D54-8361-EC0A57F0FF80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5" operator="equal" id="{9392054D-2E22-4AEE-8AD9-9372C3DCB198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6" operator="equal" id="{787767F7-D9D6-4740-8F32-36EDF177BB72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63" operator="equal" id="{B206231F-0671-4E79-9084-F3655DC152B8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57" operator="equal" id="{BEEDD94D-F98B-4734-8BAA-E296CB5FBF7A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" operator="equal" id="{3651151B-BF97-4368-9E0F-86051AEAF4AC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9" operator="equal" id="{BBFE3325-D817-4CC2-B6B3-49ADE11B3BC8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60" operator="equal" id="{77589080-6847-4084-A718-E8C7D5E9639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1" operator="equal" id="{44BD061A-E516-456A-8315-943D321C3F2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2" operator="equal" id="{2085753E-4F3F-4E4D-B964-F2C0A9641777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37" operator="equal" id="{DE02A5FF-778E-4AD3-9F58-9029E8D4B40F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38" operator="equal" id="{A248AE9E-C9F7-468E-BD97-60213E85D10F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39" operator="equal" id="{8A83D561-8090-4C97-9406-FF71659B5264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40" operator="equal" id="{D9F5E44A-3E17-4EE6-850D-58F96C3BE4F7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34" operator="equal" id="{1EF113D9-9190-495E-A5B0-1C2989A15D9E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35" operator="equal" id="{4F5B3F83-28C3-4403-8A10-47091E075558}">
            <xm:f>'\Users\SDC.ParcWafi\Documents\[RPJ DIGITAL.xlsx]QUALITE'!#REF!</xm:f>
            <x14:dxf/>
          </x14:cfRule>
          <xm:sqref>C19:C21</xm:sqref>
        </x14:conditionalFormatting>
        <x14:conditionalFormatting xmlns:xm="http://schemas.microsoft.com/office/excel/2006/main">
          <x14:cfRule type="cellIs" priority="28" operator="equal" id="{453234EC-4BA5-4A83-99EC-4856C345076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9" operator="equal" id="{8F6E8EC6-B283-4AD1-9715-E96D04B796FE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30" operator="equal" id="{08788410-3373-4644-8D87-553740A34E7F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31" operator="equal" id="{A283C811-361C-435A-AB21-6B1EE2A7F608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32" operator="equal" id="{A40AAD3A-0A2C-4331-813F-FC114AC9FC8C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33" operator="equal" id="{71E50CBF-3D75-4F19-AF6C-8424272E4B4B}">
            <xm:f>'\Users\SDC.ParcWafi\Documents\[RPJ DIGITAL.xlsx]QUALITE'!#REF!</xm:f>
            <x14:dxf>
              <font>
                <color rgb="FF00B0F0"/>
              </font>
            </x14:dxf>
          </x14:cfRule>
          <xm:sqref>C19:C21</xm:sqref>
        </x14:conditionalFormatting>
        <x14:conditionalFormatting xmlns:xm="http://schemas.microsoft.com/office/excel/2006/main">
          <x14:cfRule type="cellIs" priority="5" operator="equal" id="{67B6E0E6-F95C-45C8-8C49-57D0913C70D6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6" operator="equal" id="{499D3230-4928-4CEB-B32D-7BB67A5C22D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7" operator="equal" id="{092E3692-80BA-450C-A06A-E689E0D35DB2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8" operator="equal" id="{6D55A882-6C8B-4291-8377-6B141B27A5C8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" operator="equal" id="{F47F809D-B0B2-4498-9594-CE713E132133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0" operator="equal" id="{4B409BA6-6834-465A-93F6-3F752BD10529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1" operator="equal" id="{18B9FACD-D66B-4033-B61E-78CACF562937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" operator="equal" id="{BC32E00F-5682-4B22-8837-8F0E461B9824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3" operator="equal" id="{4471C8D2-9BF8-4E87-8716-52AC32C5972A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4" operator="equal" id="{847C4B32-BEC3-4A33-B4D4-7DCDAC543D10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5" operator="equal" id="{EE7E31F9-0248-447C-9F31-754F417732FA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6" operator="equal" id="{0E6FBAD6-C1D8-49A8-A824-92D36426CCB1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7" operator="equal" id="{2FB9DC26-196E-4BCD-B6B6-81F5EC88F6E7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8" operator="equal" id="{768EB7BF-1A98-4563-8DF6-0DB623843AF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9" operator="equal" id="{E85E5DDA-4DA9-4807-90E7-5D7EBA68060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0" operator="equal" id="{5A4707CD-612C-42DC-8817-16DAC3919A8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7" operator="equal" id="{0763032A-D544-4C88-9A0E-A01F018107BB}">
            <xm:f>'\Users\SDC.ParcWafi\Documents\[RPJ DIGITAL.xlsx]QUALITE'!#REF!</xm:f>
            <x14:dxf>
              <font>
                <color rgb="FF00B0F0"/>
              </font>
            </x14:dxf>
          </x14:cfRule>
          <xm:sqref>C19:C21</xm:sqref>
        </x14:conditionalFormatting>
        <x14:conditionalFormatting xmlns:xm="http://schemas.microsoft.com/office/excel/2006/main">
          <x14:cfRule type="cellIs" priority="21" operator="equal" id="{E90B4B9D-6824-435A-B282-63A6A8B0977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2" operator="equal" id="{8BAA4DA2-8EC2-4E06-8AD0-0BED51E7962B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23" operator="equal" id="{BE59258B-3475-4EEE-957E-6EE6228908E7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24" operator="equal" id="{521C1A0D-B1A7-4D34-B96E-F621700E38E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5" operator="equal" id="{A8BD4127-7790-44F4-B91D-9BC256891C8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6" operator="equal" id="{CF8C9AB8-DC64-422E-A9DE-7D62C84FAEA2}">
            <xm:f>'\Users\SDC.ParcWafi\Documents\[RPJ DIGITAL.xlsx]QUALITE'!#REF!</xm:f>
            <x14:dxf>
              <font>
                <color rgb="FF00B0F0"/>
              </font>
            </x14:dxf>
          </x14:cfRule>
          <xm:sqref>C19:C21</xm:sqref>
        </x14:conditionalFormatting>
        <x14:conditionalFormatting xmlns:xm="http://schemas.microsoft.com/office/excel/2006/main">
          <x14:cfRule type="cellIs" priority="1" operator="equal" id="{BDCD093A-C68B-4644-8982-5B136CA6DBC3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2" operator="equal" id="{AA6AC099-95A5-4F2C-AEC0-D86839003F4E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3" operator="equal" id="{25D5B7BE-E1D4-4369-876A-D2569F205F9C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4" operator="equal" id="{C968F3B5-CF8B-4F9B-98F0-F775B635CAB3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C19:C21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destination!$A$2:$A$10</xm:f>
          </x14:formula1>
          <xm:sqref>D80:D81</xm:sqref>
        </x14:dataValidation>
        <x14:dataValidation type="list" allowBlank="1" showInputMessage="1" showErrorMessage="1">
          <x14:formula1>
            <xm:f>QUALITE!$A$2:$A$17</xm:f>
          </x14:formula1>
          <xm:sqref>B63:C70</xm:sqref>
        </x14:dataValidation>
        <x14:dataValidation type="list" allowBlank="1" showInputMessage="1" showErrorMessage="1">
          <x14:formula1>
            <xm:f>destination!$A$2:$A$3</xm:f>
          </x14:formula1>
          <xm:sqref>D63:D70 E59:E60 E50:F50 F53:F60 F51 F18:F49</xm:sqref>
        </x14:dataValidation>
        <x14:dataValidation type="list" allowBlank="1" showInputMessage="1" showErrorMessage="1">
          <x14:formula1>
            <xm:f>Parametre!$C$3:$C$6</xm:f>
          </x14:formula1>
          <xm:sqref>H53:I60 H18:I51</xm:sqref>
        </x14:dataValidation>
        <x14:dataValidation type="list" allowBlank="1" showInputMessage="1" showErrorMessage="1">
          <x14:formula1>
            <xm:f>QUALITE!$D$2:$D$8</xm:f>
          </x14:formula1>
          <xm:sqref>C53:C60 C18 C22:C50</xm:sqref>
        </x14:dataValidation>
        <x14:dataValidation type="list" allowBlank="1" showInputMessage="1" showErrorMessage="1">
          <x14:formula1>
            <xm:f>'C:\Users\SDC.ParcWafi\Desktop\Mars\[Rapport  journalier PW 30-03-2023.xlsm]QUALITE'!#REF!</xm:f>
          </x14:formula1>
          <xm:sqref>C52</xm:sqref>
        </x14:dataValidation>
        <x14:dataValidation type="list" allowBlank="1" showInputMessage="1" showErrorMessage="1">
          <x14:formula1>
            <xm:f>'C:\Users\SDC.ParcWafi\Desktop\Mars\[Rapport  journalier PW 30-03-2023.xlsm]Parametre'!#REF!</xm:f>
          </x14:formula1>
          <xm:sqref>H52:I52</xm:sqref>
        </x14:dataValidation>
        <x14:dataValidation type="list" allowBlank="1" showInputMessage="1" showErrorMessage="1">
          <x14:formula1>
            <xm:f>'C:\Users\SDC.ParcWafi\Desktop\Mars\[Rapport  journalier PW 30-03-2023.xlsm]destination'!#REF!</xm:f>
          </x14:formula1>
          <xm:sqref>F52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21-04-2023.xlsm]QUALITE'!#REF!</xm:f>
          </x14:formula1>
          <xm:sqref>C17 C19:C21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21-04-2023.xlsm]Parametre'!#REF!</xm:f>
          </x14:formula1>
          <xm:sqref>H17:I17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21-04-2023.xlsm]destination'!#REF!</xm:f>
          </x14:formula1>
          <xm:sqref>F17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39997558519241921"/>
    <pageSetUpPr fitToPage="1"/>
  </sheetPr>
  <dimension ref="A1:Z122"/>
  <sheetViews>
    <sheetView showGridLines="0" topLeftCell="A10" zoomScale="69" zoomScaleNormal="69" zoomScaleSheetLayoutView="70" workbookViewId="0">
      <selection activeCell="N17" sqref="N17:N25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4.625" style="4" customWidth="1"/>
    <col min="5" max="5" width="23.625" style="4" customWidth="1"/>
    <col min="6" max="6" width="19.25" style="4" customWidth="1"/>
    <col min="7" max="7" width="23.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>
      <c r="A1" s="46"/>
    </row>
    <row r="2" spans="1:19" ht="34.5" customHeight="1" thickBot="1" x14ac:dyDescent="0.4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1"/>
      <c r="D3" s="571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2"/>
      <c r="D5" s="572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3" t="s">
        <v>12</v>
      </c>
      <c r="G6" s="574"/>
      <c r="H6" s="81" t="s">
        <v>60</v>
      </c>
      <c r="I6" s="574" t="s">
        <v>96</v>
      </c>
      <c r="J6" s="574"/>
      <c r="K6" s="574" t="s">
        <v>97</v>
      </c>
      <c r="L6" s="574"/>
      <c r="M6" s="574" t="s">
        <v>98</v>
      </c>
      <c r="N6" s="574"/>
      <c r="O6" s="574"/>
      <c r="P6" s="81"/>
      <c r="Q6" s="574"/>
      <c r="R6" s="574"/>
      <c r="S6" s="29"/>
    </row>
    <row r="7" spans="1:19" ht="18.75" customHeight="1" thickBot="1" x14ac:dyDescent="0.25"/>
    <row r="8" spans="1:19" ht="36" customHeight="1" thickBot="1" x14ac:dyDescent="0.25">
      <c r="A8" s="5"/>
      <c r="B8" s="589"/>
      <c r="C8" s="590"/>
      <c r="D8" s="38" t="s">
        <v>0</v>
      </c>
      <c r="E8" s="593" t="s">
        <v>802</v>
      </c>
      <c r="F8" s="593"/>
      <c r="G8" s="593"/>
      <c r="H8" s="593"/>
      <c r="I8" s="593"/>
      <c r="J8" s="593"/>
      <c r="K8" s="593"/>
      <c r="L8" s="593"/>
      <c r="M8" s="593"/>
      <c r="N8" s="593"/>
      <c r="O8" s="593"/>
      <c r="P8" s="593"/>
      <c r="Q8" s="593"/>
      <c r="R8" s="593"/>
    </row>
    <row r="9" spans="1:19" ht="38.25" customHeight="1" thickBot="1" x14ac:dyDescent="0.25">
      <c r="A9" s="5"/>
      <c r="B9" s="591"/>
      <c r="C9" s="592"/>
      <c r="D9" s="38" t="s">
        <v>8</v>
      </c>
      <c r="E9" s="594" t="s">
        <v>100</v>
      </c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</row>
    <row r="10" spans="1:19" ht="38.25" customHeight="1" thickBot="1" x14ac:dyDescent="0.25">
      <c r="A10" s="5"/>
      <c r="B10" s="595" t="s">
        <v>99</v>
      </c>
      <c r="C10" s="596"/>
      <c r="D10" s="38" t="s">
        <v>9</v>
      </c>
      <c r="E10" s="500">
        <v>5</v>
      </c>
      <c r="F10" s="594" t="s">
        <v>125</v>
      </c>
      <c r="G10" s="594"/>
      <c r="H10" s="594"/>
      <c r="I10" s="594"/>
      <c r="J10" s="594"/>
      <c r="K10" s="594"/>
      <c r="L10" s="594"/>
      <c r="M10" s="594"/>
      <c r="N10" s="594"/>
      <c r="O10" s="594"/>
      <c r="P10" s="594"/>
      <c r="Q10" s="594"/>
      <c r="R10" s="37" t="s">
        <v>806</v>
      </c>
    </row>
    <row r="11" spans="1:19" ht="26.25" customHeight="1" x14ac:dyDescent="0.45">
      <c r="A11" s="5"/>
      <c r="B11" s="32" t="s">
        <v>530</v>
      </c>
      <c r="C11" s="30"/>
      <c r="D11" s="31"/>
    </row>
    <row r="12" spans="1:19" ht="5.25" customHeight="1" x14ac:dyDescent="0.2"/>
    <row r="13" spans="1:19" ht="24" customHeight="1" x14ac:dyDescent="0.2">
      <c r="B13" s="583" t="s">
        <v>1</v>
      </c>
      <c r="C13" s="583"/>
      <c r="D13" s="583"/>
      <c r="E13" s="583"/>
      <c r="F13" s="583"/>
      <c r="G13" s="583"/>
      <c r="H13" s="583"/>
      <c r="I13" s="583"/>
      <c r="J13" s="583"/>
      <c r="K13" s="583"/>
      <c r="L13" s="583"/>
      <c r="M13" s="583"/>
      <c r="N13" s="583"/>
      <c r="O13" s="583"/>
      <c r="P13" s="583"/>
      <c r="Q13" s="583"/>
      <c r="R13" s="583"/>
    </row>
    <row r="14" spans="1:19" ht="21" customHeight="1" x14ac:dyDescent="0.2">
      <c r="A14" s="6"/>
      <c r="B14" s="583"/>
      <c r="C14" s="583"/>
      <c r="D14" s="583"/>
      <c r="E14" s="583"/>
      <c r="F14" s="583"/>
      <c r="G14" s="583"/>
      <c r="H14" s="583"/>
      <c r="I14" s="583"/>
      <c r="J14" s="583"/>
      <c r="K14" s="583"/>
      <c r="L14" s="583"/>
      <c r="M14" s="583"/>
      <c r="N14" s="583"/>
      <c r="O14" s="583"/>
      <c r="P14" s="583"/>
      <c r="Q14" s="583"/>
      <c r="R14" s="583"/>
    </row>
    <row r="15" spans="1:19" ht="33.75" customHeight="1" thickBot="1" x14ac:dyDescent="0.5">
      <c r="A15" s="7"/>
      <c r="B15" s="166" t="s">
        <v>526</v>
      </c>
      <c r="C15" s="39"/>
      <c r="E15" s="36"/>
      <c r="J15" s="34"/>
      <c r="K15" s="34"/>
      <c r="P15" s="70" t="s">
        <v>44</v>
      </c>
      <c r="Q15" s="584">
        <v>45037</v>
      </c>
      <c r="R15" s="584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5" t="s">
        <v>533</v>
      </c>
      <c r="I16" s="586"/>
      <c r="J16" s="68" t="s">
        <v>540</v>
      </c>
      <c r="K16" s="83" t="s">
        <v>4</v>
      </c>
      <c r="L16" s="83" t="s">
        <v>539</v>
      </c>
      <c r="M16" s="83" t="s">
        <v>16</v>
      </c>
      <c r="N16" s="83" t="s">
        <v>123</v>
      </c>
      <c r="O16" s="83" t="s">
        <v>6</v>
      </c>
      <c r="P16" s="585" t="s">
        <v>17</v>
      </c>
      <c r="Q16" s="587"/>
      <c r="R16" s="588"/>
      <c r="S16" s="41"/>
    </row>
    <row r="17" spans="1:26" s="271" customFormat="1" ht="32.25" customHeight="1" x14ac:dyDescent="0.5">
      <c r="B17" s="444"/>
      <c r="C17" s="466"/>
      <c r="D17" s="508"/>
      <c r="E17" s="509"/>
      <c r="F17" s="468"/>
      <c r="G17" s="404"/>
      <c r="H17" s="577"/>
      <c r="I17" s="578"/>
      <c r="J17" s="401"/>
      <c r="K17" s="405"/>
      <c r="L17" s="451"/>
      <c r="M17" s="402"/>
      <c r="N17" s="403"/>
      <c r="O17" s="407" t="str">
        <f t="shared" ref="O17" si="0">IF(K17=0,"-",K17/M17)</f>
        <v>-</v>
      </c>
      <c r="P17" s="461"/>
      <c r="Q17" s="462"/>
      <c r="R17" s="463"/>
      <c r="S17" s="332"/>
      <c r="X17" s="354"/>
      <c r="Y17" s="354"/>
      <c r="Z17" s="354"/>
    </row>
    <row r="18" spans="1:26" s="165" customFormat="1" ht="32.25" customHeight="1" x14ac:dyDescent="0.5">
      <c r="B18" s="278"/>
      <c r="C18" s="416"/>
      <c r="D18" s="433"/>
      <c r="E18" s="191"/>
      <c r="F18" s="420"/>
      <c r="G18" s="193"/>
      <c r="H18" s="581"/>
      <c r="I18" s="582"/>
      <c r="J18" s="184"/>
      <c r="K18" s="177">
        <f t="shared" ref="K18:K31" si="1">IF(AND(H18=H17,J18-J17&lt;3000,J18-J17&gt;0),J18-J17,0)</f>
        <v>0</v>
      </c>
      <c r="L18" s="188"/>
      <c r="M18" s="194">
        <f t="shared" ref="M18:M47" si="2">IF(AND(H18=H17,L18-L17&lt;1.1,L18-L17&gt;0),L18-L17,0)</f>
        <v>0</v>
      </c>
      <c r="N18" s="227"/>
      <c r="O18" s="293" t="str">
        <f t="shared" ref="O18:O47" si="3">IF(K18=0,"-",K18/M18)</f>
        <v>-</v>
      </c>
      <c r="P18" s="666"/>
      <c r="Q18" s="667"/>
      <c r="R18" s="668"/>
      <c r="S18" s="75"/>
      <c r="X18" s="75"/>
      <c r="Y18" s="76"/>
      <c r="Z18" s="77"/>
    </row>
    <row r="19" spans="1:26" s="165" customFormat="1" ht="32.25" customHeight="1" x14ac:dyDescent="0.5">
      <c r="B19" s="400"/>
      <c r="C19" s="466"/>
      <c r="D19" s="508"/>
      <c r="E19" s="509"/>
      <c r="F19" s="468"/>
      <c r="G19" s="399"/>
      <c r="H19" s="577"/>
      <c r="I19" s="578"/>
      <c r="J19" s="401"/>
      <c r="K19" s="405">
        <f t="shared" si="1"/>
        <v>0</v>
      </c>
      <c r="L19" s="406"/>
      <c r="M19" s="402">
        <f t="shared" si="2"/>
        <v>0</v>
      </c>
      <c r="N19" s="409"/>
      <c r="O19" s="407" t="str">
        <f t="shared" si="3"/>
        <v>-</v>
      </c>
      <c r="P19" s="682"/>
      <c r="Q19" s="683"/>
      <c r="R19" s="684"/>
      <c r="S19" s="75"/>
      <c r="X19" s="75"/>
      <c r="Y19" s="76"/>
      <c r="Z19" s="77"/>
    </row>
    <row r="20" spans="1:26" s="165" customFormat="1" ht="32.25" customHeight="1" x14ac:dyDescent="0.5">
      <c r="B20" s="278"/>
      <c r="C20" s="416"/>
      <c r="D20" s="433"/>
      <c r="E20" s="191"/>
      <c r="F20" s="420"/>
      <c r="G20" s="193"/>
      <c r="H20" s="669"/>
      <c r="I20" s="670"/>
      <c r="J20" s="184"/>
      <c r="K20" s="177">
        <f t="shared" si="1"/>
        <v>0</v>
      </c>
      <c r="L20" s="188"/>
      <c r="M20" s="194">
        <f t="shared" si="2"/>
        <v>0</v>
      </c>
      <c r="N20" s="227"/>
      <c r="O20" s="432" t="str">
        <f t="shared" si="3"/>
        <v>-</v>
      </c>
      <c r="P20" s="682"/>
      <c r="Q20" s="683"/>
      <c r="R20" s="684"/>
      <c r="S20" s="75"/>
      <c r="X20" s="75"/>
      <c r="Y20" s="76"/>
      <c r="Z20" s="77"/>
    </row>
    <row r="21" spans="1:26" s="165" customFormat="1" ht="32.25" customHeight="1" x14ac:dyDescent="0.5">
      <c r="A21" s="271"/>
      <c r="B21" s="278"/>
      <c r="C21" s="416"/>
      <c r="D21" s="433"/>
      <c r="E21" s="191"/>
      <c r="F21" s="420"/>
      <c r="G21" s="193"/>
      <c r="H21" s="581"/>
      <c r="I21" s="582"/>
      <c r="J21" s="184"/>
      <c r="K21" s="177">
        <f t="shared" si="1"/>
        <v>0</v>
      </c>
      <c r="L21" s="187"/>
      <c r="M21" s="194">
        <f t="shared" si="2"/>
        <v>0</v>
      </c>
      <c r="N21" s="227"/>
      <c r="O21" s="432" t="str">
        <f t="shared" si="3"/>
        <v>-</v>
      </c>
      <c r="P21" s="682"/>
      <c r="Q21" s="683"/>
      <c r="R21" s="684"/>
      <c r="S21" s="75"/>
      <c r="X21" s="75"/>
      <c r="Y21" s="76"/>
      <c r="Z21" s="77"/>
    </row>
    <row r="22" spans="1:26" s="341" customFormat="1" ht="32.25" customHeight="1" x14ac:dyDescent="0.5">
      <c r="B22" s="278"/>
      <c r="C22" s="416"/>
      <c r="D22" s="433"/>
      <c r="E22" s="191"/>
      <c r="F22" s="420"/>
      <c r="G22" s="193"/>
      <c r="H22" s="581"/>
      <c r="I22" s="582"/>
      <c r="J22" s="184"/>
      <c r="K22" s="177">
        <f t="shared" si="1"/>
        <v>0</v>
      </c>
      <c r="L22" s="187"/>
      <c r="M22" s="194">
        <f t="shared" si="2"/>
        <v>0</v>
      </c>
      <c r="N22" s="227"/>
      <c r="O22" s="293" t="str">
        <f t="shared" si="3"/>
        <v>-</v>
      </c>
      <c r="P22" s="685"/>
      <c r="Q22" s="686"/>
      <c r="R22" s="687"/>
      <c r="S22" s="347"/>
      <c r="X22" s="347"/>
      <c r="Y22" s="348"/>
      <c r="Z22" s="349"/>
    </row>
    <row r="23" spans="1:26" s="271" customFormat="1" ht="32.25" customHeight="1" x14ac:dyDescent="0.5">
      <c r="B23" s="278"/>
      <c r="C23" s="416"/>
      <c r="D23" s="433"/>
      <c r="E23" s="191"/>
      <c r="F23" s="420"/>
      <c r="G23" s="193"/>
      <c r="H23" s="581"/>
      <c r="I23" s="582"/>
      <c r="J23" s="184"/>
      <c r="K23" s="177">
        <f t="shared" si="1"/>
        <v>0</v>
      </c>
      <c r="L23" s="187"/>
      <c r="M23" s="194">
        <f t="shared" si="2"/>
        <v>0</v>
      </c>
      <c r="N23" s="227"/>
      <c r="O23" s="293" t="str">
        <f t="shared" si="3"/>
        <v>-</v>
      </c>
      <c r="P23" s="685"/>
      <c r="Q23" s="686"/>
      <c r="R23" s="687"/>
      <c r="S23" s="332"/>
      <c r="X23" s="332"/>
      <c r="Y23" s="333"/>
      <c r="Z23" s="334"/>
    </row>
    <row r="24" spans="1:26" s="165" customFormat="1" ht="32.25" customHeight="1" x14ac:dyDescent="0.5">
      <c r="A24" s="271"/>
      <c r="B24" s="278"/>
      <c r="C24" s="416"/>
      <c r="D24" s="433"/>
      <c r="E24" s="191"/>
      <c r="F24" s="420"/>
      <c r="G24" s="477"/>
      <c r="H24" s="581"/>
      <c r="I24" s="582"/>
      <c r="J24" s="184"/>
      <c r="K24" s="177">
        <f t="shared" si="1"/>
        <v>0</v>
      </c>
      <c r="L24" s="187"/>
      <c r="M24" s="194">
        <f t="shared" si="2"/>
        <v>0</v>
      </c>
      <c r="N24" s="227"/>
      <c r="O24" s="293" t="str">
        <f t="shared" si="3"/>
        <v>-</v>
      </c>
      <c r="P24" s="685"/>
      <c r="Q24" s="686"/>
      <c r="R24" s="687"/>
      <c r="S24" s="75"/>
      <c r="X24" s="75"/>
      <c r="Y24" s="76"/>
      <c r="Z24" s="77"/>
    </row>
    <row r="25" spans="1:26" s="165" customFormat="1" ht="32.25" customHeight="1" x14ac:dyDescent="0.5">
      <c r="A25" s="271"/>
      <c r="B25" s="278"/>
      <c r="C25" s="416"/>
      <c r="D25" s="433"/>
      <c r="E25" s="191"/>
      <c r="F25" s="420"/>
      <c r="G25" s="477"/>
      <c r="H25" s="581"/>
      <c r="I25" s="582"/>
      <c r="J25" s="184"/>
      <c r="K25" s="177">
        <f t="shared" si="1"/>
        <v>0</v>
      </c>
      <c r="L25" s="187"/>
      <c r="M25" s="194">
        <f t="shared" si="2"/>
        <v>0</v>
      </c>
      <c r="N25" s="227"/>
      <c r="O25" s="293" t="str">
        <f t="shared" si="3"/>
        <v>-</v>
      </c>
      <c r="P25" s="685"/>
      <c r="Q25" s="686"/>
      <c r="R25" s="687"/>
      <c r="S25" s="75"/>
      <c r="X25" s="75"/>
      <c r="Y25" s="76"/>
      <c r="Z25" s="77"/>
    </row>
    <row r="26" spans="1:26" s="165" customFormat="1" ht="32.25" customHeight="1" x14ac:dyDescent="0.5">
      <c r="B26" s="278"/>
      <c r="C26" s="416"/>
      <c r="D26" s="433" t="s">
        <v>709</v>
      </c>
      <c r="E26" s="191"/>
      <c r="F26" s="420"/>
      <c r="G26" s="501"/>
      <c r="H26" s="581"/>
      <c r="I26" s="582"/>
      <c r="J26" s="184"/>
      <c r="K26" s="177">
        <f t="shared" si="1"/>
        <v>0</v>
      </c>
      <c r="L26" s="187"/>
      <c r="M26" s="194">
        <f t="shared" si="2"/>
        <v>0</v>
      </c>
      <c r="N26" s="227"/>
      <c r="O26" s="293" t="str">
        <f t="shared" si="3"/>
        <v>-</v>
      </c>
      <c r="P26" s="685"/>
      <c r="Q26" s="686"/>
      <c r="R26" s="687"/>
      <c r="S26" s="75"/>
      <c r="X26" s="75"/>
      <c r="Y26" s="76"/>
      <c r="Z26" s="77"/>
    </row>
    <row r="27" spans="1:26" s="165" customFormat="1" ht="32.25" customHeight="1" x14ac:dyDescent="0.5">
      <c r="A27" s="271"/>
      <c r="B27" s="278"/>
      <c r="C27" s="416"/>
      <c r="D27" s="433"/>
      <c r="E27" s="191"/>
      <c r="F27" s="420"/>
      <c r="G27" s="477"/>
      <c r="H27" s="581"/>
      <c r="I27" s="582"/>
      <c r="J27" s="184"/>
      <c r="K27" s="177">
        <f t="shared" si="1"/>
        <v>0</v>
      </c>
      <c r="L27" s="187"/>
      <c r="M27" s="194">
        <f t="shared" si="2"/>
        <v>0</v>
      </c>
      <c r="N27" s="227"/>
      <c r="O27" s="293" t="str">
        <f t="shared" si="3"/>
        <v>-</v>
      </c>
      <c r="P27" s="685"/>
      <c r="Q27" s="686"/>
      <c r="R27" s="687"/>
      <c r="S27" s="75"/>
      <c r="X27" s="75"/>
      <c r="Y27" s="76"/>
      <c r="Z27" s="77"/>
    </row>
    <row r="28" spans="1:26" s="271" customFormat="1" ht="32.25" customHeight="1" x14ac:dyDescent="0.5">
      <c r="B28" s="278"/>
      <c r="C28" s="416"/>
      <c r="D28" s="433"/>
      <c r="E28" s="191"/>
      <c r="F28" s="420"/>
      <c r="G28" s="499"/>
      <c r="H28" s="581"/>
      <c r="I28" s="582"/>
      <c r="J28" s="184"/>
      <c r="K28" s="177">
        <f t="shared" si="1"/>
        <v>0</v>
      </c>
      <c r="L28" s="188"/>
      <c r="M28" s="194">
        <f t="shared" si="2"/>
        <v>0</v>
      </c>
      <c r="N28" s="227"/>
      <c r="O28" s="432" t="str">
        <f t="shared" si="3"/>
        <v>-</v>
      </c>
      <c r="P28" s="682"/>
      <c r="Q28" s="683"/>
      <c r="R28" s="684"/>
      <c r="S28" s="332"/>
      <c r="X28" s="332"/>
      <c r="Y28" s="333"/>
      <c r="Z28" s="334"/>
    </row>
    <row r="29" spans="1:26" s="165" customFormat="1" ht="32.25" customHeight="1" x14ac:dyDescent="0.5">
      <c r="A29" s="271"/>
      <c r="B29" s="278"/>
      <c r="C29" s="416"/>
      <c r="D29" s="433"/>
      <c r="E29" s="191"/>
      <c r="F29" s="420"/>
      <c r="G29" s="477"/>
      <c r="H29" s="581"/>
      <c r="I29" s="582"/>
      <c r="J29" s="184"/>
      <c r="K29" s="177">
        <f t="shared" si="1"/>
        <v>0</v>
      </c>
      <c r="L29" s="188"/>
      <c r="M29" s="194">
        <f t="shared" si="2"/>
        <v>0</v>
      </c>
      <c r="N29" s="227"/>
      <c r="O29" s="293" t="str">
        <f t="shared" si="3"/>
        <v>-</v>
      </c>
      <c r="P29" s="685"/>
      <c r="Q29" s="686"/>
      <c r="R29" s="687"/>
      <c r="S29" s="75"/>
      <c r="X29" s="75"/>
      <c r="Y29" s="76"/>
      <c r="Z29" s="77"/>
    </row>
    <row r="30" spans="1:26" s="165" customFormat="1" ht="32.25" customHeight="1" x14ac:dyDescent="0.5">
      <c r="A30" s="271"/>
      <c r="B30" s="278"/>
      <c r="C30" s="416"/>
      <c r="D30" s="433"/>
      <c r="E30" s="191"/>
      <c r="F30" s="420"/>
      <c r="G30" s="477"/>
      <c r="H30" s="581"/>
      <c r="I30" s="582"/>
      <c r="J30" s="184"/>
      <c r="K30" s="177">
        <f t="shared" si="1"/>
        <v>0</v>
      </c>
      <c r="L30" s="187"/>
      <c r="M30" s="194">
        <f t="shared" si="2"/>
        <v>0</v>
      </c>
      <c r="N30" s="227"/>
      <c r="O30" s="293" t="str">
        <f t="shared" si="3"/>
        <v>-</v>
      </c>
      <c r="P30" s="666"/>
      <c r="Q30" s="667"/>
      <c r="R30" s="668"/>
      <c r="S30" s="75"/>
      <c r="X30" s="75"/>
      <c r="Y30" s="76"/>
      <c r="Z30" s="77"/>
    </row>
    <row r="31" spans="1:26" ht="32.25" customHeight="1" x14ac:dyDescent="0.5">
      <c r="A31" s="271"/>
      <c r="B31" s="278"/>
      <c r="C31" s="416"/>
      <c r="D31" s="419"/>
      <c r="E31" s="434"/>
      <c r="F31" s="420"/>
      <c r="G31" s="477"/>
      <c r="H31" s="581"/>
      <c r="I31" s="582"/>
      <c r="J31" s="184"/>
      <c r="K31" s="177">
        <f t="shared" si="1"/>
        <v>0</v>
      </c>
      <c r="L31" s="187"/>
      <c r="M31" s="194">
        <f t="shared" si="2"/>
        <v>0</v>
      </c>
      <c r="N31" s="227"/>
      <c r="O31" s="293" t="str">
        <f t="shared" si="3"/>
        <v>-</v>
      </c>
      <c r="P31" s="666"/>
      <c r="Q31" s="667"/>
      <c r="R31" s="668"/>
      <c r="S31" s="9"/>
      <c r="X31" s="75"/>
      <c r="Y31" s="76"/>
      <c r="Z31" s="77"/>
    </row>
    <row r="32" spans="1:26" s="46" customFormat="1" ht="32.25" customHeight="1" x14ac:dyDescent="0.5">
      <c r="A32" s="341"/>
      <c r="B32" s="278"/>
      <c r="C32" s="416"/>
      <c r="D32" s="419"/>
      <c r="E32" s="434"/>
      <c r="F32" s="420"/>
      <c r="G32" s="476"/>
      <c r="H32" s="581"/>
      <c r="I32" s="582"/>
      <c r="J32" s="184"/>
      <c r="K32" s="177">
        <f t="shared" ref="K32:K46" si="4">IF(AND(H32=H31,J32-J31&lt;3000,J32-J31&gt;0),J32-J31,0)</f>
        <v>0</v>
      </c>
      <c r="L32" s="187"/>
      <c r="M32" s="194">
        <f t="shared" si="2"/>
        <v>0</v>
      </c>
      <c r="N32" s="227"/>
      <c r="O32" s="195" t="str">
        <f t="shared" si="3"/>
        <v>-</v>
      </c>
      <c r="P32" s="682"/>
      <c r="Q32" s="683"/>
      <c r="R32" s="684"/>
      <c r="S32" s="45"/>
      <c r="X32" s="75"/>
      <c r="Y32" s="76"/>
      <c r="Z32" s="77"/>
    </row>
    <row r="33" spans="1:26" ht="32.25" customHeight="1" x14ac:dyDescent="0.5">
      <c r="A33" s="271"/>
      <c r="B33" s="278"/>
      <c r="C33" s="416"/>
      <c r="D33" s="419"/>
      <c r="E33" s="434"/>
      <c r="F33" s="420"/>
      <c r="G33" s="464"/>
      <c r="H33" s="669"/>
      <c r="I33" s="670"/>
      <c r="J33" s="184"/>
      <c r="K33" s="177">
        <f t="shared" si="4"/>
        <v>0</v>
      </c>
      <c r="L33" s="187"/>
      <c r="M33" s="194">
        <f>IF(AND(H33=H32,L33-L32&lt;1.1,L33-L32&gt;0),L33-L32,0)</f>
        <v>0</v>
      </c>
      <c r="N33" s="227"/>
      <c r="O33" s="195" t="str">
        <f t="shared" si="3"/>
        <v>-</v>
      </c>
      <c r="P33" s="666"/>
      <c r="Q33" s="667"/>
      <c r="R33" s="668"/>
      <c r="S33" s="9"/>
      <c r="X33" s="75"/>
      <c r="Y33" s="76"/>
      <c r="Z33" s="77"/>
    </row>
    <row r="34" spans="1:26" s="310" customFormat="1" ht="32.25" customHeight="1" x14ac:dyDescent="0.5">
      <c r="B34" s="278"/>
      <c r="C34" s="416"/>
      <c r="D34" s="419"/>
      <c r="E34" s="434"/>
      <c r="F34" s="420"/>
      <c r="G34" s="476"/>
      <c r="H34" s="581"/>
      <c r="I34" s="582"/>
      <c r="J34" s="184"/>
      <c r="K34" s="177">
        <f t="shared" si="4"/>
        <v>0</v>
      </c>
      <c r="L34" s="187"/>
      <c r="M34" s="194">
        <f t="shared" si="2"/>
        <v>0</v>
      </c>
      <c r="N34" s="227"/>
      <c r="O34" s="195" t="str">
        <f t="shared" si="3"/>
        <v>-</v>
      </c>
      <c r="P34" s="682"/>
      <c r="Q34" s="683"/>
      <c r="R34" s="684"/>
      <c r="S34" s="309"/>
      <c r="X34" s="309"/>
      <c r="Y34" s="311"/>
      <c r="Z34" s="312"/>
    </row>
    <row r="35" spans="1:26" s="165" customFormat="1" ht="32.25" customHeight="1" x14ac:dyDescent="0.5">
      <c r="B35" s="322"/>
      <c r="C35" s="416"/>
      <c r="D35" s="419"/>
      <c r="E35" s="270"/>
      <c r="F35" s="498"/>
      <c r="G35" s="464"/>
      <c r="H35" s="669"/>
      <c r="I35" s="670"/>
      <c r="J35" s="184"/>
      <c r="K35" s="177">
        <f t="shared" si="4"/>
        <v>0</v>
      </c>
      <c r="L35" s="187"/>
      <c r="M35" s="194">
        <f t="shared" si="2"/>
        <v>0</v>
      </c>
      <c r="N35" s="185"/>
      <c r="O35" s="432" t="str">
        <f t="shared" si="3"/>
        <v>-</v>
      </c>
      <c r="P35" s="666"/>
      <c r="Q35" s="667"/>
      <c r="R35" s="668"/>
      <c r="S35" s="75"/>
      <c r="X35" s="75"/>
      <c r="Y35" s="76"/>
      <c r="Z35" s="77"/>
    </row>
    <row r="36" spans="1:26" s="310" customFormat="1" ht="32.25" customHeight="1" x14ac:dyDescent="0.5">
      <c r="B36" s="278"/>
      <c r="C36" s="416"/>
      <c r="D36" s="419"/>
      <c r="E36" s="191"/>
      <c r="F36" s="420"/>
      <c r="G36" s="476"/>
      <c r="H36" s="581"/>
      <c r="I36" s="582"/>
      <c r="J36" s="184"/>
      <c r="K36" s="177">
        <f t="shared" si="4"/>
        <v>0</v>
      </c>
      <c r="L36" s="187"/>
      <c r="M36" s="194">
        <f t="shared" si="2"/>
        <v>0</v>
      </c>
      <c r="N36" s="185"/>
      <c r="O36" s="293" t="str">
        <f t="shared" si="3"/>
        <v>-</v>
      </c>
      <c r="P36" s="688"/>
      <c r="Q36" s="683"/>
      <c r="R36" s="684"/>
      <c r="S36" s="309"/>
      <c r="X36" s="309"/>
      <c r="Y36" s="311"/>
      <c r="Z36" s="312"/>
    </row>
    <row r="37" spans="1:26" ht="32.25" customHeight="1" x14ac:dyDescent="0.5">
      <c r="A37" s="271"/>
      <c r="B37" s="278"/>
      <c r="C37" s="416"/>
      <c r="D37" s="421"/>
      <c r="E37" s="270"/>
      <c r="F37" s="420"/>
      <c r="G37" s="476"/>
      <c r="H37" s="581"/>
      <c r="I37" s="582"/>
      <c r="J37" s="184"/>
      <c r="K37" s="177">
        <f t="shared" si="4"/>
        <v>0</v>
      </c>
      <c r="L37" s="187"/>
      <c r="M37" s="194">
        <f t="shared" si="2"/>
        <v>0</v>
      </c>
      <c r="N37" s="185"/>
      <c r="O37" s="293" t="str">
        <f>IF(K37=0,"-",K37/M37)</f>
        <v>-</v>
      </c>
      <c r="P37" s="685"/>
      <c r="Q37" s="686"/>
      <c r="R37" s="687"/>
      <c r="S37" s="9"/>
      <c r="X37" s="75"/>
      <c r="Y37" s="76"/>
      <c r="Z37" s="77"/>
    </row>
    <row r="38" spans="1:26" ht="32.25" customHeight="1" x14ac:dyDescent="0.5">
      <c r="A38" s="271"/>
      <c r="B38" s="278"/>
      <c r="C38" s="416"/>
      <c r="D38" s="421"/>
      <c r="E38" s="270"/>
      <c r="F38" s="420"/>
      <c r="G38" s="476"/>
      <c r="H38" s="581"/>
      <c r="I38" s="582"/>
      <c r="J38" s="184"/>
      <c r="K38" s="177">
        <f t="shared" si="4"/>
        <v>0</v>
      </c>
      <c r="L38" s="187"/>
      <c r="M38" s="194">
        <f t="shared" si="2"/>
        <v>0</v>
      </c>
      <c r="N38" s="185"/>
      <c r="O38" s="293" t="str">
        <f t="shared" si="3"/>
        <v>-</v>
      </c>
      <c r="P38" s="685"/>
      <c r="Q38" s="686"/>
      <c r="R38" s="687"/>
      <c r="S38" s="9"/>
      <c r="X38" s="75"/>
      <c r="Y38" s="76"/>
      <c r="Z38" s="77"/>
    </row>
    <row r="39" spans="1:26" ht="32.25" customHeight="1" x14ac:dyDescent="0.5">
      <c r="A39" s="271"/>
      <c r="B39" s="278"/>
      <c r="C39" s="416"/>
      <c r="D39" s="421"/>
      <c r="E39" s="270"/>
      <c r="F39" s="420"/>
      <c r="G39" s="476"/>
      <c r="H39" s="581"/>
      <c r="I39" s="582"/>
      <c r="J39" s="184"/>
      <c r="K39" s="177">
        <f t="shared" ref="K39" si="5">IF(AND(H39=H38,J39-J38&lt;3000,J39-J38&gt;0),J39-J38,0)</f>
        <v>0</v>
      </c>
      <c r="L39" s="187"/>
      <c r="M39" s="194">
        <f t="shared" si="2"/>
        <v>0</v>
      </c>
      <c r="N39" s="185"/>
      <c r="O39" s="293" t="str">
        <f t="shared" si="3"/>
        <v>-</v>
      </c>
      <c r="P39" s="685"/>
      <c r="Q39" s="686"/>
      <c r="R39" s="687"/>
      <c r="S39" s="9"/>
      <c r="X39" s="75"/>
      <c r="Y39" s="76"/>
      <c r="Z39" s="77"/>
    </row>
    <row r="40" spans="1:26" ht="32.25" customHeight="1" x14ac:dyDescent="0.5">
      <c r="A40" s="271"/>
      <c r="B40" s="278"/>
      <c r="C40" s="416"/>
      <c r="D40" s="421"/>
      <c r="E40" s="270"/>
      <c r="F40" s="420"/>
      <c r="G40" s="441"/>
      <c r="H40" s="581"/>
      <c r="I40" s="582"/>
      <c r="J40" s="184"/>
      <c r="K40" s="177">
        <f t="shared" si="4"/>
        <v>0</v>
      </c>
      <c r="L40" s="187"/>
      <c r="M40" s="194">
        <f t="shared" si="2"/>
        <v>0</v>
      </c>
      <c r="N40" s="185"/>
      <c r="O40" s="432" t="str">
        <f t="shared" si="3"/>
        <v>-</v>
      </c>
      <c r="P40" s="682"/>
      <c r="Q40" s="683"/>
      <c r="R40" s="684"/>
      <c r="S40" s="9"/>
      <c r="X40" s="75"/>
      <c r="Y40" s="76"/>
      <c r="Z40" s="77"/>
    </row>
    <row r="41" spans="1:26" ht="32.25" customHeight="1" x14ac:dyDescent="0.5">
      <c r="A41" s="271"/>
      <c r="B41" s="278"/>
      <c r="C41" s="416"/>
      <c r="D41" s="421"/>
      <c r="E41" s="270"/>
      <c r="F41" s="420"/>
      <c r="G41" s="441"/>
      <c r="H41" s="581"/>
      <c r="I41" s="582"/>
      <c r="J41" s="184"/>
      <c r="K41" s="177">
        <f t="shared" si="4"/>
        <v>0</v>
      </c>
      <c r="L41" s="187"/>
      <c r="M41" s="194">
        <f t="shared" si="2"/>
        <v>0</v>
      </c>
      <c r="N41" s="185"/>
      <c r="O41" s="195" t="str">
        <f t="shared" si="3"/>
        <v>-</v>
      </c>
      <c r="P41" s="666"/>
      <c r="Q41" s="667"/>
      <c r="R41" s="668"/>
      <c r="S41" s="9"/>
      <c r="X41" s="75"/>
      <c r="Y41" s="76"/>
      <c r="Z41" s="77"/>
    </row>
    <row r="42" spans="1:26" ht="32.25" customHeight="1" x14ac:dyDescent="0.5">
      <c r="A42" s="271"/>
      <c r="B42" s="278"/>
      <c r="C42" s="416"/>
      <c r="D42" s="421"/>
      <c r="E42" s="270"/>
      <c r="F42" s="420"/>
      <c r="G42" s="441"/>
      <c r="H42" s="581"/>
      <c r="I42" s="582"/>
      <c r="J42" s="184"/>
      <c r="K42" s="177">
        <f t="shared" si="4"/>
        <v>0</v>
      </c>
      <c r="L42" s="187"/>
      <c r="M42" s="194">
        <f t="shared" si="2"/>
        <v>0</v>
      </c>
      <c r="N42" s="185"/>
      <c r="O42" s="293" t="str">
        <f t="shared" si="3"/>
        <v>-</v>
      </c>
      <c r="P42" s="440"/>
      <c r="Q42" s="438"/>
      <c r="R42" s="439"/>
      <c r="S42" s="9"/>
      <c r="X42" s="75"/>
      <c r="Y42" s="76"/>
      <c r="Z42" s="77"/>
    </row>
    <row r="43" spans="1:26" ht="32.25" customHeight="1" x14ac:dyDescent="0.5">
      <c r="A43" s="271"/>
      <c r="B43" s="465"/>
      <c r="C43" s="190"/>
      <c r="D43" s="280"/>
      <c r="E43" s="280"/>
      <c r="F43" s="144"/>
      <c r="G43" s="441"/>
      <c r="H43" s="634"/>
      <c r="I43" s="695"/>
      <c r="J43" s="184"/>
      <c r="K43" s="177">
        <f t="shared" si="4"/>
        <v>0</v>
      </c>
      <c r="L43" s="187"/>
      <c r="M43" s="194">
        <f t="shared" si="2"/>
        <v>0</v>
      </c>
      <c r="N43" s="185"/>
      <c r="O43" s="195" t="str">
        <f t="shared" si="3"/>
        <v>-</v>
      </c>
      <c r="P43" s="666"/>
      <c r="Q43" s="667"/>
      <c r="R43" s="668"/>
      <c r="S43" s="9"/>
      <c r="X43" s="75"/>
      <c r="Y43" s="76"/>
      <c r="Z43" s="77"/>
    </row>
    <row r="44" spans="1:26" ht="32.25" customHeight="1" x14ac:dyDescent="0.5">
      <c r="A44" s="271"/>
      <c r="B44" s="465"/>
      <c r="C44" s="190"/>
      <c r="D44" s="231"/>
      <c r="E44" s="231"/>
      <c r="F44" s="144"/>
      <c r="G44" s="441"/>
      <c r="H44" s="634"/>
      <c r="I44" s="695"/>
      <c r="J44" s="184"/>
      <c r="K44" s="177">
        <f t="shared" si="4"/>
        <v>0</v>
      </c>
      <c r="L44" s="187"/>
      <c r="M44" s="194">
        <f t="shared" si="2"/>
        <v>0</v>
      </c>
      <c r="N44" s="185"/>
      <c r="O44" s="195" t="str">
        <f t="shared" si="3"/>
        <v>-</v>
      </c>
      <c r="P44" s="666"/>
      <c r="Q44" s="667"/>
      <c r="R44" s="668"/>
      <c r="S44" s="9"/>
      <c r="X44" s="75"/>
      <c r="Y44" s="76"/>
      <c r="Z44" s="77"/>
    </row>
    <row r="45" spans="1:26" ht="32.25" customHeight="1" x14ac:dyDescent="0.5">
      <c r="A45" s="271"/>
      <c r="B45" s="465"/>
      <c r="C45" s="190"/>
      <c r="D45" s="231"/>
      <c r="E45" s="231"/>
      <c r="F45" s="144"/>
      <c r="G45" s="441"/>
      <c r="H45" s="634"/>
      <c r="I45" s="695"/>
      <c r="J45" s="184"/>
      <c r="K45" s="177">
        <f t="shared" si="4"/>
        <v>0</v>
      </c>
      <c r="L45" s="187"/>
      <c r="M45" s="194">
        <f t="shared" si="2"/>
        <v>0</v>
      </c>
      <c r="N45" s="185"/>
      <c r="O45" s="195" t="str">
        <f t="shared" si="3"/>
        <v>-</v>
      </c>
      <c r="P45" s="666"/>
      <c r="Q45" s="667"/>
      <c r="R45" s="668"/>
      <c r="S45" s="9"/>
      <c r="X45" s="75"/>
      <c r="Y45" s="76"/>
      <c r="Z45" s="77"/>
    </row>
    <row r="46" spans="1:26" ht="32.25" customHeight="1" x14ac:dyDescent="0.5">
      <c r="A46" s="271"/>
      <c r="B46" s="465"/>
      <c r="C46" s="279"/>
      <c r="D46" s="231"/>
      <c r="E46" s="231"/>
      <c r="F46" s="441"/>
      <c r="G46" s="441"/>
      <c r="H46" s="634"/>
      <c r="I46" s="695"/>
      <c r="J46" s="184"/>
      <c r="K46" s="177">
        <f t="shared" si="4"/>
        <v>0</v>
      </c>
      <c r="L46" s="187"/>
      <c r="M46" s="194">
        <f t="shared" si="2"/>
        <v>0</v>
      </c>
      <c r="N46" s="185"/>
      <c r="O46" s="195" t="str">
        <f t="shared" si="3"/>
        <v>-</v>
      </c>
      <c r="P46" s="666"/>
      <c r="Q46" s="667"/>
      <c r="R46" s="668"/>
      <c r="S46" s="9"/>
      <c r="X46" s="75"/>
      <c r="Y46" s="76"/>
      <c r="Z46" s="77"/>
    </row>
    <row r="47" spans="1:26" ht="32.25" customHeight="1" thickBot="1" x14ac:dyDescent="0.55000000000000004">
      <c r="B47" s="306"/>
      <c r="C47" s="307"/>
      <c r="D47" s="308"/>
      <c r="E47" s="308"/>
      <c r="F47" s="214"/>
      <c r="G47" s="214"/>
      <c r="H47" s="671"/>
      <c r="I47" s="672"/>
      <c r="J47" s="240"/>
      <c r="K47" s="363"/>
      <c r="L47" s="371"/>
      <c r="M47" s="365">
        <f t="shared" si="2"/>
        <v>0</v>
      </c>
      <c r="N47" s="235"/>
      <c r="O47" s="214" t="str">
        <f t="shared" si="3"/>
        <v>-</v>
      </c>
      <c r="P47" s="689"/>
      <c r="Q47" s="690"/>
      <c r="R47" s="691"/>
      <c r="S47" s="9"/>
      <c r="X47" s="75"/>
      <c r="Y47" s="76"/>
      <c r="Z47" s="77"/>
    </row>
    <row r="48" spans="1:26" ht="17.25" customHeight="1" thickBot="1" x14ac:dyDescent="0.25">
      <c r="H48" s="568"/>
      <c r="I48" s="568"/>
      <c r="X48" s="75"/>
      <c r="Y48" s="76"/>
      <c r="Z48" s="77"/>
    </row>
    <row r="49" spans="2:26" ht="30.4" customHeight="1" thickBot="1" x14ac:dyDescent="0.25">
      <c r="B49" s="692" t="s">
        <v>13</v>
      </c>
      <c r="C49" s="693"/>
      <c r="D49" s="258" t="s">
        <v>3</v>
      </c>
      <c r="E49" s="693" t="s">
        <v>15</v>
      </c>
      <c r="F49" s="693"/>
      <c r="G49" s="693" t="s">
        <v>7</v>
      </c>
      <c r="H49" s="693"/>
      <c r="I49" s="693"/>
      <c r="J49" s="258" t="s">
        <v>5</v>
      </c>
      <c r="K49" s="693" t="s">
        <v>6</v>
      </c>
      <c r="L49" s="694"/>
      <c r="M49" s="80"/>
      <c r="N49" s="80"/>
      <c r="P49" s="67" t="s">
        <v>15</v>
      </c>
      <c r="Q49" s="68" t="s">
        <v>16</v>
      </c>
      <c r="R49" s="69" t="s">
        <v>6</v>
      </c>
      <c r="S49" s="79"/>
      <c r="X49" s="75"/>
      <c r="Y49" s="76"/>
      <c r="Z49" s="77"/>
    </row>
    <row r="50" spans="2:26" ht="32.25" customHeight="1" x14ac:dyDescent="0.5">
      <c r="B50" s="564" t="s">
        <v>36</v>
      </c>
      <c r="C50" s="565"/>
      <c r="D50" s="256" t="s">
        <v>119</v>
      </c>
      <c r="E50" s="675">
        <f>SUMIFS('RP3 '!$K$17:$K$47,'RP3 '!$C$17:$C$47,'RP3 '!B50,'RP3 '!$F$17:$F$47,D50)</f>
        <v>0</v>
      </c>
      <c r="F50" s="675"/>
      <c r="G50" s="679">
        <f>SUMIFS('RP3 '!$D$81:$D$122,'RP3 '!$B$81:$B$122,'RP3 '!D50,'RP3 '!$C$81:$C$122,'RP3 '!B50)*E50</f>
        <v>0</v>
      </c>
      <c r="H50" s="680"/>
      <c r="I50" s="681"/>
      <c r="J50" s="257">
        <f>SUMIFS('RP3 '!$M$17:$M$47,'RP3 '!$C$17:$C$47,'RP3 '!B50,'RP3 '!$F$17:$F$47,D50)</f>
        <v>0</v>
      </c>
      <c r="K50" s="673" t="str">
        <f>IF(E50=0,"-",E50/J50)</f>
        <v>-</v>
      </c>
      <c r="L50" s="674"/>
      <c r="M50" s="10"/>
      <c r="N50" s="59" t="s">
        <v>124</v>
      </c>
      <c r="O50" s="64">
        <v>1</v>
      </c>
      <c r="P50" s="168">
        <f>SUMIFS('RP3 '!$K$17:$K$47,'RP3 '!$N$17:$N$47,O50)</f>
        <v>0</v>
      </c>
      <c r="Q50" s="174">
        <f>SUMIFS('RP3 '!$M$17:$M$47,'RP3 '!$N$17:$N$47,O50)</f>
        <v>0</v>
      </c>
      <c r="R50" s="169" t="e">
        <f>P50/Q50</f>
        <v>#DIV/0!</v>
      </c>
      <c r="S50" s="11"/>
      <c r="X50" s="75"/>
      <c r="Y50" s="76"/>
      <c r="Z50" s="77"/>
    </row>
    <row r="51" spans="2:26" ht="32.25" customHeight="1" x14ac:dyDescent="0.5">
      <c r="B51" s="561" t="s">
        <v>34</v>
      </c>
      <c r="C51" s="562"/>
      <c r="D51" s="256" t="s">
        <v>119</v>
      </c>
      <c r="E51" s="675">
        <f>SUMIFS('RP3 '!$K$17:$K$47,'RP3 '!$C$17:$C$47,'RP3 '!B51,'RP3 '!$F$17:$F$47,D51)</f>
        <v>0</v>
      </c>
      <c r="F51" s="675"/>
      <c r="G51" s="676">
        <f>SUMIFS('RP3 '!$D$81:$D$122,'RP3 '!$B$81:$B$122,'RP3 '!D51,'RP3 '!$C$81:$C$122,'RP3 '!B51)*E51</f>
        <v>0</v>
      </c>
      <c r="H51" s="677"/>
      <c r="I51" s="678"/>
      <c r="J51" s="257">
        <f>SUMIFS('RP3 '!$M$17:$M$47,'RP3 '!$C$17:$C$47,'RP3 '!B51,'RP3 '!$F$17:$F$47,D51)</f>
        <v>0</v>
      </c>
      <c r="K51" s="673" t="str">
        <f t="shared" ref="K51:K57" si="6">IF(E51=0,"-",E51/J51)</f>
        <v>-</v>
      </c>
      <c r="L51" s="674"/>
      <c r="M51" s="10"/>
      <c r="N51" s="60" t="s">
        <v>124</v>
      </c>
      <c r="O51" s="65">
        <v>2</v>
      </c>
      <c r="P51" s="170">
        <f>SUMIFS('RP3 '!$K$17:$K$47,'RP3 '!$N$17:$N$47,O51)</f>
        <v>0</v>
      </c>
      <c r="Q51" s="175">
        <f>SUMIFS('RP3 '!$M$17:$M$47,'RP3 '!$N$17:$N$47,O51)</f>
        <v>0</v>
      </c>
      <c r="R51" s="171" t="e">
        <f>P51/Q51</f>
        <v>#DIV/0!</v>
      </c>
      <c r="S51" s="11"/>
      <c r="X51" s="75"/>
      <c r="Y51" s="76"/>
      <c r="Z51" s="77"/>
    </row>
    <row r="52" spans="2:26" ht="32.25" customHeight="1" thickBot="1" x14ac:dyDescent="0.55000000000000004">
      <c r="B52" s="561"/>
      <c r="C52" s="562"/>
      <c r="D52" s="256"/>
      <c r="E52" s="675">
        <f>SUMIFS('RP3 '!$K$17:$K$47,'RP3 '!$C$17:$C$47,'RP3 '!B52,'RP3 '!$F$17:$F$47,D52)</f>
        <v>0</v>
      </c>
      <c r="F52" s="675"/>
      <c r="G52" s="676">
        <f>SUMIFS('RP3 '!$D$81:$D$122,'RP3 '!$B$81:$B$122,'RP3 '!D52,'RP3 '!$C$81:$C$122,'RP3 '!B52)*E52</f>
        <v>0</v>
      </c>
      <c r="H52" s="677"/>
      <c r="I52" s="678"/>
      <c r="J52" s="257">
        <f>SUMIFS('RP3 '!$M$17:$M$47,'RP3 '!$C$17:$C$47,'RP3 '!B52,'RP3 '!$F$17:$F$47,D52)</f>
        <v>0</v>
      </c>
      <c r="K52" s="673" t="str">
        <f t="shared" si="6"/>
        <v>-</v>
      </c>
      <c r="L52" s="674"/>
      <c r="M52" s="10"/>
      <c r="N52" s="61" t="s">
        <v>124</v>
      </c>
      <c r="O52" s="66">
        <v>3</v>
      </c>
      <c r="P52" s="172">
        <f>SUMIFS('RP3 '!$K$17:$K$47,'RP3 '!$N$17:$N$47,O52)</f>
        <v>0</v>
      </c>
      <c r="Q52" s="176">
        <f>SUMIFS('RP3 '!$M$17:$M$47,'RP3 '!$N$17:$N$47,O52)</f>
        <v>0</v>
      </c>
      <c r="R52" s="173" t="e">
        <f>P52/Q52</f>
        <v>#DIV/0!</v>
      </c>
      <c r="S52" s="11"/>
    </row>
    <row r="53" spans="2:26" ht="32.25" customHeight="1" x14ac:dyDescent="0.5">
      <c r="B53" s="561"/>
      <c r="C53" s="562"/>
      <c r="D53" s="256"/>
      <c r="E53" s="675">
        <f>SUMIFS('RP3 '!$K$17:$K$47,'RP3 '!$C$17:$C$47,'RP3 '!B53,'RP3 '!$F$17:$F$47,D53)</f>
        <v>0</v>
      </c>
      <c r="F53" s="675"/>
      <c r="G53" s="676">
        <f>SUMIFS('RP3 '!$D$81:$D$122,'RP3 '!$B$81:$B$122,'RP3 '!D53,'RP3 '!$C$81:$C$122,'RP3 '!B53)*E53</f>
        <v>0</v>
      </c>
      <c r="H53" s="677"/>
      <c r="I53" s="678"/>
      <c r="J53" s="257">
        <f>SUMIFS('RP3 '!$M$17:$M$47,'RP3 '!$C$17:$C$47,'RP3 '!B53,'RP3 '!$F$17:$F$47,D53)</f>
        <v>0</v>
      </c>
      <c r="K53" s="673" t="str">
        <f t="shared" si="6"/>
        <v>-</v>
      </c>
      <c r="L53" s="674"/>
      <c r="M53" s="10"/>
      <c r="N53" s="10"/>
      <c r="O53" s="605"/>
      <c r="P53" s="605"/>
      <c r="Q53" s="605"/>
      <c r="R53" s="605"/>
      <c r="S53" s="11"/>
    </row>
    <row r="54" spans="2:26" ht="32.25" customHeight="1" x14ac:dyDescent="0.5">
      <c r="B54" s="561"/>
      <c r="C54" s="562"/>
      <c r="D54" s="256"/>
      <c r="E54" s="675">
        <f>SUMIFS('RP3 '!$K$17:$K$47,'RP3 '!$C$17:$C$47,'RP3 '!B54,'RP3 '!$F$17:$F$47,D54)</f>
        <v>0</v>
      </c>
      <c r="F54" s="675"/>
      <c r="G54" s="676">
        <f>SUMIFS('RP3 '!$D$81:$D$122,'RP3 '!$B$81:$B$122,'RP3 '!D54,'RP3 '!$C$81:$C$122,'RP3 '!B54)*E54</f>
        <v>0</v>
      </c>
      <c r="H54" s="677"/>
      <c r="I54" s="678"/>
      <c r="J54" s="257">
        <f>SUMIFS('RP3 '!$M$17:$M$47,'RP3 '!$C$17:$C$47,'RP3 '!B54,'RP3 '!$F$17:$F$47,D54)</f>
        <v>0</v>
      </c>
      <c r="K54" s="673" t="str">
        <f t="shared" si="6"/>
        <v>-</v>
      </c>
      <c r="L54" s="674"/>
      <c r="M54" s="10"/>
      <c r="N54" s="10"/>
      <c r="O54" s="11"/>
      <c r="P54" s="11"/>
      <c r="Q54" s="11"/>
      <c r="R54" s="11"/>
      <c r="S54" s="11"/>
    </row>
    <row r="55" spans="2:26" ht="32.25" customHeight="1" x14ac:dyDescent="0.5">
      <c r="B55" s="561"/>
      <c r="C55" s="562"/>
      <c r="D55" s="256"/>
      <c r="E55" s="675">
        <f>SUMIFS('RP3 '!$K$17:$K$47,'RP3 '!$C$17:$C$47,'RP3 '!B55,'RP3 '!$F$17:$F$47,D55)</f>
        <v>0</v>
      </c>
      <c r="F55" s="675"/>
      <c r="G55" s="676">
        <f>SUMIFS('RP3 '!$D$81:$D$122,'RP3 '!$B$81:$B$122,'RP3 '!D55,'RP3 '!$C$81:$C$122,'RP3 '!B55)*E55</f>
        <v>0</v>
      </c>
      <c r="H55" s="677"/>
      <c r="I55" s="678"/>
      <c r="J55" s="257">
        <f>SUMIFS('RP3 '!$M$17:$M$47,'RP3 '!$C$17:$C$47,'RP3 '!B55,'RP3 '!$F$17:$F$47,D55)</f>
        <v>0</v>
      </c>
      <c r="K55" s="673" t="str">
        <f t="shared" si="6"/>
        <v>-</v>
      </c>
      <c r="L55" s="674"/>
      <c r="M55" s="10"/>
      <c r="N55" s="10"/>
      <c r="O55" s="11"/>
      <c r="P55" s="11"/>
      <c r="Q55" s="11"/>
      <c r="R55" s="11"/>
      <c r="S55" s="11"/>
    </row>
    <row r="56" spans="2:26" ht="32.25" customHeight="1" x14ac:dyDescent="0.5">
      <c r="B56" s="561"/>
      <c r="C56" s="562"/>
      <c r="D56" s="256"/>
      <c r="E56" s="675">
        <f>SUMIFS('RP3 '!$K$17:$K$47,'RP3 '!$C$17:$C$47,'RP3 '!B56,'RP3 '!$F$17:$F$47,D56)</f>
        <v>0</v>
      </c>
      <c r="F56" s="675"/>
      <c r="G56" s="676">
        <f>SUMIFS('RP3 '!$D$81:$D$122,'RP3 '!$B$81:$B$122,'RP3 '!D56,'RP3 '!$C$81:$C$122,'RP3 '!B56)*E56</f>
        <v>0</v>
      </c>
      <c r="H56" s="677"/>
      <c r="I56" s="678"/>
      <c r="J56" s="257">
        <f>SUMIFS('RP3 '!$M$17:$M$47,'RP3 '!$C$17:$C$47,'RP3 '!B56,'RP3 '!$F$17:$F$47,D56)</f>
        <v>0</v>
      </c>
      <c r="K56" s="673" t="str">
        <f t="shared" si="6"/>
        <v>-</v>
      </c>
      <c r="L56" s="674"/>
      <c r="M56" s="10"/>
      <c r="N56" s="10"/>
      <c r="O56" s="11"/>
      <c r="P56" s="11"/>
      <c r="Q56" s="11"/>
      <c r="R56" s="11"/>
      <c r="S56" s="11"/>
    </row>
    <row r="57" spans="2:26" ht="32.25" customHeight="1" thickBot="1" x14ac:dyDescent="0.55000000000000004">
      <c r="B57" s="624"/>
      <c r="C57" s="625"/>
      <c r="D57" s="256"/>
      <c r="E57" s="675">
        <f>SUMIFS('RP3 '!$K$17:$K$47,'RP3 '!$C$17:$C$47,'RP3 '!B57,'RP3 '!$F$17:$F$47,D57)</f>
        <v>0</v>
      </c>
      <c r="F57" s="675"/>
      <c r="G57" s="696">
        <f>SUMIFS('RP3 '!$D$81:$D$122,'RP3 '!$B$81:$B$122,'RP3 '!D57,'RP3 '!$C$81:$C$122,'RP3 '!B57)*E57</f>
        <v>0</v>
      </c>
      <c r="H57" s="697"/>
      <c r="I57" s="698"/>
      <c r="J57" s="257">
        <f>SUMIFS('RP3 '!$M$17:$M$47,'RP3 '!$C$17:$C$47,'RP3 '!B57,'RP3 '!$F$17:$F$47,D57)</f>
        <v>0</v>
      </c>
      <c r="K57" s="673" t="str">
        <f t="shared" si="6"/>
        <v>-</v>
      </c>
      <c r="L57" s="674"/>
      <c r="P57" s="9"/>
      <c r="Q57" s="9"/>
      <c r="R57" s="9"/>
      <c r="S57" s="11"/>
    </row>
    <row r="58" spans="2:26" ht="43.5" customHeight="1" thickBot="1" x14ac:dyDescent="0.25">
      <c r="B58" s="554" t="s">
        <v>753</v>
      </c>
      <c r="C58" s="555"/>
      <c r="D58" s="556"/>
      <c r="E58" s="553">
        <f>SUM(E50:F57)</f>
        <v>0</v>
      </c>
      <c r="F58" s="551"/>
      <c r="G58" s="549">
        <f>SUM(G50:I57)</f>
        <v>0</v>
      </c>
      <c r="H58" s="550"/>
      <c r="I58" s="551"/>
      <c r="J58" s="164">
        <f>SUM(J50:J57)</f>
        <v>0</v>
      </c>
      <c r="K58" s="549" t="e">
        <f>E58/J58</f>
        <v>#DIV/0!</v>
      </c>
      <c r="L58" s="552"/>
    </row>
    <row r="59" spans="2:26" ht="13.5" thickBot="1" x14ac:dyDescent="0.25"/>
    <row r="60" spans="2:26" ht="33.6" customHeight="1" thickBot="1" x14ac:dyDescent="0.25">
      <c r="B60" s="616"/>
      <c r="C60" s="617"/>
      <c r="D60" s="130" t="s">
        <v>3</v>
      </c>
      <c r="E60" s="618" t="s">
        <v>15</v>
      </c>
      <c r="F60" s="618"/>
      <c r="G60" s="618" t="s">
        <v>7</v>
      </c>
      <c r="H60" s="618"/>
      <c r="I60" s="618"/>
      <c r="J60" s="130" t="s">
        <v>5</v>
      </c>
      <c r="K60" s="618" t="s">
        <v>6</v>
      </c>
      <c r="L60" s="618"/>
    </row>
    <row r="61" spans="2:26" ht="32.25" customHeight="1" thickBot="1" x14ac:dyDescent="0.25">
      <c r="B61" s="612"/>
      <c r="C61" s="613"/>
      <c r="D61" s="155" t="s">
        <v>119</v>
      </c>
      <c r="E61" s="614">
        <f>SUMIFS('RP3 '!$E$50:$E$57,'RP3 '!$D$50:$D$57,D61)</f>
        <v>0</v>
      </c>
      <c r="F61" s="614"/>
      <c r="G61" s="615">
        <f>SUMIFS('RP3 '!$G$50:$G$57,'RP3 '!$D$50:$D$57,D61)</f>
        <v>0</v>
      </c>
      <c r="H61" s="615"/>
      <c r="I61" s="615"/>
      <c r="J61" s="156">
        <f>SUMIFS('RP3 '!$J$50:$J$57,'RP3 '!$D$50:$D$57,D61)</f>
        <v>0</v>
      </c>
      <c r="K61" s="615" t="str">
        <f>IF(E61=0,"-",E61/J61)</f>
        <v>-</v>
      </c>
      <c r="L61" s="615"/>
      <c r="M61" s="10"/>
      <c r="N61" s="10"/>
      <c r="O61" s="62"/>
      <c r="P61" s="63"/>
      <c r="Q61" s="63"/>
      <c r="R61" s="63"/>
      <c r="S61" s="11"/>
    </row>
    <row r="62" spans="2:26" ht="32.25" customHeight="1" thickBot="1" x14ac:dyDescent="0.25">
      <c r="B62" s="612"/>
      <c r="C62" s="613"/>
      <c r="D62" s="155" t="s">
        <v>118</v>
      </c>
      <c r="E62" s="614">
        <f>SUMIFS('RP3 '!$E$50:$E$57,'RP3 '!$D$50:$D$57,D62)</f>
        <v>0</v>
      </c>
      <c r="F62" s="614"/>
      <c r="G62" s="615">
        <f>SUMIFS('RP3 '!$G$50:$G$57,'RP3 '!$D$50:$D$57,D62)</f>
        <v>0</v>
      </c>
      <c r="H62" s="615"/>
      <c r="I62" s="615"/>
      <c r="J62" s="156">
        <f>SUMIFS('RP3 '!$J$50:$J$57,'RP3 '!$D$50:$D$57,D62)</f>
        <v>0</v>
      </c>
      <c r="K62" s="615" t="str">
        <f>IF(E62=0,"-",E62/J62)</f>
        <v>-</v>
      </c>
      <c r="L62" s="615"/>
      <c r="P62" s="9"/>
      <c r="Q62" s="9"/>
      <c r="R62" s="9"/>
      <c r="S62" s="11"/>
    </row>
    <row r="64" spans="2:26" x14ac:dyDescent="0.2">
      <c r="Q64" s="48"/>
      <c r="R64" s="49"/>
    </row>
    <row r="65" spans="2:18" x14ac:dyDescent="0.2">
      <c r="Q65" s="48"/>
      <c r="R65" s="49"/>
    </row>
    <row r="66" spans="2:18" x14ac:dyDescent="0.2">
      <c r="Q66" s="50"/>
      <c r="R66" s="49"/>
    </row>
    <row r="67" spans="2:18" x14ac:dyDescent="0.2">
      <c r="Q67" s="48"/>
      <c r="R67" s="49"/>
    </row>
    <row r="68" spans="2:18" x14ac:dyDescent="0.2">
      <c r="Q68" s="48"/>
      <c r="R68" s="49"/>
    </row>
    <row r="69" spans="2:18" x14ac:dyDescent="0.2">
      <c r="Q69" s="48"/>
      <c r="R69" s="49"/>
    </row>
    <row r="70" spans="2:18" x14ac:dyDescent="0.2">
      <c r="Q70" s="48"/>
      <c r="R70" s="51"/>
    </row>
    <row r="72" spans="2:18" ht="15.75" x14ac:dyDescent="0.2">
      <c r="D72" s="47"/>
      <c r="E72" s="47"/>
      <c r="F72" s="47"/>
      <c r="G72" s="47"/>
      <c r="H72" s="47"/>
      <c r="I72" s="47"/>
      <c r="J72" s="47"/>
      <c r="K72" s="47"/>
    </row>
    <row r="73" spans="2:18" ht="15.75" x14ac:dyDescent="0.2">
      <c r="D73" s="47"/>
      <c r="E73" s="47"/>
      <c r="F73" s="47"/>
      <c r="G73" s="47"/>
      <c r="H73" s="47"/>
      <c r="I73" s="47"/>
      <c r="J73" s="47"/>
      <c r="K73" s="47"/>
    </row>
    <row r="74" spans="2:18" ht="15.75" x14ac:dyDescent="0.2">
      <c r="D74" s="47"/>
      <c r="E74" s="47"/>
      <c r="F74" s="47"/>
      <c r="G74" s="47"/>
      <c r="H74" s="47"/>
      <c r="I74" s="47"/>
      <c r="J74" s="47"/>
      <c r="K74" s="47"/>
    </row>
    <row r="75" spans="2:18" ht="15.75" x14ac:dyDescent="0.2">
      <c r="D75" s="47"/>
      <c r="E75" s="47"/>
      <c r="F75" s="47"/>
      <c r="G75" s="47"/>
      <c r="H75" s="47"/>
      <c r="I75" s="47"/>
      <c r="J75" s="47"/>
      <c r="K75" s="47"/>
    </row>
    <row r="76" spans="2:18" ht="15.75" x14ac:dyDescent="0.2">
      <c r="D76" s="47"/>
      <c r="E76" s="47"/>
      <c r="F76" s="47"/>
      <c r="G76" s="47"/>
      <c r="H76" s="47"/>
      <c r="I76" s="47"/>
      <c r="J76" s="47"/>
      <c r="K76" s="47"/>
    </row>
    <row r="79" spans="2:18" ht="2.25" customHeight="1" x14ac:dyDescent="0.2"/>
    <row r="80" spans="2:18" x14ac:dyDescent="0.2">
      <c r="B80" s="54" t="s">
        <v>126</v>
      </c>
      <c r="C80" s="54" t="s">
        <v>13</v>
      </c>
      <c r="D80" s="54" t="s">
        <v>114</v>
      </c>
    </row>
    <row r="81" spans="2:4" ht="18" hidden="1" x14ac:dyDescent="0.2">
      <c r="B81" s="71" t="s">
        <v>116</v>
      </c>
      <c r="C81" s="52" t="s">
        <v>34</v>
      </c>
      <c r="D81" s="53">
        <v>0.62</v>
      </c>
    </row>
    <row r="82" spans="2:4" ht="18" hidden="1" x14ac:dyDescent="0.2">
      <c r="B82" s="71" t="s">
        <v>116</v>
      </c>
      <c r="C82" s="52" t="s">
        <v>35</v>
      </c>
      <c r="D82" s="53">
        <v>0.57999999999999996</v>
      </c>
    </row>
    <row r="83" spans="2:4" ht="18" hidden="1" x14ac:dyDescent="0.2">
      <c r="B83" s="71" t="s">
        <v>116</v>
      </c>
      <c r="C83" s="52" t="s">
        <v>26</v>
      </c>
      <c r="D83" s="53">
        <v>0.8</v>
      </c>
    </row>
    <row r="84" spans="2:4" ht="18" hidden="1" x14ac:dyDescent="0.2">
      <c r="B84" s="71" t="s">
        <v>116</v>
      </c>
      <c r="C84" s="52" t="s">
        <v>30</v>
      </c>
      <c r="D84" s="53">
        <v>0.79</v>
      </c>
    </row>
    <row r="85" spans="2:4" ht="18" hidden="1" x14ac:dyDescent="0.2">
      <c r="B85" s="71" t="s">
        <v>116</v>
      </c>
      <c r="C85" s="52" t="s">
        <v>33</v>
      </c>
      <c r="D85" s="53">
        <v>0.78</v>
      </c>
    </row>
    <row r="86" spans="2:4" ht="18" hidden="1" x14ac:dyDescent="0.2">
      <c r="B86" s="71" t="s">
        <v>116</v>
      </c>
      <c r="C86" s="52" t="s">
        <v>36</v>
      </c>
      <c r="D86" s="53">
        <v>0.55000000000000004</v>
      </c>
    </row>
    <row r="87" spans="2:4" ht="18" hidden="1" x14ac:dyDescent="0.2">
      <c r="B87" s="71" t="s">
        <v>116</v>
      </c>
      <c r="C87" s="52" t="s">
        <v>22</v>
      </c>
      <c r="D87" s="53">
        <v>0.82</v>
      </c>
    </row>
    <row r="88" spans="2:4" ht="18" hidden="1" x14ac:dyDescent="0.2">
      <c r="B88" s="71" t="s">
        <v>120</v>
      </c>
      <c r="C88" s="52" t="s">
        <v>109</v>
      </c>
      <c r="D88" s="53">
        <v>0.4</v>
      </c>
    </row>
    <row r="89" spans="2:4" ht="18" x14ac:dyDescent="0.2">
      <c r="B89" s="71" t="s">
        <v>118</v>
      </c>
      <c r="C89" s="381" t="s">
        <v>110</v>
      </c>
      <c r="D89" s="379">
        <v>0.85</v>
      </c>
    </row>
    <row r="90" spans="2:4" ht="18" x14ac:dyDescent="0.2">
      <c r="B90" s="71" t="s">
        <v>118</v>
      </c>
      <c r="C90" s="381" t="s">
        <v>543</v>
      </c>
      <c r="D90" s="379">
        <v>0.84</v>
      </c>
    </row>
    <row r="91" spans="2:4" ht="18" x14ac:dyDescent="0.2">
      <c r="B91" s="71" t="s">
        <v>118</v>
      </c>
      <c r="C91" s="381" t="s">
        <v>111</v>
      </c>
      <c r="D91" s="379">
        <v>0.85</v>
      </c>
    </row>
    <row r="92" spans="2:4" ht="18" x14ac:dyDescent="0.2">
      <c r="B92" s="71" t="s">
        <v>118</v>
      </c>
      <c r="C92" s="381" t="s">
        <v>789</v>
      </c>
      <c r="D92" s="379">
        <v>0.85</v>
      </c>
    </row>
    <row r="93" spans="2:4" ht="18" x14ac:dyDescent="0.2">
      <c r="B93" s="71" t="s">
        <v>118</v>
      </c>
      <c r="C93" s="381" t="s">
        <v>112</v>
      </c>
      <c r="D93" s="379">
        <v>0.85</v>
      </c>
    </row>
    <row r="94" spans="2:4" ht="18" x14ac:dyDescent="0.2">
      <c r="B94" s="71" t="s">
        <v>118</v>
      </c>
      <c r="C94" s="381" t="s">
        <v>113</v>
      </c>
      <c r="D94" s="379">
        <v>0.85</v>
      </c>
    </row>
    <row r="95" spans="2:4" ht="18" x14ac:dyDescent="0.2">
      <c r="B95" s="71" t="s">
        <v>118</v>
      </c>
      <c r="C95" s="381" t="s">
        <v>127</v>
      </c>
      <c r="D95" s="379">
        <v>0.83</v>
      </c>
    </row>
    <row r="96" spans="2:4" ht="18" x14ac:dyDescent="0.2">
      <c r="B96" s="71" t="s">
        <v>118</v>
      </c>
      <c r="C96" s="381" t="s">
        <v>129</v>
      </c>
      <c r="D96" s="379">
        <v>0.84</v>
      </c>
    </row>
    <row r="97" spans="2:4" ht="18" x14ac:dyDescent="0.2">
      <c r="B97" s="71" t="s">
        <v>118</v>
      </c>
      <c r="C97" s="381" t="s">
        <v>35</v>
      </c>
      <c r="D97" s="379">
        <v>0.74</v>
      </c>
    </row>
    <row r="98" spans="2:4" ht="18" x14ac:dyDescent="0.2">
      <c r="B98" s="71" t="s">
        <v>118</v>
      </c>
      <c r="C98" s="381" t="s">
        <v>34</v>
      </c>
      <c r="D98" s="379">
        <v>0.78</v>
      </c>
    </row>
    <row r="99" spans="2:4" ht="18" x14ac:dyDescent="0.2">
      <c r="B99" s="71" t="s">
        <v>118</v>
      </c>
      <c r="C99" s="381" t="s">
        <v>36</v>
      </c>
      <c r="D99" s="379">
        <v>0.71</v>
      </c>
    </row>
    <row r="100" spans="2:4" ht="18" x14ac:dyDescent="0.2">
      <c r="B100" s="72" t="s">
        <v>118</v>
      </c>
      <c r="C100" s="382" t="s">
        <v>544</v>
      </c>
      <c r="D100" s="380">
        <v>0.83</v>
      </c>
    </row>
    <row r="101" spans="2:4" ht="18" x14ac:dyDescent="0.2">
      <c r="B101" s="72" t="s">
        <v>118</v>
      </c>
      <c r="C101" s="382" t="s">
        <v>26</v>
      </c>
      <c r="D101" s="380">
        <v>0.76</v>
      </c>
    </row>
    <row r="102" spans="2:4" ht="18" x14ac:dyDescent="0.2">
      <c r="B102" s="72" t="s">
        <v>118</v>
      </c>
      <c r="C102" s="382" t="s">
        <v>30</v>
      </c>
      <c r="D102" s="380">
        <v>0.79</v>
      </c>
    </row>
    <row r="103" spans="2:4" ht="18" x14ac:dyDescent="0.2">
      <c r="B103" s="72" t="s">
        <v>118</v>
      </c>
      <c r="C103" s="382" t="s">
        <v>33</v>
      </c>
      <c r="D103" s="380">
        <v>0.8</v>
      </c>
    </row>
    <row r="104" spans="2:4" ht="18" hidden="1" x14ac:dyDescent="0.2">
      <c r="B104" s="72" t="s">
        <v>117</v>
      </c>
      <c r="C104" s="382" t="s">
        <v>34</v>
      </c>
      <c r="D104" s="380">
        <v>0.67</v>
      </c>
    </row>
    <row r="105" spans="2:4" ht="18" hidden="1" x14ac:dyDescent="0.2">
      <c r="B105" s="72" t="s">
        <v>117</v>
      </c>
      <c r="C105" s="382" t="s">
        <v>35</v>
      </c>
      <c r="D105" s="380">
        <v>0.56000000000000005</v>
      </c>
    </row>
    <row r="106" spans="2:4" ht="18" hidden="1" x14ac:dyDescent="0.2">
      <c r="B106" s="72" t="s">
        <v>117</v>
      </c>
      <c r="C106" s="382" t="s">
        <v>30</v>
      </c>
      <c r="D106" s="380">
        <v>0.71</v>
      </c>
    </row>
    <row r="107" spans="2:4" ht="18" hidden="1" x14ac:dyDescent="0.2">
      <c r="B107" s="72" t="s">
        <v>117</v>
      </c>
      <c r="C107" s="382" t="s">
        <v>33</v>
      </c>
      <c r="D107" s="380">
        <v>0.69</v>
      </c>
    </row>
    <row r="108" spans="2:4" ht="18" hidden="1" x14ac:dyDescent="0.2">
      <c r="B108" s="72" t="s">
        <v>117</v>
      </c>
      <c r="C108" s="382" t="s">
        <v>36</v>
      </c>
      <c r="D108" s="380">
        <v>0.34</v>
      </c>
    </row>
    <row r="109" spans="2:4" ht="18" x14ac:dyDescent="0.2">
      <c r="B109" s="72" t="s">
        <v>119</v>
      </c>
      <c r="C109" s="382" t="s">
        <v>34</v>
      </c>
      <c r="D109" s="379">
        <v>0.6</v>
      </c>
    </row>
    <row r="110" spans="2:4" ht="18" x14ac:dyDescent="0.2">
      <c r="B110" s="72" t="s">
        <v>119</v>
      </c>
      <c r="C110" s="382" t="s">
        <v>35</v>
      </c>
      <c r="D110" s="379">
        <v>0.56000000000000005</v>
      </c>
    </row>
    <row r="111" spans="2:4" ht="18" x14ac:dyDescent="0.2">
      <c r="B111" s="72" t="s">
        <v>119</v>
      </c>
      <c r="C111" s="382" t="s">
        <v>26</v>
      </c>
      <c r="D111" s="379">
        <v>0.64</v>
      </c>
    </row>
    <row r="112" spans="2:4" ht="18" x14ac:dyDescent="0.2">
      <c r="B112" s="72" t="s">
        <v>119</v>
      </c>
      <c r="C112" s="382" t="s">
        <v>30</v>
      </c>
      <c r="D112" s="379">
        <v>0.64</v>
      </c>
    </row>
    <row r="113" spans="2:4" ht="18" x14ac:dyDescent="0.2">
      <c r="B113" s="72" t="s">
        <v>119</v>
      </c>
      <c r="C113" s="382" t="s">
        <v>33</v>
      </c>
      <c r="D113" s="379">
        <v>0.64</v>
      </c>
    </row>
    <row r="114" spans="2:4" ht="18" x14ac:dyDescent="0.2">
      <c r="B114" s="72" t="s">
        <v>119</v>
      </c>
      <c r="C114" s="382" t="s">
        <v>36</v>
      </c>
      <c r="D114" s="379">
        <v>0.49</v>
      </c>
    </row>
    <row r="115" spans="2:4" ht="18" x14ac:dyDescent="0.2">
      <c r="B115" s="71" t="s">
        <v>545</v>
      </c>
      <c r="C115" s="381" t="s">
        <v>110</v>
      </c>
      <c r="D115" s="379">
        <v>0.85</v>
      </c>
    </row>
    <row r="116" spans="2:4" ht="18" x14ac:dyDescent="0.2">
      <c r="B116" s="71" t="s">
        <v>545</v>
      </c>
      <c r="C116" s="381" t="s">
        <v>543</v>
      </c>
      <c r="D116" s="379">
        <v>0.84</v>
      </c>
    </row>
    <row r="117" spans="2:4" ht="18" x14ac:dyDescent="0.2">
      <c r="B117" s="71" t="s">
        <v>545</v>
      </c>
      <c r="C117" s="381" t="s">
        <v>111</v>
      </c>
      <c r="D117" s="379">
        <v>0.85</v>
      </c>
    </row>
    <row r="118" spans="2:4" ht="18" x14ac:dyDescent="0.2">
      <c r="B118" s="71" t="s">
        <v>545</v>
      </c>
      <c r="C118" s="381" t="s">
        <v>789</v>
      </c>
      <c r="D118" s="379">
        <v>0.85</v>
      </c>
    </row>
    <row r="119" spans="2:4" ht="18" x14ac:dyDescent="0.2">
      <c r="B119" s="71" t="s">
        <v>545</v>
      </c>
      <c r="C119" s="381" t="s">
        <v>112</v>
      </c>
      <c r="D119" s="379">
        <v>0.85</v>
      </c>
    </row>
    <row r="120" spans="2:4" ht="18" x14ac:dyDescent="0.2">
      <c r="B120" s="71" t="s">
        <v>545</v>
      </c>
      <c r="C120" s="381" t="s">
        <v>113</v>
      </c>
      <c r="D120" s="379">
        <v>0.85</v>
      </c>
    </row>
    <row r="121" spans="2:4" ht="18" x14ac:dyDescent="0.2">
      <c r="B121" s="71" t="s">
        <v>545</v>
      </c>
      <c r="C121" s="381" t="s">
        <v>127</v>
      </c>
      <c r="D121" s="379">
        <v>0.83</v>
      </c>
    </row>
    <row r="122" spans="2:4" ht="18" x14ac:dyDescent="0.2">
      <c r="B122" s="71" t="s">
        <v>545</v>
      </c>
      <c r="C122" s="381" t="s">
        <v>129</v>
      </c>
      <c r="D122" s="379">
        <v>0.84</v>
      </c>
    </row>
  </sheetData>
  <protectedRanges>
    <protectedRange algorithmName="SHA-512" hashValue="biQhxEQ7rOj7Mf6ybFzq/RNqqehxJs5zXrykmK3LwzMYlTbnCuOqJpQeDAeL+sh7/psLbv5gTZFpPA4dZ93Rgg==" saltValue="ODTuF7o8gFfXPEtqDXm2qQ==" spinCount="100000" sqref="Q15 P18:R47 B49:D49 B43:B47 L21:L27 N18:N47 D43:I47 D31:E34 D35:D36 L30:L47 D37:E42 D18 D20:D30 G18:I42" name="Plage1" securityDescriptor="O:WDG:WDD:(A;;CC;;;S-1-5-21-3126896699-2736327119-1644971827-159763)"/>
    <protectedRange algorithmName="SHA-512" hashValue="s9LdTPjqGbj31z2Zju3NWo+jsyLNLyPUX7Fn1w4podnrEVEfe3CRx5MY2IXs9wRHmi9IE4FrAPJrtHdBCr0Rnw==" saltValue="a+7TRcwBR7jFbRwOH5MrHA==" spinCount="100000" sqref="Q15" name="Plage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C43:C47" name="Plage1_4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1" name="Plage1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2" name="Plage1_6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1:J27 J30:J47" name="Plage1_2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P17:R17" name="Plage1_1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B35:B42" name="Plage1_10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29" name="Plage1_9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9" name="Plage1_2_3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31:C34 C35:C42 C19:C30 F18:F42" name="Plage1_12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N17" name="Plage1_5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8 J20" name="Plage1_2_2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18 L20" name="Plage1_14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E35:E36 E18 E20:E30" name="Plage1_15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18:B30" name="Plage1_12_2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50:C57" name="Plage1_22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D50:D57" name="Plage1_24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B17" name="Plage1_7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28" name="Plage1_13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8" name="Plage1_2_5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L17" name="Plage1_1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7" name="Plage1_2_1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D17:E17 G17:I17 D19:E19" name="Plage1_8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F17 C17:C18" name="Plage1_12_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19" name="Plage1_16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9" name="Plage1_2_4" securityDescriptor="O:WDG:WDD:(A;;CC;;;S-1-5-21-3126896699-2736327119-1644971827-159763)"/>
  </protectedRanges>
  <mergeCells count="130">
    <mergeCell ref="H42:I42"/>
    <mergeCell ref="B62:C62"/>
    <mergeCell ref="E62:F62"/>
    <mergeCell ref="G62:I62"/>
    <mergeCell ref="K62:L62"/>
    <mergeCell ref="B60:C60"/>
    <mergeCell ref="E60:F60"/>
    <mergeCell ref="G60:I60"/>
    <mergeCell ref="K60:L60"/>
    <mergeCell ref="B61:C61"/>
    <mergeCell ref="E61:F61"/>
    <mergeCell ref="G61:I61"/>
    <mergeCell ref="K61:L61"/>
    <mergeCell ref="B56:C56"/>
    <mergeCell ref="E56:F56"/>
    <mergeCell ref="G56:I56"/>
    <mergeCell ref="K56:L56"/>
    <mergeCell ref="B57:C57"/>
    <mergeCell ref="E57:F57"/>
    <mergeCell ref="G57:I57"/>
    <mergeCell ref="K57:L57"/>
    <mergeCell ref="B52:C52"/>
    <mergeCell ref="E52:F52"/>
    <mergeCell ref="G52:I52"/>
    <mergeCell ref="E51:F51"/>
    <mergeCell ref="G51:I51"/>
    <mergeCell ref="K51:L51"/>
    <mergeCell ref="O53:R53"/>
    <mergeCell ref="B54:C54"/>
    <mergeCell ref="E54:F54"/>
    <mergeCell ref="G54:I54"/>
    <mergeCell ref="K54:L54"/>
    <mergeCell ref="B55:C55"/>
    <mergeCell ref="E55:F55"/>
    <mergeCell ref="G55:I55"/>
    <mergeCell ref="K55:L55"/>
    <mergeCell ref="P47:R47"/>
    <mergeCell ref="H48:I48"/>
    <mergeCell ref="B49:C49"/>
    <mergeCell ref="E49:F49"/>
    <mergeCell ref="G49:I49"/>
    <mergeCell ref="K49:L49"/>
    <mergeCell ref="H43:I43"/>
    <mergeCell ref="P43:R43"/>
    <mergeCell ref="H44:I44"/>
    <mergeCell ref="P44:R44"/>
    <mergeCell ref="H46:I46"/>
    <mergeCell ref="P46:R46"/>
    <mergeCell ref="H45:I45"/>
    <mergeCell ref="P45:R45"/>
    <mergeCell ref="P39:R39"/>
    <mergeCell ref="H40:I40"/>
    <mergeCell ref="P40:R40"/>
    <mergeCell ref="H41:I41"/>
    <mergeCell ref="P41:R41"/>
    <mergeCell ref="H36:I36"/>
    <mergeCell ref="P36:R36"/>
    <mergeCell ref="H37:I37"/>
    <mergeCell ref="P37:R37"/>
    <mergeCell ref="H38:I38"/>
    <mergeCell ref="P38:R38"/>
    <mergeCell ref="P33:R33"/>
    <mergeCell ref="H34:I34"/>
    <mergeCell ref="P34:R34"/>
    <mergeCell ref="H35:I35"/>
    <mergeCell ref="P35:R35"/>
    <mergeCell ref="H30:I30"/>
    <mergeCell ref="P30:R30"/>
    <mergeCell ref="H31:I31"/>
    <mergeCell ref="P31:R31"/>
    <mergeCell ref="H32:I32"/>
    <mergeCell ref="P32:R32"/>
    <mergeCell ref="H28:I28"/>
    <mergeCell ref="P28:R28"/>
    <mergeCell ref="H29:I29"/>
    <mergeCell ref="P29:R29"/>
    <mergeCell ref="H24:I24"/>
    <mergeCell ref="P24:R24"/>
    <mergeCell ref="H25:I25"/>
    <mergeCell ref="P25:R25"/>
    <mergeCell ref="H26:I26"/>
    <mergeCell ref="P26:R26"/>
    <mergeCell ref="K50:L50"/>
    <mergeCell ref="B51:C51"/>
    <mergeCell ref="M6:O6"/>
    <mergeCell ref="B13:R14"/>
    <mergeCell ref="Q15:R15"/>
    <mergeCell ref="H16:I16"/>
    <mergeCell ref="P16:R16"/>
    <mergeCell ref="H17:I17"/>
    <mergeCell ref="Q6:R6"/>
    <mergeCell ref="B8:C9"/>
    <mergeCell ref="E8:R8"/>
    <mergeCell ref="E9:R9"/>
    <mergeCell ref="B10:C10"/>
    <mergeCell ref="F10:Q10"/>
    <mergeCell ref="P21:R21"/>
    <mergeCell ref="H22:I22"/>
    <mergeCell ref="P22:R22"/>
    <mergeCell ref="H23:I23"/>
    <mergeCell ref="P23:R23"/>
    <mergeCell ref="H19:I19"/>
    <mergeCell ref="P19:R19"/>
    <mergeCell ref="H20:I20"/>
    <mergeCell ref="P20:R20"/>
    <mergeCell ref="P27:R27"/>
    <mergeCell ref="P18:R18"/>
    <mergeCell ref="H18:I18"/>
    <mergeCell ref="B58:D58"/>
    <mergeCell ref="E58:F58"/>
    <mergeCell ref="G58:I58"/>
    <mergeCell ref="K58:L58"/>
    <mergeCell ref="C2:D3"/>
    <mergeCell ref="C4:D5"/>
    <mergeCell ref="F6:G6"/>
    <mergeCell ref="I6:J6"/>
    <mergeCell ref="K6:L6"/>
    <mergeCell ref="H21:I21"/>
    <mergeCell ref="H27:I27"/>
    <mergeCell ref="H33:I33"/>
    <mergeCell ref="H39:I39"/>
    <mergeCell ref="H47:I47"/>
    <mergeCell ref="K52:L52"/>
    <mergeCell ref="B53:C53"/>
    <mergeCell ref="E53:F53"/>
    <mergeCell ref="G53:I53"/>
    <mergeCell ref="K53:L53"/>
    <mergeCell ref="B50:C50"/>
    <mergeCell ref="E50:F50"/>
    <mergeCell ref="G50:I50"/>
  </mergeCells>
  <dataValidations count="1">
    <dataValidation type="list" allowBlank="1" showInputMessage="1" showErrorMessage="1" sqref="B61:C62">
      <formula1>$A$2:$A$15</formula1>
    </dataValidation>
  </dataValidations>
  <printOptions horizontalCentered="1" verticalCentered="1"/>
  <pageMargins left="0" right="0.19685039370078741" top="0" bottom="0" header="0" footer="0"/>
  <pageSetup paperSize="9" scale="34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81" operator="equal" id="{C5678AE5-7C36-42B7-AA0B-9F344760FC49}">
            <xm:f>QUALITE!$A$18</xm:f>
            <x14:dxf>
              <font>
                <color rgb="FFFF0000"/>
              </font>
            </x14:dxf>
          </x14:cfRule>
          <x14:cfRule type="cellIs" priority="682" operator="equal" id="{A32DB3CD-AA58-474A-AA66-4DFECD420FBD}">
            <xm:f>QUALITE!$A$17</xm:f>
            <x14:dxf>
              <font>
                <color rgb="FF00B0F0"/>
              </font>
            </x14:dxf>
          </x14:cfRule>
          <x14:cfRule type="cellIs" priority="683" operator="equal" id="{B3B89AD1-DDD8-44F0-9F62-C7A0FB154341}">
            <xm:f>QUALITE!$A$16</xm:f>
            <x14:dxf>
              <font>
                <color theme="2" tint="-0.499984740745262"/>
              </font>
            </x14:dxf>
          </x14:cfRule>
          <x14:cfRule type="cellIs" priority="684" operator="equal" id="{5620A51E-0291-4888-B7CF-2DA2EAF908E0}">
            <xm:f>QUALITE!$A$15</xm:f>
            <x14:dxf>
              <font>
                <color theme="2" tint="-0.499984740745262"/>
              </font>
            </x14:dxf>
          </x14:cfRule>
          <x14:cfRule type="cellIs" priority="685" operator="equal" id="{E8895DA1-5406-4F89-AB2D-BBD57C9ECA73}">
            <xm:f>QUALITE!$A$14</xm:f>
            <x14:dxf>
              <font>
                <color rgb="FFFF0000"/>
              </font>
            </x14:dxf>
          </x14:cfRule>
          <x14:cfRule type="cellIs" priority="686" operator="equal" id="{30B2B1FE-60F4-4934-870A-76279695888A}">
            <xm:f>QUALITE!$A$13</xm:f>
            <x14:dxf>
              <font>
                <color rgb="FFFF0000"/>
              </font>
            </x14:dxf>
          </x14:cfRule>
          <x14:cfRule type="cellIs" priority="687" operator="equal" id="{543AD0B9-23BF-462E-96CB-A3E8DDDAC55C}">
            <xm:f>QUALITE!$A$12</xm:f>
            <x14:dxf>
              <font>
                <color rgb="FF00B050"/>
              </font>
            </x14:dxf>
          </x14:cfRule>
          <x14:cfRule type="cellIs" priority="688" operator="equal" id="{040A7BA0-CF3C-4390-9B73-5E1EB1BF3F12}">
            <xm:f>QUALITE!$A$11</xm:f>
            <x14:dxf>
              <font>
                <color rgb="FF0070C0"/>
              </font>
            </x14:dxf>
          </x14:cfRule>
          <x14:cfRule type="cellIs" priority="689" operator="equal" id="{EADF73EB-3496-4422-AFED-89A3D258BB66}">
            <xm:f>QUALITE!$A$10</xm:f>
            <x14:dxf>
              <font>
                <color rgb="FF00B0F0"/>
              </font>
            </x14:dxf>
          </x14:cfRule>
          <x14:cfRule type="cellIs" priority="690" operator="equal" id="{947D0477-25BC-4CCB-B680-8FFEBAE577E1}">
            <xm:f>QUALITE!$A$9</xm:f>
            <x14:dxf>
              <font>
                <color theme="2" tint="-0.499984740745262"/>
              </font>
            </x14:dxf>
          </x14:cfRule>
          <x14:cfRule type="cellIs" priority="691" operator="equal" id="{328292F3-6887-4779-BBE1-6811FE08FB87}">
            <xm:f>QUALITE!$A$8</xm:f>
            <x14:dxf>
              <font>
                <color rgb="FFC00000"/>
              </font>
            </x14:dxf>
          </x14:cfRule>
          <x14:cfRule type="cellIs" priority="692" operator="equal" id="{8768FB1F-8776-410F-8658-2485C33DC9F5}">
            <xm:f>QUALITE!$A$7</xm:f>
            <x14:dxf>
              <font>
                <color theme="1"/>
              </font>
            </x14:dxf>
          </x14:cfRule>
          <x14:cfRule type="cellIs" priority="693" operator="equal" id="{1A12417B-6DE4-43FC-A13C-E37A2A46AF3E}">
            <xm:f>QUALITE!$A$6</xm:f>
            <x14:dxf>
              <font>
                <color rgb="FF00B050"/>
              </font>
            </x14:dxf>
          </x14:cfRule>
          <x14:cfRule type="cellIs" priority="694" operator="equal" id="{22EE3CA9-33B9-433E-85B7-2EC9C6EF138F}">
            <xm:f>QUALITE!$A$5</xm:f>
            <x14:dxf>
              <font>
                <color rgb="FFFF0000"/>
              </font>
            </x14:dxf>
          </x14:cfRule>
          <x14:cfRule type="cellIs" priority="695" operator="equal" id="{E026E46A-4453-4695-82B1-E347860A1D83}">
            <xm:f>QUALITE!$A$4</xm:f>
            <x14:dxf>
              <font>
                <color rgb="FFFF0000"/>
              </font>
            </x14:dxf>
          </x14:cfRule>
          <x14:cfRule type="cellIs" priority="696" operator="equal" id="{F0D4B1F1-5B04-46B9-AD3B-767FC60060E6}">
            <xm:f>QUALITE!$A$3</xm:f>
            <x14:dxf>
              <font>
                <color rgb="FF0070C0"/>
              </font>
            </x14:dxf>
          </x14:cfRule>
          <x14:cfRule type="cellIs" priority="697" operator="equal" id="{68636A49-B4CF-4BAE-AB71-72A8E29CDBE7}">
            <xm:f>QUALITE!$A$2</xm:f>
            <x14:dxf>
              <font>
                <color rgb="FF00B0F0"/>
              </font>
            </x14:dxf>
          </x14:cfRule>
          <xm:sqref>C43:C47</xm:sqref>
        </x14:conditionalFormatting>
        <x14:conditionalFormatting xmlns:xm="http://schemas.microsoft.com/office/excel/2006/main">
          <x14:cfRule type="cellIs" priority="341" operator="equal" id="{9F14AC0D-5648-438A-8EE2-0887338F5E3E}">
            <xm:f>QUALITE!$A$18</xm:f>
            <x14:dxf>
              <font>
                <color rgb="FFFF0000"/>
              </font>
            </x14:dxf>
          </x14:cfRule>
          <x14:cfRule type="cellIs" priority="342" operator="equal" id="{420FE325-D640-485C-B0F8-4AA565586FB7}">
            <xm:f>QUALITE!$A$17</xm:f>
            <x14:dxf>
              <font>
                <color rgb="FF00B0F0"/>
              </font>
            </x14:dxf>
          </x14:cfRule>
          <x14:cfRule type="cellIs" priority="343" operator="equal" id="{43E079A0-982F-4453-9A93-090F3DE9A0C0}">
            <xm:f>QUALITE!$A$16</xm:f>
            <x14:dxf>
              <font>
                <color theme="2" tint="-0.749961851863155"/>
              </font>
            </x14:dxf>
          </x14:cfRule>
          <x14:cfRule type="cellIs" priority="344" operator="equal" id="{55523B44-F379-46E6-B248-3DFD4873C7CC}">
            <xm:f>QUALITE!$A$15</xm:f>
            <x14:dxf>
              <font>
                <color theme="2" tint="-0.499984740745262"/>
              </font>
            </x14:dxf>
          </x14:cfRule>
          <x14:cfRule type="cellIs" priority="345" operator="equal" id="{D1CDA439-21F6-4D04-9F54-1B3A7A4B82BF}">
            <xm:f>QUALITE!$A$14</xm:f>
            <x14:dxf>
              <font>
                <color rgb="FFFF0000"/>
              </font>
            </x14:dxf>
          </x14:cfRule>
          <x14:cfRule type="cellIs" priority="346" operator="equal" id="{24B36EBB-8AE0-4B95-B6DC-C12308F9FDBD}">
            <xm:f>QUALITE!$A$13</xm:f>
            <x14:dxf>
              <font>
                <color rgb="FFFF0000"/>
              </font>
            </x14:dxf>
          </x14:cfRule>
          <x14:cfRule type="cellIs" priority="347" operator="equal" id="{A4FFEA8D-694B-4036-9E1A-1AE350F44D38}">
            <xm:f>QUALITE!$A$12</xm:f>
            <x14:dxf>
              <font>
                <color rgb="FF00B050"/>
              </font>
            </x14:dxf>
          </x14:cfRule>
          <x14:cfRule type="cellIs" priority="348" operator="equal" id="{76EB3FD9-8BD6-46CC-9C66-B3CFFD175A92}">
            <xm:f>QUALITE!$A$11</xm:f>
            <x14:dxf>
              <font>
                <color rgb="FF0070C0"/>
              </font>
            </x14:dxf>
          </x14:cfRule>
          <x14:cfRule type="cellIs" priority="349" operator="equal" id="{810025F4-14F8-4D61-BFD1-E63767E3BA7A}">
            <xm:f>QUALITE!$A$10</xm:f>
            <x14:dxf>
              <font>
                <color rgb="FF00B0F0"/>
              </font>
            </x14:dxf>
          </x14:cfRule>
          <x14:cfRule type="cellIs" priority="350" operator="equal" id="{3E04710C-CA2C-4552-AEA5-87CCC677AC09}">
            <xm:f>QUALITE!$A$9</xm:f>
            <x14:dxf>
              <font>
                <color theme="2" tint="-0.499984740745262"/>
              </font>
            </x14:dxf>
          </x14:cfRule>
          <x14:cfRule type="cellIs" priority="351" operator="equal" id="{7E77D43A-E2E5-4E91-ABE0-4ABD25FE1314}">
            <xm:f>QUALITE!$A$8</xm:f>
            <x14:dxf>
              <font>
                <color rgb="FFC00000"/>
              </font>
            </x14:dxf>
          </x14:cfRule>
          <x14:cfRule type="cellIs" priority="352" operator="equal" id="{D4BA0DB6-ED36-48B2-BA26-55D12D378AC5}">
            <xm:f>QUALITE!$A$7</xm:f>
            <x14:dxf>
              <font>
                <color theme="2" tint="-0.499984740745262"/>
              </font>
            </x14:dxf>
          </x14:cfRule>
          <x14:cfRule type="cellIs" priority="353" operator="equal" id="{7808E708-37AD-46C9-9E05-AE3C8604D2AE}">
            <xm:f>QUALITE!$A$6</xm:f>
            <x14:dxf>
              <font>
                <color rgb="FF00B050"/>
              </font>
            </x14:dxf>
          </x14:cfRule>
          <x14:cfRule type="cellIs" priority="354" operator="equal" id="{EF38F967-6C14-413B-A4DA-1EBD08A605FF}">
            <xm:f>QUALITE!$A$5</xm:f>
            <x14:dxf>
              <font>
                <color rgb="FFFF0000"/>
              </font>
            </x14:dxf>
          </x14:cfRule>
          <x14:cfRule type="cellIs" priority="355" operator="equal" id="{AF6CFF42-55A4-4F85-870B-3752EBDE36B7}">
            <xm:f>QUALITE!$A$4</xm:f>
            <x14:dxf>
              <font>
                <color rgb="FFFF0000"/>
              </font>
            </x14:dxf>
          </x14:cfRule>
          <x14:cfRule type="cellIs" priority="356" operator="equal" id="{6334BD15-64EB-4A6E-836B-0B96DFE76471}">
            <xm:f>QUALITE!$A$3</xm:f>
            <x14:dxf>
              <font>
                <color rgb="FF0070C0"/>
              </font>
            </x14:dxf>
          </x14:cfRule>
          <x14:cfRule type="cellIs" priority="357" operator="equal" id="{771EAC51-3B4F-43D5-875F-936FA1B9E8DF}">
            <xm:f>QUALITE!$A$2</xm:f>
            <x14:dxf>
              <font>
                <color rgb="FF00B0F0"/>
              </font>
            </x14:dxf>
          </x14:cfRule>
          <xm:sqref>C42 C19:C34</xm:sqref>
        </x14:conditionalFormatting>
        <x14:conditionalFormatting xmlns:xm="http://schemas.microsoft.com/office/excel/2006/main">
          <x14:cfRule type="cellIs" priority="120" operator="equal" id="{AA1B278D-FAE9-4168-87F7-C5051206298F}">
            <xm:f>QUALITE!$A$18</xm:f>
            <x14:dxf>
              <font>
                <color rgb="FFFF0000"/>
              </font>
            </x14:dxf>
          </x14:cfRule>
          <x14:cfRule type="cellIs" priority="121" operator="equal" id="{9B326DD0-F8CE-461B-9300-ECE69D8172B1}">
            <xm:f>QUALITE!$A$17</xm:f>
            <x14:dxf>
              <font>
                <color rgb="FF00B0F0"/>
              </font>
            </x14:dxf>
          </x14:cfRule>
          <x14:cfRule type="cellIs" priority="122" operator="equal" id="{155EB94A-3395-408C-BCB0-3A71740E1FA1}">
            <xm:f>QUALITE!$A$16</xm:f>
            <x14:dxf>
              <font>
                <color theme="2" tint="-0.499984740745262"/>
              </font>
            </x14:dxf>
          </x14:cfRule>
          <x14:cfRule type="cellIs" priority="123" operator="equal" id="{94A98A21-C6D6-4553-8D9F-2BCDD221668D}">
            <xm:f>QUALITE!$A$15</xm:f>
            <x14:dxf>
              <font>
                <color theme="2" tint="-0.499984740745262"/>
              </font>
            </x14:dxf>
          </x14:cfRule>
          <x14:cfRule type="cellIs" priority="124" operator="equal" id="{68B954D3-8B62-4B28-9B7D-9B434FA9DF20}">
            <xm:f>QUALITE!$A$14</xm:f>
            <x14:dxf>
              <font>
                <color rgb="FFFF0000"/>
              </font>
            </x14:dxf>
          </x14:cfRule>
          <x14:cfRule type="cellIs" priority="125" operator="equal" id="{2312699F-63A4-41AA-974A-AD0EAA6C5BC6}">
            <xm:f>QUALITE!$A$13</xm:f>
            <x14:dxf>
              <font>
                <color rgb="FFFF0000"/>
              </font>
            </x14:dxf>
          </x14:cfRule>
          <x14:cfRule type="cellIs" priority="126" operator="equal" id="{A3132901-0222-4306-959B-B878627E2619}">
            <xm:f>QUALITE!$A$12</xm:f>
            <x14:dxf>
              <font>
                <color rgb="FF00B050"/>
              </font>
            </x14:dxf>
          </x14:cfRule>
          <x14:cfRule type="cellIs" priority="127" operator="equal" id="{112251B2-E9A5-4249-ACB6-69E875CE5891}">
            <xm:f>QUALITE!$A$11</xm:f>
            <x14:dxf>
              <font>
                <color rgb="FF0070C0"/>
              </font>
            </x14:dxf>
          </x14:cfRule>
          <x14:cfRule type="cellIs" priority="128" operator="equal" id="{0D147015-F1C1-4D28-9FFE-A13C605DD97C}">
            <xm:f>QUALITE!$A$10</xm:f>
            <x14:dxf>
              <font>
                <color rgb="FF00B0F0"/>
              </font>
            </x14:dxf>
          </x14:cfRule>
          <x14:cfRule type="cellIs" priority="129" operator="equal" id="{038DBDC2-70A2-4B1C-ACC3-89075E0A65A1}">
            <xm:f>QUALITE!$A$9</xm:f>
            <x14:dxf>
              <font>
                <color theme="2" tint="-0.499984740745262"/>
              </font>
            </x14:dxf>
          </x14:cfRule>
          <x14:cfRule type="cellIs" priority="130" operator="equal" id="{7A884ABA-B090-4EDD-9C30-45B40CED3216}">
            <xm:f>QUALITE!$A$8</xm:f>
            <x14:dxf>
              <font>
                <color rgb="FFC00000"/>
              </font>
            </x14:dxf>
          </x14:cfRule>
          <x14:cfRule type="cellIs" priority="131" operator="equal" id="{45237DE6-AA0A-4EB1-8336-451E94E5D587}">
            <xm:f>QUALITE!$A$7</xm:f>
            <x14:dxf>
              <font>
                <color auto="1"/>
              </font>
            </x14:dxf>
          </x14:cfRule>
          <x14:cfRule type="cellIs" priority="132" operator="equal" id="{E3BAF33E-6980-4E9F-B656-3CE36582198B}">
            <xm:f>QUALITE!$A$6</xm:f>
            <x14:dxf>
              <font>
                <color rgb="FF00B050"/>
              </font>
            </x14:dxf>
          </x14:cfRule>
          <x14:cfRule type="cellIs" priority="133" operator="equal" id="{1DF15AE3-4C45-4C2E-BE6A-78049F6C1D67}">
            <xm:f>QUALITE!$A$5</xm:f>
            <x14:dxf>
              <font>
                <color rgb="FFFF0000"/>
              </font>
            </x14:dxf>
          </x14:cfRule>
          <x14:cfRule type="cellIs" priority="134" operator="equal" id="{2F473CCE-B581-4B97-BF92-7EB4C72F58CC}">
            <xm:f>QUALITE!$A$4</xm:f>
            <x14:dxf>
              <font>
                <color rgb="FFFF0000"/>
              </font>
            </x14:dxf>
          </x14:cfRule>
          <x14:cfRule type="cellIs" priority="135" operator="equal" id="{085F4168-ADD0-49F0-831C-C3B301B8CB6C}">
            <xm:f>QUALITE!$A$3</xm:f>
            <x14:dxf>
              <font>
                <color rgb="FF0070C0"/>
              </font>
            </x14:dxf>
          </x14:cfRule>
          <x14:cfRule type="cellIs" priority="136" operator="equal" id="{F8F519DC-BC0C-4154-B3F4-AFAB554DFE50}">
            <xm:f>QUALITE!$A$2</xm:f>
            <x14:dxf>
              <font>
                <color rgb="FF00B0F0"/>
              </font>
            </x14:dxf>
          </x14:cfRule>
          <xm:sqref>B50:B57</xm:sqref>
        </x14:conditionalFormatting>
        <x14:conditionalFormatting xmlns:xm="http://schemas.microsoft.com/office/excel/2006/main">
          <x14:cfRule type="cellIs" priority="18" operator="equal" id="{4FCD5D7C-8DE7-451A-92B7-5ED2141F6019}">
            <xm:f>QUALITE!$A$18</xm:f>
            <x14:dxf>
              <font>
                <color rgb="FFFF0000"/>
              </font>
            </x14:dxf>
          </x14:cfRule>
          <x14:cfRule type="cellIs" priority="19" operator="equal" id="{1E83E171-DDFC-4272-BF20-C6673F7E86AE}">
            <xm:f>QUALITE!$A$17</xm:f>
            <x14:dxf>
              <font>
                <color rgb="FF00B0F0"/>
              </font>
            </x14:dxf>
          </x14:cfRule>
          <x14:cfRule type="cellIs" priority="20" operator="equal" id="{6BE15DAE-B469-4FEB-B708-91478AEC243E}">
            <xm:f>QUALITE!$A$16</xm:f>
            <x14:dxf>
              <font>
                <color theme="2" tint="-0.749961851863155"/>
              </font>
            </x14:dxf>
          </x14:cfRule>
          <x14:cfRule type="cellIs" priority="21" operator="equal" id="{11C0F11D-A1A0-4B0E-8DFE-FB0A42458132}">
            <xm:f>QUALITE!$A$15</xm:f>
            <x14:dxf>
              <font>
                <color theme="2" tint="-0.499984740745262"/>
              </font>
            </x14:dxf>
          </x14:cfRule>
          <x14:cfRule type="cellIs" priority="22" operator="equal" id="{45D572B1-AA88-4546-8C9C-955C0FFA8BE8}">
            <xm:f>QUALITE!$A$14</xm:f>
            <x14:dxf>
              <font>
                <color rgb="FFFF0000"/>
              </font>
            </x14:dxf>
          </x14:cfRule>
          <x14:cfRule type="cellIs" priority="23" operator="equal" id="{CD4C9417-4222-45AA-9674-2EF3F1486322}">
            <xm:f>QUALITE!$A$13</xm:f>
            <x14:dxf>
              <font>
                <color rgb="FFFF0000"/>
              </font>
            </x14:dxf>
          </x14:cfRule>
          <x14:cfRule type="cellIs" priority="24" operator="equal" id="{15FA6006-E8A5-44A8-902A-E5B4D20C2EED}">
            <xm:f>QUALITE!$A$12</xm:f>
            <x14:dxf>
              <font>
                <color rgb="FF00B050"/>
              </font>
            </x14:dxf>
          </x14:cfRule>
          <x14:cfRule type="cellIs" priority="25" operator="equal" id="{BD679B09-65E3-43F6-88AE-2E0A6EC4FC3D}">
            <xm:f>QUALITE!$A$11</xm:f>
            <x14:dxf>
              <font>
                <color rgb="FF0070C0"/>
              </font>
            </x14:dxf>
          </x14:cfRule>
          <x14:cfRule type="cellIs" priority="26" operator="equal" id="{3CF39558-F5E2-4EDE-B315-3408BE8B49EE}">
            <xm:f>QUALITE!$A$10</xm:f>
            <x14:dxf>
              <font>
                <color rgb="FF00B0F0"/>
              </font>
            </x14:dxf>
          </x14:cfRule>
          <x14:cfRule type="cellIs" priority="27" operator="equal" id="{AE999E27-4D9A-450B-BBE0-AA48153E7E3D}">
            <xm:f>QUALITE!$A$9</xm:f>
            <x14:dxf>
              <font>
                <color theme="2" tint="-0.499984740745262"/>
              </font>
            </x14:dxf>
          </x14:cfRule>
          <x14:cfRule type="cellIs" priority="28" operator="equal" id="{BF689D81-3459-488E-A89F-29680A484B83}">
            <xm:f>QUALITE!$A$8</xm:f>
            <x14:dxf>
              <font>
                <color rgb="FFC00000"/>
              </font>
            </x14:dxf>
          </x14:cfRule>
          <x14:cfRule type="cellIs" priority="29" operator="equal" id="{49B52D3A-D689-4691-B9D5-612441C549FA}">
            <xm:f>QUALITE!$A$7</xm:f>
            <x14:dxf>
              <font>
                <color theme="2" tint="-0.499984740745262"/>
              </font>
            </x14:dxf>
          </x14:cfRule>
          <x14:cfRule type="cellIs" priority="30" operator="equal" id="{9BD55265-8837-4E59-B2FF-11C83F559151}">
            <xm:f>QUALITE!$A$6</xm:f>
            <x14:dxf>
              <font>
                <color rgb="FF00B050"/>
              </font>
            </x14:dxf>
          </x14:cfRule>
          <x14:cfRule type="cellIs" priority="31" operator="equal" id="{30403A7D-4E3D-4598-AB89-B8E3A189B314}">
            <xm:f>QUALITE!$A$5</xm:f>
            <x14:dxf>
              <font>
                <color rgb="FFFF0000"/>
              </font>
            </x14:dxf>
          </x14:cfRule>
          <x14:cfRule type="cellIs" priority="32" operator="equal" id="{E63B3689-4DD3-4E72-87F7-B7FCF13B7F52}">
            <xm:f>QUALITE!$A$4</xm:f>
            <x14:dxf>
              <font>
                <color rgb="FFFF0000"/>
              </font>
            </x14:dxf>
          </x14:cfRule>
          <x14:cfRule type="cellIs" priority="33" operator="equal" id="{3516D0FB-C1DE-4C3F-841D-A8C5AAEF94A9}">
            <xm:f>QUALITE!$A$3</xm:f>
            <x14:dxf>
              <font>
                <color rgb="FF0070C0"/>
              </font>
            </x14:dxf>
          </x14:cfRule>
          <x14:cfRule type="cellIs" priority="34" operator="equal" id="{935C6D17-9987-4E31-9674-07584C4BD8AF}">
            <xm:f>QUALITE!$A$2</xm:f>
            <x14:dxf>
              <font>
                <color rgb="FF00B0F0"/>
              </font>
            </x14:dxf>
          </x14:cfRule>
          <xm:sqref>C35:C41</xm:sqref>
        </x14:conditionalFormatting>
        <x14:conditionalFormatting xmlns:xm="http://schemas.microsoft.com/office/excel/2006/main">
          <x14:cfRule type="cellIs" priority="1" operator="equal" id="{C3B701B5-327D-49B8-8B90-7B105AD176B3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2" operator="equal" id="{DE728D58-130C-44B9-B66F-1D8934B24441}">
            <xm:f>'\Users\SDC.ParcWafi\AppData\Roaming\Microsoft\Windows\Network Shortcuts\[Copie de Rapport  journalier PW 21-04-2023.xlsm]QUALITE'!#REF!</xm:f>
            <x14:dxf>
              <font>
                <color rgb="FF00B0F0"/>
              </font>
            </x14:dxf>
          </x14:cfRule>
          <x14:cfRule type="cellIs" priority="3" operator="equal" id="{24C0F3B6-F691-4D43-96B1-B8AF92B9BB96}">
            <xm:f>'\Users\SDC.ParcWafi\AppData\Roaming\Microsoft\Windows\Network Shortcuts\[Copie de Rapport  journalier PW 21-04-2023.xlsm]QUALITE'!#REF!</xm:f>
            <x14:dxf>
              <font>
                <color theme="2" tint="-0.749961851863155"/>
              </font>
            </x14:dxf>
          </x14:cfRule>
          <x14:cfRule type="cellIs" priority="4" operator="equal" id="{43882FF4-4C14-4F84-AF41-FB84AF98F9D3}">
            <xm:f>'\Users\SDC.ParcWafi\AppData\Roaming\Microsoft\Windows\Network Shortcuts\[Copie de Rapport  journalier PW 21-04-2023.xlsm]QUALITE'!#REF!</xm:f>
            <x14:dxf>
              <font>
                <color theme="2" tint="-0.499984740745262"/>
              </font>
            </x14:dxf>
          </x14:cfRule>
          <x14:cfRule type="cellIs" priority="5" operator="equal" id="{F48807A2-3EE6-436B-ACBE-ABB4CE853C55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6" operator="equal" id="{2A5BD11D-E0ED-499B-B4BD-E161CD11BF1B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7" operator="equal" id="{BF66E09B-65BA-41BA-80D9-DA692F6605F7}">
            <xm:f>'\Users\SDC.ParcWafi\AppData\Roaming\Microsoft\Windows\Network Shortcuts\[Copie de Rapport  journalier PW 21-04-2023.xlsm]QUALITE'!#REF!</xm:f>
            <x14:dxf>
              <font>
                <color rgb="FF00B050"/>
              </font>
            </x14:dxf>
          </x14:cfRule>
          <x14:cfRule type="cellIs" priority="8" operator="equal" id="{A453DB6A-9547-4818-8CD0-280DAC80D126}">
            <xm:f>'\Users\SDC.ParcWafi\AppData\Roaming\Microsoft\Windows\Network Shortcuts\[Copie de Rapport  journalier PW 21-04-2023.xlsm]QUALITE'!#REF!</xm:f>
            <x14:dxf>
              <font>
                <color rgb="FF0070C0"/>
              </font>
            </x14:dxf>
          </x14:cfRule>
          <x14:cfRule type="cellIs" priority="9" operator="equal" id="{A2659A5F-B432-40B3-B179-908841828F89}">
            <xm:f>'\Users\SDC.ParcWafi\AppData\Roaming\Microsoft\Windows\Network Shortcuts\[Copie de Rapport  journalier PW 21-04-2023.xlsm]QUALITE'!#REF!</xm:f>
            <x14:dxf>
              <font>
                <color rgb="FF00B0F0"/>
              </font>
            </x14:dxf>
          </x14:cfRule>
          <x14:cfRule type="cellIs" priority="10" operator="equal" id="{7B36B708-48C6-4C0D-A480-69CD6005C909}">
            <xm:f>'\Users\SDC.ParcWafi\AppData\Roaming\Microsoft\Windows\Network Shortcuts\[Copie de Rapport  journalier PW 21-04-2023.xlsm]QUALITE'!#REF!</xm:f>
            <x14:dxf>
              <font>
                <color theme="2" tint="-0.499984740745262"/>
              </font>
            </x14:dxf>
          </x14:cfRule>
          <x14:cfRule type="cellIs" priority="11" operator="equal" id="{2D6A90C1-AB9F-4C2F-A7BE-02AECCB0DC07}">
            <xm:f>'\Users\SDC.ParcWafi\AppData\Roaming\Microsoft\Windows\Network Shortcuts\[Copie de Rapport  journalier PW 21-04-2023.xlsm]QUALITE'!#REF!</xm:f>
            <x14:dxf>
              <font>
                <color rgb="FFC00000"/>
              </font>
            </x14:dxf>
          </x14:cfRule>
          <x14:cfRule type="cellIs" priority="12" operator="equal" id="{325B17A1-7433-4774-AD0D-726B083D9168}">
            <xm:f>'\Users\SDC.ParcWafi\AppData\Roaming\Microsoft\Windows\Network Shortcuts\[Copie de Rapport  journalier PW 21-04-2023.xlsm]QUALITE'!#REF!</xm:f>
            <x14:dxf>
              <font>
                <color theme="2" tint="-0.499984740745262"/>
              </font>
            </x14:dxf>
          </x14:cfRule>
          <x14:cfRule type="cellIs" priority="13" operator="equal" id="{13E40DEB-1B4A-4EA0-8A3E-EDA892A5339D}">
            <xm:f>'\Users\SDC.ParcWafi\AppData\Roaming\Microsoft\Windows\Network Shortcuts\[Copie de Rapport  journalier PW 21-04-2023.xlsm]QUALITE'!#REF!</xm:f>
            <x14:dxf>
              <font>
                <color rgb="FF00B050"/>
              </font>
            </x14:dxf>
          </x14:cfRule>
          <x14:cfRule type="cellIs" priority="14" operator="equal" id="{7AF99E4F-1048-4AC8-AF6B-E8975B967EEE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15" operator="equal" id="{EBA1A4D1-2FFE-4D8A-B59A-BDA9B23F018D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16" operator="equal" id="{BF5C0F0F-244F-4362-8FAD-A03AEEC18816}">
            <xm:f>'\Users\SDC.ParcWafi\AppData\Roaming\Microsoft\Windows\Network Shortcuts\[Copie de Rapport  journalier PW 21-04-2023.xlsm]QUALITE'!#REF!</xm:f>
            <x14:dxf>
              <font>
                <color rgb="FF0070C0"/>
              </font>
            </x14:dxf>
          </x14:cfRule>
          <x14:cfRule type="cellIs" priority="17" operator="equal" id="{84E2E473-736F-440C-A4AC-800FCEA41E03}">
            <xm:f>'\Users\SDC.ParcWafi\AppData\Roaming\Microsoft\Windows\Network Shortcuts\[Copie de Rapport  journalier PW 21-04-2023.xlsm]QUALITE'!#REF!</xm:f>
            <x14:dxf>
              <font>
                <color rgb="FF00B0F0"/>
              </font>
            </x14:dxf>
          </x14:cfRule>
          <xm:sqref>C17:C18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QUALITE!$A$2:$A$17</xm:f>
          </x14:formula1>
          <xm:sqref>B50:C57</xm:sqref>
        </x14:dataValidation>
        <x14:dataValidation type="list" allowBlank="1" showInputMessage="1" showErrorMessage="1">
          <x14:formula1>
            <xm:f>destination!$A$2:$A$10</xm:f>
          </x14:formula1>
          <xm:sqref>D61:D62</xm:sqref>
        </x14:dataValidation>
        <x14:dataValidation type="list" allowBlank="1" showInputMessage="1" showErrorMessage="1">
          <x14:formula1>
            <xm:f>QUALITE!$A$2:$A$18</xm:f>
          </x14:formula1>
          <xm:sqref>C19:C47</xm:sqref>
        </x14:dataValidation>
        <x14:dataValidation type="list" allowBlank="1" showInputMessage="1" showErrorMessage="1">
          <x14:formula1>
            <xm:f>destination!$A$4:$A$6</xm:f>
          </x14:formula1>
          <xm:sqref>F43:F47</xm:sqref>
        </x14:dataValidation>
        <x14:dataValidation type="list" allowBlank="1" showInputMessage="1" showErrorMessage="1">
          <x14:formula1>
            <xm:f>Parametre!$F$3:$F$5</xm:f>
          </x14:formula1>
          <xm:sqref>H18:I47</xm:sqref>
        </x14:dataValidation>
        <x14:dataValidation type="list" allowBlank="1" showInputMessage="1" showErrorMessage="1">
          <x14:formula1>
            <xm:f>destination!$A$4:$A$5</xm:f>
          </x14:formula1>
          <xm:sqref>D50:D57 F18:F42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21-04-2023.xlsm]destination'!#REF!</xm:f>
          </x14:formula1>
          <xm:sqref>F17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21-04-2023.xlsm]Parametre'!#REF!</xm:f>
          </x14:formula1>
          <xm:sqref>H17:I17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21-04-2023.xlsm]QUALITE'!#REF!</xm:f>
          </x14:formula1>
          <xm:sqref>C17:C18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39997558519241921"/>
    <pageSetUpPr fitToPage="1"/>
  </sheetPr>
  <dimension ref="A1:AA119"/>
  <sheetViews>
    <sheetView showGridLines="0" topLeftCell="A9" zoomScale="70" zoomScaleNormal="70" zoomScaleSheetLayoutView="25" workbookViewId="0">
      <selection activeCell="N18" sqref="N18:N32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4.625" style="4" customWidth="1"/>
    <col min="5" max="6" width="23.625" style="4" customWidth="1"/>
    <col min="7" max="7" width="23.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>
      <c r="A1" s="100" t="e">
        <f>'RP5 '!B19:F21</f>
        <v>#VALUE!</v>
      </c>
    </row>
    <row r="2" spans="1:19" ht="34.5" customHeight="1" thickBot="1" x14ac:dyDescent="0.4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1"/>
      <c r="D3" s="571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2"/>
      <c r="D5" s="572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3" t="s">
        <v>12</v>
      </c>
      <c r="G6" s="574"/>
      <c r="H6" s="81" t="s">
        <v>60</v>
      </c>
      <c r="I6" s="574" t="s">
        <v>96</v>
      </c>
      <c r="J6" s="574"/>
      <c r="K6" s="574" t="s">
        <v>97</v>
      </c>
      <c r="L6" s="574"/>
      <c r="M6" s="574" t="s">
        <v>98</v>
      </c>
      <c r="N6" s="574"/>
      <c r="O6" s="574"/>
      <c r="P6" s="81"/>
      <c r="Q6" s="574"/>
      <c r="R6" s="574"/>
      <c r="S6" s="29"/>
    </row>
    <row r="7" spans="1:19" ht="18.75" customHeight="1" thickBot="1" x14ac:dyDescent="0.25"/>
    <row r="8" spans="1:19" ht="36" customHeight="1" thickBot="1" x14ac:dyDescent="0.25">
      <c r="A8" s="5"/>
      <c r="B8" s="589"/>
      <c r="C8" s="590"/>
      <c r="D8" s="38" t="s">
        <v>0</v>
      </c>
      <c r="E8" s="593" t="s">
        <v>802</v>
      </c>
      <c r="F8" s="593"/>
      <c r="G8" s="593"/>
      <c r="H8" s="593"/>
      <c r="I8" s="593"/>
      <c r="J8" s="593"/>
      <c r="K8" s="593"/>
      <c r="L8" s="593"/>
      <c r="M8" s="593"/>
      <c r="N8" s="593"/>
      <c r="O8" s="593"/>
      <c r="P8" s="593"/>
      <c r="Q8" s="593"/>
      <c r="R8" s="593"/>
    </row>
    <row r="9" spans="1:19" ht="38.25" customHeight="1" thickBot="1" x14ac:dyDescent="0.25">
      <c r="A9" s="5"/>
      <c r="B9" s="591"/>
      <c r="C9" s="592"/>
      <c r="D9" s="38" t="s">
        <v>8</v>
      </c>
      <c r="E9" s="594" t="s">
        <v>100</v>
      </c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</row>
    <row r="10" spans="1:19" ht="38.25" customHeight="1" thickBot="1" x14ac:dyDescent="0.25">
      <c r="A10" s="5"/>
      <c r="B10" s="595" t="s">
        <v>99</v>
      </c>
      <c r="C10" s="596"/>
      <c r="D10" s="38" t="s">
        <v>9</v>
      </c>
      <c r="E10" s="500">
        <v>5</v>
      </c>
      <c r="F10" s="594" t="s">
        <v>125</v>
      </c>
      <c r="G10" s="594"/>
      <c r="H10" s="594"/>
      <c r="I10" s="594"/>
      <c r="J10" s="594"/>
      <c r="K10" s="594"/>
      <c r="L10" s="594"/>
      <c r="M10" s="594"/>
      <c r="N10" s="594"/>
      <c r="O10" s="594"/>
      <c r="P10" s="594"/>
      <c r="Q10" s="594"/>
      <c r="R10" s="37" t="s">
        <v>806</v>
      </c>
    </row>
    <row r="11" spans="1:19" ht="26.25" customHeight="1" x14ac:dyDescent="0.45">
      <c r="A11" s="5"/>
      <c r="B11" s="32" t="s">
        <v>530</v>
      </c>
      <c r="C11" s="30"/>
      <c r="D11" s="31"/>
    </row>
    <row r="12" spans="1:19" ht="5.25" customHeight="1" x14ac:dyDescent="0.2"/>
    <row r="13" spans="1:19" ht="24" customHeight="1" x14ac:dyDescent="0.2">
      <c r="B13" s="583" t="s">
        <v>1</v>
      </c>
      <c r="C13" s="583"/>
      <c r="D13" s="583"/>
      <c r="E13" s="583"/>
      <c r="F13" s="583"/>
      <c r="G13" s="583"/>
      <c r="H13" s="583"/>
      <c r="I13" s="583"/>
      <c r="J13" s="583"/>
      <c r="K13" s="583"/>
      <c r="L13" s="583"/>
      <c r="M13" s="583"/>
      <c r="N13" s="583"/>
      <c r="O13" s="583"/>
      <c r="P13" s="583"/>
      <c r="Q13" s="583"/>
      <c r="R13" s="583"/>
    </row>
    <row r="14" spans="1:19" ht="21" customHeight="1" x14ac:dyDescent="0.2">
      <c r="A14" s="6"/>
      <c r="B14" s="583"/>
      <c r="C14" s="583"/>
      <c r="D14" s="583"/>
      <c r="E14" s="583"/>
      <c r="F14" s="583"/>
      <c r="G14" s="583"/>
      <c r="H14" s="583"/>
      <c r="I14" s="583"/>
      <c r="J14" s="583"/>
      <c r="K14" s="583"/>
      <c r="L14" s="583"/>
      <c r="M14" s="583"/>
      <c r="N14" s="583"/>
      <c r="O14" s="583"/>
      <c r="P14" s="583"/>
      <c r="Q14" s="583"/>
      <c r="R14" s="583"/>
    </row>
    <row r="15" spans="1:19" ht="33.75" customHeight="1" thickBot="1" x14ac:dyDescent="0.5">
      <c r="A15" s="7"/>
      <c r="B15" s="166" t="s">
        <v>527</v>
      </c>
      <c r="C15" s="39"/>
      <c r="E15" s="36"/>
      <c r="J15" s="34"/>
      <c r="K15" s="34"/>
      <c r="P15" s="70" t="s">
        <v>44</v>
      </c>
      <c r="Q15" s="584">
        <f>'RPT1'!Q15:R15</f>
        <v>45038</v>
      </c>
      <c r="R15" s="584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5" t="s">
        <v>533</v>
      </c>
      <c r="I16" s="586"/>
      <c r="J16" s="68" t="s">
        <v>540</v>
      </c>
      <c r="K16" s="83" t="s">
        <v>4</v>
      </c>
      <c r="L16" s="68" t="s">
        <v>539</v>
      </c>
      <c r="M16" s="83" t="s">
        <v>16</v>
      </c>
      <c r="N16" s="68" t="s">
        <v>123</v>
      </c>
      <c r="O16" s="83" t="s">
        <v>6</v>
      </c>
      <c r="P16" s="585" t="s">
        <v>17</v>
      </c>
      <c r="Q16" s="587"/>
      <c r="R16" s="588"/>
      <c r="S16" s="41"/>
    </row>
    <row r="17" spans="2:27" s="271" customFormat="1" ht="32.25" customHeight="1" x14ac:dyDescent="0.5">
      <c r="B17" s="400"/>
      <c r="C17" s="466"/>
      <c r="D17" s="450"/>
      <c r="E17" s="467"/>
      <c r="F17" s="468"/>
      <c r="G17" s="502"/>
      <c r="H17" s="704"/>
      <c r="I17" s="705"/>
      <c r="J17" s="401"/>
      <c r="K17" s="405"/>
      <c r="L17" s="451"/>
      <c r="M17" s="402"/>
      <c r="N17" s="403"/>
      <c r="O17" s="407"/>
      <c r="P17" s="461"/>
      <c r="Q17" s="462"/>
      <c r="R17" s="463"/>
      <c r="S17" s="332"/>
      <c r="X17" s="354"/>
      <c r="Y17" s="354"/>
      <c r="Z17" s="354"/>
    </row>
    <row r="18" spans="2:27" s="165" customFormat="1" ht="32.25" customHeight="1" x14ac:dyDescent="0.5">
      <c r="B18" s="189"/>
      <c r="C18" s="416"/>
      <c r="D18" s="228"/>
      <c r="E18" s="228"/>
      <c r="F18" s="143"/>
      <c r="G18" s="422"/>
      <c r="H18" s="702"/>
      <c r="I18" s="703"/>
      <c r="J18" s="184"/>
      <c r="K18" s="177">
        <f t="shared" ref="K18:K49" si="0">IF(AND(H18=H17,J18-J17&lt;3000,J18-J17&gt;0),J18-J17,0)</f>
        <v>0</v>
      </c>
      <c r="L18" s="188"/>
      <c r="M18" s="194">
        <f t="shared" ref="M18:M49" si="1">IF(AND(H18=H17,L18-L17&lt;1.1,L18-L17&gt;0),L18-L17,0)</f>
        <v>0</v>
      </c>
      <c r="N18" s="185"/>
      <c r="O18" s="195" t="str">
        <f t="shared" ref="O18:O21" si="2">IF(K18=0,"-",K18/M18)</f>
        <v>-</v>
      </c>
      <c r="P18" s="699"/>
      <c r="Q18" s="700"/>
      <c r="R18" s="701"/>
      <c r="S18" s="75"/>
      <c r="X18" s="75"/>
      <c r="Y18" s="76"/>
      <c r="Z18" s="77"/>
    </row>
    <row r="19" spans="2:27" s="271" customFormat="1" ht="32.25" customHeight="1" x14ac:dyDescent="0.5">
      <c r="B19" s="189"/>
      <c r="C19" s="416"/>
      <c r="D19" s="228"/>
      <c r="E19" s="228"/>
      <c r="F19" s="143"/>
      <c r="G19" s="422"/>
      <c r="H19" s="702"/>
      <c r="I19" s="703"/>
      <c r="J19" s="184"/>
      <c r="K19" s="177">
        <f t="shared" si="0"/>
        <v>0</v>
      </c>
      <c r="L19" s="188"/>
      <c r="M19" s="194">
        <f t="shared" si="1"/>
        <v>0</v>
      </c>
      <c r="N19" s="185"/>
      <c r="O19" s="195" t="str">
        <f t="shared" si="2"/>
        <v>-</v>
      </c>
      <c r="P19" s="699"/>
      <c r="Q19" s="700"/>
      <c r="R19" s="701"/>
      <c r="S19" s="332"/>
      <c r="X19" s="332"/>
      <c r="Y19" s="333"/>
      <c r="Z19" s="334"/>
    </row>
    <row r="20" spans="2:27" s="165" customFormat="1" ht="32.25" customHeight="1" x14ac:dyDescent="0.5">
      <c r="B20" s="189"/>
      <c r="C20" s="416"/>
      <c r="D20" s="228"/>
      <c r="E20" s="228"/>
      <c r="F20" s="143"/>
      <c r="G20" s="422"/>
      <c r="H20" s="702"/>
      <c r="I20" s="703"/>
      <c r="J20" s="184"/>
      <c r="K20" s="177">
        <f t="shared" si="0"/>
        <v>0</v>
      </c>
      <c r="L20" s="188"/>
      <c r="M20" s="194">
        <f t="shared" si="1"/>
        <v>0</v>
      </c>
      <c r="N20" s="185"/>
      <c r="O20" s="195" t="str">
        <f t="shared" si="2"/>
        <v>-</v>
      </c>
      <c r="P20" s="699"/>
      <c r="Q20" s="700"/>
      <c r="R20" s="701"/>
      <c r="S20" s="75"/>
      <c r="X20" s="75"/>
      <c r="Y20" s="76"/>
      <c r="Z20" s="77"/>
    </row>
    <row r="21" spans="2:27" s="165" customFormat="1" ht="32.25" customHeight="1" x14ac:dyDescent="0.5">
      <c r="B21" s="189"/>
      <c r="C21" s="416"/>
      <c r="D21" s="228"/>
      <c r="E21" s="228"/>
      <c r="F21" s="143"/>
      <c r="G21" s="422"/>
      <c r="H21" s="702"/>
      <c r="I21" s="703"/>
      <c r="J21" s="184"/>
      <c r="K21" s="177">
        <f t="shared" si="0"/>
        <v>0</v>
      </c>
      <c r="L21" s="188"/>
      <c r="M21" s="194">
        <f t="shared" si="1"/>
        <v>0</v>
      </c>
      <c r="N21" s="185"/>
      <c r="O21" s="195" t="str">
        <f t="shared" si="2"/>
        <v>-</v>
      </c>
      <c r="P21" s="699"/>
      <c r="Q21" s="700"/>
      <c r="R21" s="701"/>
      <c r="S21" s="75"/>
      <c r="X21" s="75"/>
      <c r="Y21" s="76"/>
      <c r="Z21" s="77"/>
    </row>
    <row r="22" spans="2:27" ht="32.25" customHeight="1" x14ac:dyDescent="0.5">
      <c r="B22" s="189"/>
      <c r="C22" s="416"/>
      <c r="D22" s="228"/>
      <c r="E22" s="228"/>
      <c r="F22" s="143"/>
      <c r="G22" s="422"/>
      <c r="H22" s="702"/>
      <c r="I22" s="703"/>
      <c r="J22" s="184"/>
      <c r="K22" s="177">
        <f t="shared" si="0"/>
        <v>0</v>
      </c>
      <c r="L22" s="188"/>
      <c r="M22" s="194">
        <f t="shared" si="1"/>
        <v>0</v>
      </c>
      <c r="N22" s="185"/>
      <c r="O22" s="195" t="str">
        <f t="shared" ref="O22:O49" si="3">IF(K22=0,"-",K22/M22)</f>
        <v>-</v>
      </c>
      <c r="P22" s="699"/>
      <c r="Q22" s="700"/>
      <c r="R22" s="701"/>
      <c r="S22" s="9"/>
      <c r="X22" s="75"/>
      <c r="Y22" s="76"/>
      <c r="Z22" s="77"/>
    </row>
    <row r="23" spans="2:27" s="271" customFormat="1" ht="32.25" customHeight="1" x14ac:dyDescent="0.5">
      <c r="B23" s="189"/>
      <c r="C23" s="416"/>
      <c r="D23" s="228"/>
      <c r="E23" s="228"/>
      <c r="F23" s="143"/>
      <c r="G23" s="464"/>
      <c r="H23" s="702"/>
      <c r="I23" s="703"/>
      <c r="J23" s="184"/>
      <c r="K23" s="177">
        <f t="shared" si="0"/>
        <v>0</v>
      </c>
      <c r="L23" s="188"/>
      <c r="M23" s="194">
        <f t="shared" si="1"/>
        <v>0</v>
      </c>
      <c r="N23" s="423"/>
      <c r="O23" s="432" t="str">
        <f t="shared" si="3"/>
        <v>-</v>
      </c>
      <c r="P23" s="712"/>
      <c r="Q23" s="713"/>
      <c r="R23" s="714"/>
      <c r="S23" s="332"/>
      <c r="X23" s="332"/>
      <c r="Y23" s="333"/>
      <c r="Z23" s="334"/>
    </row>
    <row r="24" spans="2:27" ht="32.25" customHeight="1" x14ac:dyDescent="0.5">
      <c r="B24" s="189"/>
      <c r="C24" s="416"/>
      <c r="D24" s="228"/>
      <c r="E24" s="228"/>
      <c r="F24" s="143"/>
      <c r="G24" s="476"/>
      <c r="H24" s="702"/>
      <c r="I24" s="703"/>
      <c r="J24" s="184"/>
      <c r="K24" s="177">
        <f t="shared" si="0"/>
        <v>0</v>
      </c>
      <c r="L24" s="188"/>
      <c r="M24" s="194">
        <f t="shared" si="1"/>
        <v>0</v>
      </c>
      <c r="N24" s="185"/>
      <c r="O24" s="195" t="str">
        <f t="shared" si="3"/>
        <v>-</v>
      </c>
      <c r="P24" s="699"/>
      <c r="Q24" s="700"/>
      <c r="R24" s="701"/>
      <c r="S24" s="332"/>
      <c r="T24" s="271"/>
      <c r="U24" s="271"/>
      <c r="V24" s="271"/>
      <c r="W24" s="271"/>
      <c r="X24" s="332"/>
      <c r="Y24" s="333"/>
      <c r="Z24" s="334"/>
      <c r="AA24" s="271"/>
    </row>
    <row r="25" spans="2:27" ht="32.25" customHeight="1" x14ac:dyDescent="0.5">
      <c r="B25" s="400"/>
      <c r="C25" s="466"/>
      <c r="D25" s="517"/>
      <c r="E25" s="517"/>
      <c r="F25" s="468"/>
      <c r="G25" s="513"/>
      <c r="H25" s="704"/>
      <c r="I25" s="705"/>
      <c r="J25" s="401"/>
      <c r="K25" s="405">
        <f t="shared" si="0"/>
        <v>0</v>
      </c>
      <c r="L25" s="406"/>
      <c r="M25" s="402">
        <f t="shared" si="1"/>
        <v>0</v>
      </c>
      <c r="N25" s="403"/>
      <c r="O25" s="407" t="str">
        <f t="shared" si="3"/>
        <v>-</v>
      </c>
      <c r="P25" s="710"/>
      <c r="Q25" s="710"/>
      <c r="R25" s="711"/>
      <c r="S25" s="332"/>
      <c r="T25" s="271"/>
      <c r="U25" s="271"/>
      <c r="V25" s="271"/>
      <c r="W25" s="271"/>
      <c r="X25" s="332"/>
      <c r="Y25" s="333"/>
      <c r="Z25" s="334"/>
      <c r="AA25" s="271"/>
    </row>
    <row r="26" spans="2:27" s="351" customFormat="1" ht="32.25" customHeight="1" x14ac:dyDescent="0.5">
      <c r="B26" s="189"/>
      <c r="C26" s="241"/>
      <c r="D26" s="228"/>
      <c r="E26" s="228"/>
      <c r="F26" s="143"/>
      <c r="G26" s="476"/>
      <c r="H26" s="702"/>
      <c r="I26" s="703"/>
      <c r="J26" s="184"/>
      <c r="K26" s="177">
        <f t="shared" si="0"/>
        <v>0</v>
      </c>
      <c r="L26" s="188"/>
      <c r="M26" s="194">
        <f t="shared" si="1"/>
        <v>0</v>
      </c>
      <c r="N26" s="185"/>
      <c r="O26" s="195" t="str">
        <f t="shared" si="3"/>
        <v>-</v>
      </c>
      <c r="P26" s="708"/>
      <c r="Q26" s="708"/>
      <c r="R26" s="709"/>
      <c r="S26" s="350"/>
      <c r="X26" s="350"/>
      <c r="Y26" s="352"/>
      <c r="Z26" s="353"/>
    </row>
    <row r="27" spans="2:27" ht="32.25" customHeight="1" x14ac:dyDescent="0.5">
      <c r="B27" s="189"/>
      <c r="C27" s="241"/>
      <c r="D27" s="228"/>
      <c r="E27" s="228"/>
      <c r="F27" s="143"/>
      <c r="G27" s="476"/>
      <c r="H27" s="702"/>
      <c r="I27" s="703"/>
      <c r="J27" s="184"/>
      <c r="K27" s="177">
        <f t="shared" si="0"/>
        <v>0</v>
      </c>
      <c r="L27" s="188"/>
      <c r="M27" s="194">
        <f t="shared" si="1"/>
        <v>0</v>
      </c>
      <c r="N27" s="185"/>
      <c r="O27" s="195" t="str">
        <f t="shared" si="3"/>
        <v>-</v>
      </c>
      <c r="P27" s="715"/>
      <c r="Q27" s="716"/>
      <c r="R27" s="717"/>
      <c r="S27" s="332"/>
      <c r="T27" s="271"/>
      <c r="U27" s="271"/>
      <c r="V27" s="271"/>
      <c r="W27" s="271"/>
      <c r="X27" s="332"/>
      <c r="Y27" s="333"/>
      <c r="Z27" s="334"/>
      <c r="AA27" s="271"/>
    </row>
    <row r="28" spans="2:27" ht="32.25" customHeight="1" x14ac:dyDescent="0.5">
      <c r="B28" s="189"/>
      <c r="C28" s="241"/>
      <c r="D28" s="228"/>
      <c r="E28" s="228"/>
      <c r="F28" s="143"/>
      <c r="G28" s="464"/>
      <c r="H28" s="702"/>
      <c r="I28" s="703"/>
      <c r="J28" s="184"/>
      <c r="K28" s="177">
        <f t="shared" si="0"/>
        <v>0</v>
      </c>
      <c r="L28" s="187"/>
      <c r="M28" s="194">
        <f t="shared" si="1"/>
        <v>0</v>
      </c>
      <c r="N28" s="423"/>
      <c r="O28" s="432" t="str">
        <f t="shared" si="3"/>
        <v>-</v>
      </c>
      <c r="P28" s="706"/>
      <c r="Q28" s="706"/>
      <c r="R28" s="707"/>
      <c r="S28" s="332"/>
      <c r="T28" s="271"/>
      <c r="U28" s="271"/>
      <c r="V28" s="271"/>
      <c r="W28" s="271"/>
      <c r="X28" s="332"/>
      <c r="Y28" s="333"/>
      <c r="Z28" s="334"/>
      <c r="AA28" s="271"/>
    </row>
    <row r="29" spans="2:27" ht="32.25" customHeight="1" x14ac:dyDescent="0.5">
      <c r="B29" s="189"/>
      <c r="C29" s="241"/>
      <c r="D29" s="228"/>
      <c r="E29" s="228"/>
      <c r="F29" s="143"/>
      <c r="G29" s="476"/>
      <c r="H29" s="702"/>
      <c r="I29" s="703"/>
      <c r="J29" s="184"/>
      <c r="K29" s="177">
        <f t="shared" si="0"/>
        <v>0</v>
      </c>
      <c r="L29" s="187"/>
      <c r="M29" s="194">
        <f t="shared" si="1"/>
        <v>0</v>
      </c>
      <c r="N29" s="185"/>
      <c r="O29" s="195" t="str">
        <f t="shared" si="3"/>
        <v>-</v>
      </c>
      <c r="P29" s="708"/>
      <c r="Q29" s="708"/>
      <c r="R29" s="709"/>
      <c r="S29" s="332"/>
      <c r="T29" s="271"/>
      <c r="U29" s="271"/>
      <c r="V29" s="271"/>
      <c r="W29" s="271"/>
      <c r="X29" s="332"/>
      <c r="Y29" s="333"/>
      <c r="Z29" s="334"/>
      <c r="AA29" s="271"/>
    </row>
    <row r="30" spans="2:27" ht="32.25" customHeight="1" x14ac:dyDescent="0.5">
      <c r="B30" s="189"/>
      <c r="C30" s="241"/>
      <c r="D30" s="228"/>
      <c r="E30" s="228"/>
      <c r="F30" s="143"/>
      <c r="G30" s="476"/>
      <c r="H30" s="702"/>
      <c r="I30" s="703"/>
      <c r="J30" s="184"/>
      <c r="K30" s="177">
        <f t="shared" si="0"/>
        <v>0</v>
      </c>
      <c r="L30" s="187"/>
      <c r="M30" s="194">
        <f t="shared" si="1"/>
        <v>0</v>
      </c>
      <c r="N30" s="185"/>
      <c r="O30" s="195" t="str">
        <f t="shared" si="3"/>
        <v>-</v>
      </c>
      <c r="P30" s="708"/>
      <c r="Q30" s="708"/>
      <c r="R30" s="709"/>
      <c r="S30" s="332"/>
      <c r="T30" s="271"/>
      <c r="U30" s="271"/>
      <c r="V30" s="271"/>
      <c r="W30" s="271"/>
      <c r="X30" s="332"/>
      <c r="Y30" s="333"/>
      <c r="Z30" s="334"/>
      <c r="AA30" s="271"/>
    </row>
    <row r="31" spans="2:27" ht="32.25" customHeight="1" x14ac:dyDescent="0.5">
      <c r="B31" s="189"/>
      <c r="C31" s="241"/>
      <c r="D31" s="228"/>
      <c r="E31" s="228"/>
      <c r="F31" s="143"/>
      <c r="G31" s="476"/>
      <c r="H31" s="702"/>
      <c r="I31" s="703"/>
      <c r="J31" s="184"/>
      <c r="K31" s="177">
        <f t="shared" si="0"/>
        <v>0</v>
      </c>
      <c r="L31" s="188"/>
      <c r="M31" s="194">
        <f t="shared" si="1"/>
        <v>0</v>
      </c>
      <c r="N31" s="185"/>
      <c r="O31" s="195" t="str">
        <f t="shared" si="3"/>
        <v>-</v>
      </c>
      <c r="P31" s="708"/>
      <c r="Q31" s="708"/>
      <c r="R31" s="709"/>
      <c r="S31" s="332"/>
      <c r="T31" s="271"/>
      <c r="U31" s="271"/>
      <c r="V31" s="271"/>
      <c r="W31" s="271"/>
      <c r="X31" s="332"/>
      <c r="Y31" s="333"/>
      <c r="Z31" s="334"/>
      <c r="AA31" s="271"/>
    </row>
    <row r="32" spans="2:27" s="165" customFormat="1" ht="32.25" customHeight="1" x14ac:dyDescent="0.5">
      <c r="B32" s="189"/>
      <c r="C32" s="241"/>
      <c r="D32" s="228"/>
      <c r="E32" s="228"/>
      <c r="F32" s="143"/>
      <c r="G32" s="476"/>
      <c r="H32" s="702"/>
      <c r="I32" s="703"/>
      <c r="J32" s="184"/>
      <c r="K32" s="177">
        <f t="shared" si="0"/>
        <v>0</v>
      </c>
      <c r="L32" s="188"/>
      <c r="M32" s="194">
        <f t="shared" si="1"/>
        <v>0</v>
      </c>
      <c r="N32" s="185"/>
      <c r="O32" s="195" t="str">
        <f t="shared" si="3"/>
        <v>-</v>
      </c>
      <c r="P32" s="708"/>
      <c r="Q32" s="708"/>
      <c r="R32" s="709"/>
      <c r="S32" s="332"/>
      <c r="T32" s="271"/>
      <c r="U32" s="271"/>
      <c r="V32" s="271"/>
      <c r="W32" s="271"/>
      <c r="X32" s="332"/>
      <c r="Y32" s="333"/>
      <c r="Z32" s="334"/>
      <c r="AA32" s="271"/>
    </row>
    <row r="33" spans="2:27" ht="32.25" customHeight="1" x14ac:dyDescent="0.5">
      <c r="B33" s="189"/>
      <c r="C33" s="241"/>
      <c r="D33" s="231"/>
      <c r="E33" s="435"/>
      <c r="F33" s="143"/>
      <c r="G33" s="476"/>
      <c r="H33" s="702"/>
      <c r="I33" s="703"/>
      <c r="J33" s="184"/>
      <c r="K33" s="177">
        <f t="shared" si="0"/>
        <v>0</v>
      </c>
      <c r="L33" s="188"/>
      <c r="M33" s="194">
        <f t="shared" si="1"/>
        <v>0</v>
      </c>
      <c r="N33" s="185"/>
      <c r="O33" s="195" t="str">
        <f t="shared" si="3"/>
        <v>-</v>
      </c>
      <c r="P33" s="708"/>
      <c r="Q33" s="708"/>
      <c r="R33" s="709"/>
      <c r="S33" s="332"/>
      <c r="T33" s="271"/>
      <c r="U33" s="271"/>
      <c r="V33" s="271"/>
      <c r="W33" s="271"/>
      <c r="X33" s="332"/>
      <c r="Y33" s="333"/>
      <c r="Z33" s="334"/>
      <c r="AA33" s="271"/>
    </row>
    <row r="34" spans="2:27" s="341" customFormat="1" ht="32.25" customHeight="1" x14ac:dyDescent="0.5">
      <c r="B34" s="189"/>
      <c r="C34" s="241"/>
      <c r="D34" s="231"/>
      <c r="E34" s="435"/>
      <c r="F34" s="143"/>
      <c r="G34" s="476"/>
      <c r="H34" s="702"/>
      <c r="I34" s="703"/>
      <c r="J34" s="184"/>
      <c r="K34" s="177">
        <f t="shared" si="0"/>
        <v>0</v>
      </c>
      <c r="L34" s="188"/>
      <c r="M34" s="194">
        <f t="shared" si="1"/>
        <v>0</v>
      </c>
      <c r="N34" s="185"/>
      <c r="O34" s="195" t="str">
        <f t="shared" si="3"/>
        <v>-</v>
      </c>
      <c r="P34" s="708"/>
      <c r="Q34" s="708"/>
      <c r="R34" s="709"/>
      <c r="S34" s="347"/>
      <c r="X34" s="332"/>
      <c r="Y34" s="333"/>
      <c r="Z34" s="334"/>
    </row>
    <row r="35" spans="2:27" ht="32.25" customHeight="1" x14ac:dyDescent="0.5">
      <c r="B35" s="189"/>
      <c r="C35" s="241"/>
      <c r="D35" s="231"/>
      <c r="E35" s="435"/>
      <c r="F35" s="143"/>
      <c r="G35" s="193"/>
      <c r="H35" s="702"/>
      <c r="I35" s="703"/>
      <c r="J35" s="184"/>
      <c r="K35" s="177">
        <f t="shared" si="0"/>
        <v>0</v>
      </c>
      <c r="L35" s="188"/>
      <c r="M35" s="194">
        <f t="shared" si="1"/>
        <v>0</v>
      </c>
      <c r="N35" s="185"/>
      <c r="O35" s="195" t="str">
        <f t="shared" si="3"/>
        <v>-</v>
      </c>
      <c r="P35" s="708"/>
      <c r="Q35" s="708"/>
      <c r="R35" s="709"/>
      <c r="S35" s="332"/>
      <c r="T35" s="271"/>
      <c r="U35" s="271"/>
      <c r="V35" s="271"/>
      <c r="W35" s="271"/>
      <c r="X35" s="332"/>
      <c r="Y35" s="333"/>
      <c r="Z35" s="334"/>
      <c r="AA35" s="271"/>
    </row>
    <row r="36" spans="2:27" ht="32.25" customHeight="1" x14ac:dyDescent="0.5">
      <c r="B36" s="189"/>
      <c r="C36" s="241"/>
      <c r="D36" s="231"/>
      <c r="E36" s="435"/>
      <c r="F36" s="143"/>
      <c r="G36" s="476"/>
      <c r="H36" s="702"/>
      <c r="I36" s="703"/>
      <c r="J36" s="184"/>
      <c r="K36" s="177">
        <f t="shared" si="0"/>
        <v>0</v>
      </c>
      <c r="L36" s="188"/>
      <c r="M36" s="194">
        <f t="shared" si="1"/>
        <v>0</v>
      </c>
      <c r="N36" s="185"/>
      <c r="O36" s="195" t="str">
        <f t="shared" si="3"/>
        <v>-</v>
      </c>
      <c r="P36" s="708"/>
      <c r="Q36" s="708"/>
      <c r="R36" s="709"/>
      <c r="S36" s="332"/>
      <c r="T36" s="271"/>
      <c r="U36" s="271"/>
      <c r="V36" s="271"/>
      <c r="W36" s="271"/>
      <c r="X36" s="332"/>
      <c r="Y36" s="333"/>
      <c r="Z36" s="334"/>
      <c r="AA36" s="271"/>
    </row>
    <row r="37" spans="2:27" s="310" customFormat="1" ht="32.25" customHeight="1" x14ac:dyDescent="0.5">
      <c r="B37" s="189"/>
      <c r="C37" s="241"/>
      <c r="D37" s="231"/>
      <c r="E37" s="435"/>
      <c r="F37" s="143"/>
      <c r="G37" s="476"/>
      <c r="H37" s="702"/>
      <c r="I37" s="703"/>
      <c r="J37" s="184"/>
      <c r="K37" s="177">
        <f t="shared" si="0"/>
        <v>0</v>
      </c>
      <c r="L37" s="188"/>
      <c r="M37" s="194">
        <f t="shared" si="1"/>
        <v>0</v>
      </c>
      <c r="N37" s="185"/>
      <c r="O37" s="195" t="str">
        <f t="shared" si="3"/>
        <v>-</v>
      </c>
      <c r="P37" s="708"/>
      <c r="Q37" s="708"/>
      <c r="R37" s="709"/>
      <c r="S37" s="309"/>
      <c r="X37" s="309"/>
      <c r="Y37" s="311"/>
      <c r="Z37" s="312"/>
    </row>
    <row r="38" spans="2:27" s="165" customFormat="1" ht="32.25" customHeight="1" x14ac:dyDescent="0.5">
      <c r="B38" s="189"/>
      <c r="C38" s="241"/>
      <c r="D38" s="231"/>
      <c r="E38" s="435"/>
      <c r="F38" s="143"/>
      <c r="G38" s="476"/>
      <c r="H38" s="702"/>
      <c r="I38" s="703"/>
      <c r="J38" s="184"/>
      <c r="K38" s="177">
        <f t="shared" si="0"/>
        <v>0</v>
      </c>
      <c r="L38" s="188"/>
      <c r="M38" s="194">
        <f t="shared" si="1"/>
        <v>0</v>
      </c>
      <c r="N38" s="185"/>
      <c r="O38" s="195" t="str">
        <f t="shared" si="3"/>
        <v>-</v>
      </c>
      <c r="P38" s="708"/>
      <c r="Q38" s="708"/>
      <c r="R38" s="709"/>
      <c r="S38" s="75"/>
      <c r="X38" s="75"/>
      <c r="Y38" s="76"/>
      <c r="Z38" s="77"/>
    </row>
    <row r="39" spans="2:27" s="310" customFormat="1" ht="32.25" customHeight="1" x14ac:dyDescent="0.5">
      <c r="B39" s="189"/>
      <c r="C39" s="241"/>
      <c r="D39" s="231"/>
      <c r="E39" s="435"/>
      <c r="F39" s="143"/>
      <c r="G39" s="476"/>
      <c r="H39" s="702"/>
      <c r="I39" s="703"/>
      <c r="J39" s="184"/>
      <c r="K39" s="177">
        <f t="shared" si="0"/>
        <v>0</v>
      </c>
      <c r="L39" s="188"/>
      <c r="M39" s="194">
        <f t="shared" si="1"/>
        <v>0</v>
      </c>
      <c r="N39" s="185"/>
      <c r="O39" s="195" t="str">
        <f t="shared" si="3"/>
        <v>-</v>
      </c>
      <c r="P39" s="708"/>
      <c r="Q39" s="708"/>
      <c r="R39" s="709"/>
      <c r="S39" s="309"/>
      <c r="X39" s="309"/>
      <c r="Y39" s="311"/>
      <c r="Z39" s="312"/>
    </row>
    <row r="40" spans="2:27" s="165" customFormat="1" ht="32.25" customHeight="1" x14ac:dyDescent="0.5">
      <c r="B40" s="189"/>
      <c r="C40" s="241"/>
      <c r="D40" s="231"/>
      <c r="E40" s="435"/>
      <c r="F40" s="143"/>
      <c r="G40" s="476"/>
      <c r="H40" s="702"/>
      <c r="I40" s="703"/>
      <c r="J40" s="184"/>
      <c r="K40" s="177">
        <f t="shared" si="0"/>
        <v>0</v>
      </c>
      <c r="L40" s="188"/>
      <c r="M40" s="194">
        <f t="shared" si="1"/>
        <v>0</v>
      </c>
      <c r="N40" s="185"/>
      <c r="O40" s="195" t="str">
        <f t="shared" si="3"/>
        <v>-</v>
      </c>
      <c r="P40" s="708"/>
      <c r="Q40" s="708"/>
      <c r="R40" s="709"/>
      <c r="S40" s="75"/>
      <c r="X40" s="75"/>
      <c r="Y40" s="76"/>
      <c r="Z40" s="77"/>
    </row>
    <row r="41" spans="2:27" s="165" customFormat="1" ht="32.25" customHeight="1" x14ac:dyDescent="0.5">
      <c r="B41" s="189"/>
      <c r="C41" s="241"/>
      <c r="D41" s="231"/>
      <c r="E41" s="435"/>
      <c r="F41" s="143"/>
      <c r="G41" s="476"/>
      <c r="H41" s="702"/>
      <c r="I41" s="703"/>
      <c r="J41" s="184"/>
      <c r="K41" s="177">
        <f t="shared" si="0"/>
        <v>0</v>
      </c>
      <c r="L41" s="188"/>
      <c r="M41" s="194">
        <f t="shared" si="1"/>
        <v>0</v>
      </c>
      <c r="N41" s="185"/>
      <c r="O41" s="195" t="str">
        <f t="shared" si="3"/>
        <v>-</v>
      </c>
      <c r="P41" s="708"/>
      <c r="Q41" s="708"/>
      <c r="R41" s="709"/>
      <c r="S41" s="75"/>
      <c r="X41" s="75"/>
      <c r="Y41" s="76"/>
      <c r="Z41" s="77"/>
    </row>
    <row r="42" spans="2:27" s="165" customFormat="1" ht="32.25" customHeight="1" x14ac:dyDescent="0.5">
      <c r="B42" s="189"/>
      <c r="C42" s="241"/>
      <c r="D42" s="231"/>
      <c r="E42" s="435"/>
      <c r="F42" s="143"/>
      <c r="G42" s="476"/>
      <c r="H42" s="702"/>
      <c r="I42" s="703"/>
      <c r="J42" s="184"/>
      <c r="K42" s="177">
        <f t="shared" si="0"/>
        <v>0</v>
      </c>
      <c r="L42" s="188"/>
      <c r="M42" s="194">
        <f t="shared" si="1"/>
        <v>0</v>
      </c>
      <c r="N42" s="185"/>
      <c r="O42" s="195" t="str">
        <f t="shared" si="3"/>
        <v>-</v>
      </c>
      <c r="P42" s="708"/>
      <c r="Q42" s="708"/>
      <c r="R42" s="709"/>
      <c r="S42" s="75"/>
      <c r="X42" s="75"/>
      <c r="Y42" s="76"/>
      <c r="Z42" s="77"/>
    </row>
    <row r="43" spans="2:27" ht="32.25" customHeight="1" x14ac:dyDescent="0.5">
      <c r="B43" s="189"/>
      <c r="C43" s="241"/>
      <c r="D43" s="231"/>
      <c r="E43" s="435"/>
      <c r="F43" s="143"/>
      <c r="G43" s="476"/>
      <c r="H43" s="718"/>
      <c r="I43" s="719"/>
      <c r="J43" s="184"/>
      <c r="K43" s="177">
        <f t="shared" si="0"/>
        <v>0</v>
      </c>
      <c r="L43" s="188"/>
      <c r="M43" s="194">
        <f t="shared" si="1"/>
        <v>0</v>
      </c>
      <c r="N43" s="185"/>
      <c r="O43" s="195" t="str">
        <f t="shared" si="3"/>
        <v>-</v>
      </c>
      <c r="P43" s="708"/>
      <c r="Q43" s="708"/>
      <c r="R43" s="709"/>
      <c r="S43" s="332"/>
      <c r="T43" s="271"/>
      <c r="U43" s="271"/>
      <c r="V43" s="271"/>
      <c r="W43" s="271"/>
      <c r="X43" s="332"/>
      <c r="Y43" s="333"/>
      <c r="Z43" s="334"/>
      <c r="AA43" s="271"/>
    </row>
    <row r="44" spans="2:27" ht="32.25" customHeight="1" x14ac:dyDescent="0.5">
      <c r="B44" s="189"/>
      <c r="C44" s="241"/>
      <c r="D44" s="231"/>
      <c r="E44" s="435"/>
      <c r="F44" s="143"/>
      <c r="G44" s="476"/>
      <c r="H44" s="718"/>
      <c r="I44" s="719"/>
      <c r="J44" s="184"/>
      <c r="K44" s="177">
        <f t="shared" si="0"/>
        <v>0</v>
      </c>
      <c r="L44" s="188"/>
      <c r="M44" s="194">
        <f t="shared" si="1"/>
        <v>0</v>
      </c>
      <c r="N44" s="185"/>
      <c r="O44" s="195" t="str">
        <f t="shared" si="3"/>
        <v>-</v>
      </c>
      <c r="P44" s="473"/>
      <c r="Q44" s="474"/>
      <c r="R44" s="475"/>
      <c r="S44" s="332"/>
      <c r="T44" s="271"/>
      <c r="U44" s="271"/>
      <c r="V44" s="271"/>
      <c r="W44" s="271"/>
      <c r="X44" s="332"/>
      <c r="Y44" s="333"/>
      <c r="Z44" s="334"/>
      <c r="AA44" s="271"/>
    </row>
    <row r="45" spans="2:27" s="341" customFormat="1" ht="32.25" customHeight="1" x14ac:dyDescent="0.5">
      <c r="B45" s="189"/>
      <c r="C45" s="241"/>
      <c r="D45" s="231"/>
      <c r="E45" s="231"/>
      <c r="F45" s="143"/>
      <c r="G45" s="476"/>
      <c r="H45" s="718"/>
      <c r="I45" s="719"/>
      <c r="J45" s="184"/>
      <c r="K45" s="177">
        <f t="shared" si="0"/>
        <v>0</v>
      </c>
      <c r="L45" s="188"/>
      <c r="M45" s="194">
        <f>IF(AND(H45=H44,L45-L44&lt;1.1,L45-L44&gt;0),L45-L44,0)</f>
        <v>0</v>
      </c>
      <c r="N45" s="185"/>
      <c r="O45" s="195" t="str">
        <f t="shared" si="3"/>
        <v>-</v>
      </c>
      <c r="P45" s="708"/>
      <c r="Q45" s="708"/>
      <c r="R45" s="709"/>
      <c r="S45" s="347"/>
      <c r="X45" s="347"/>
      <c r="Y45" s="348"/>
      <c r="Z45" s="349"/>
    </row>
    <row r="46" spans="2:27" ht="32.25" customHeight="1" x14ac:dyDescent="0.5">
      <c r="B46" s="230"/>
      <c r="C46" s="241"/>
      <c r="D46" s="231"/>
      <c r="E46" s="231"/>
      <c r="F46" s="143"/>
      <c r="G46" s="476"/>
      <c r="H46" s="718"/>
      <c r="I46" s="719"/>
      <c r="J46" s="184"/>
      <c r="K46" s="287">
        <f t="shared" si="0"/>
        <v>0</v>
      </c>
      <c r="L46" s="290"/>
      <c r="M46" s="288">
        <f t="shared" si="1"/>
        <v>0</v>
      </c>
      <c r="N46" s="185"/>
      <c r="O46" s="195" t="str">
        <f t="shared" si="3"/>
        <v>-</v>
      </c>
      <c r="P46" s="708"/>
      <c r="Q46" s="708"/>
      <c r="R46" s="709"/>
      <c r="S46" s="9"/>
      <c r="X46" s="75"/>
      <c r="Y46" s="76"/>
      <c r="Z46" s="77"/>
    </row>
    <row r="47" spans="2:27" ht="32.25" customHeight="1" x14ac:dyDescent="0.5">
      <c r="B47" s="230"/>
      <c r="C47" s="241"/>
      <c r="D47" s="231"/>
      <c r="E47" s="231"/>
      <c r="F47" s="143"/>
      <c r="G47" s="476"/>
      <c r="H47" s="718"/>
      <c r="I47" s="719"/>
      <c r="J47" s="184"/>
      <c r="K47" s="287">
        <f t="shared" si="0"/>
        <v>0</v>
      </c>
      <c r="L47" s="290"/>
      <c r="M47" s="288">
        <f t="shared" si="1"/>
        <v>0</v>
      </c>
      <c r="N47" s="185"/>
      <c r="O47" s="195" t="str">
        <f t="shared" si="3"/>
        <v>-</v>
      </c>
      <c r="P47" s="708"/>
      <c r="Q47" s="708"/>
      <c r="R47" s="709"/>
      <c r="S47" s="9"/>
      <c r="X47" s="75"/>
      <c r="Y47" s="76"/>
      <c r="Z47" s="77"/>
    </row>
    <row r="48" spans="2:27" ht="32.25" customHeight="1" x14ac:dyDescent="0.5">
      <c r="B48" s="230"/>
      <c r="C48" s="241"/>
      <c r="D48" s="231"/>
      <c r="E48" s="231"/>
      <c r="F48" s="143"/>
      <c r="G48" s="476"/>
      <c r="H48" s="718"/>
      <c r="I48" s="719"/>
      <c r="J48" s="184"/>
      <c r="K48" s="287">
        <f t="shared" si="0"/>
        <v>0</v>
      </c>
      <c r="L48" s="290"/>
      <c r="M48" s="288">
        <f t="shared" si="1"/>
        <v>0</v>
      </c>
      <c r="N48" s="185"/>
      <c r="O48" s="195" t="str">
        <f t="shared" si="3"/>
        <v>-</v>
      </c>
      <c r="P48" s="708"/>
      <c r="Q48" s="708"/>
      <c r="R48" s="709"/>
      <c r="S48" s="9"/>
      <c r="X48" s="75"/>
      <c r="Y48" s="76"/>
      <c r="Z48" s="77"/>
    </row>
    <row r="49" spans="2:26" ht="32.25" customHeight="1" thickBot="1" x14ac:dyDescent="0.55000000000000004">
      <c r="B49" s="306"/>
      <c r="C49" s="357"/>
      <c r="D49" s="308"/>
      <c r="E49" s="308"/>
      <c r="F49" s="209"/>
      <c r="G49" s="214"/>
      <c r="H49" s="720"/>
      <c r="I49" s="721"/>
      <c r="J49" s="240"/>
      <c r="K49" s="363">
        <f t="shared" si="0"/>
        <v>0</v>
      </c>
      <c r="L49" s="372"/>
      <c r="M49" s="365">
        <f t="shared" si="1"/>
        <v>0</v>
      </c>
      <c r="N49" s="235"/>
      <c r="O49" s="214" t="str">
        <f t="shared" si="3"/>
        <v>-</v>
      </c>
      <c r="P49" s="722"/>
      <c r="Q49" s="722"/>
      <c r="R49" s="723"/>
      <c r="S49" s="9"/>
      <c r="X49" s="75"/>
      <c r="Y49" s="76"/>
      <c r="Z49" s="77"/>
    </row>
    <row r="50" spans="2:26" ht="17.25" customHeight="1" thickBot="1" x14ac:dyDescent="0.25">
      <c r="H50" s="568"/>
      <c r="I50" s="568"/>
      <c r="X50" s="75"/>
      <c r="Y50" s="76"/>
      <c r="Z50" s="77"/>
    </row>
    <row r="51" spans="2:26" ht="30.4" customHeight="1" thickBot="1" x14ac:dyDescent="0.25">
      <c r="B51" s="692" t="s">
        <v>13</v>
      </c>
      <c r="C51" s="693"/>
      <c r="D51" s="258" t="s">
        <v>3</v>
      </c>
      <c r="E51" s="693" t="s">
        <v>15</v>
      </c>
      <c r="F51" s="693"/>
      <c r="G51" s="693" t="s">
        <v>7</v>
      </c>
      <c r="H51" s="693"/>
      <c r="I51" s="693"/>
      <c r="J51" s="258" t="s">
        <v>5</v>
      </c>
      <c r="K51" s="693" t="s">
        <v>6</v>
      </c>
      <c r="L51" s="694"/>
      <c r="M51" s="80"/>
      <c r="N51" s="80"/>
      <c r="P51" s="67" t="s">
        <v>15</v>
      </c>
      <c r="Q51" s="68" t="s">
        <v>16</v>
      </c>
      <c r="R51" s="69" t="s">
        <v>6</v>
      </c>
      <c r="S51" s="79"/>
      <c r="X51" s="75"/>
      <c r="Y51" s="76"/>
      <c r="Z51" s="77"/>
    </row>
    <row r="52" spans="2:26" ht="32.25" customHeight="1" x14ac:dyDescent="0.5">
      <c r="B52" s="564" t="s">
        <v>36</v>
      </c>
      <c r="C52" s="565"/>
      <c r="D52" s="256" t="s">
        <v>119</v>
      </c>
      <c r="E52" s="726">
        <f>SUMIFS('RP5 '!$K$17:$K$49,'RP5 '!$C$17:$C$49,'RP5 '!B52,'RP5 '!$F$17:$F$49,D52)</f>
        <v>0</v>
      </c>
      <c r="F52" s="726"/>
      <c r="G52" s="727">
        <f>SUMIFS('RP5 '!$D$85:$D$118,'RP5 '!$B$85:$B$118,'RP5 '!D52,'RP5 '!$C$85:$C$118,'RP5 '!B52)*E52</f>
        <v>0</v>
      </c>
      <c r="H52" s="727"/>
      <c r="I52" s="727"/>
      <c r="J52" s="257">
        <f>SUMIFS('RP5 '!$M$17:$M$49,'RP5 '!$C$17:$C$49,'RP5 '!B52,'RP5 '!$F$17:$F$49,D52)</f>
        <v>0</v>
      </c>
      <c r="K52" s="673" t="str">
        <f t="shared" ref="K52:K59" si="4">IF(E52=0,"-",E52/J52)</f>
        <v>-</v>
      </c>
      <c r="L52" s="674"/>
      <c r="M52" s="10"/>
      <c r="N52" s="59" t="s">
        <v>124</v>
      </c>
      <c r="O52" s="64">
        <v>1</v>
      </c>
      <c r="P52" s="168">
        <f>SUMIFS('RP5 '!$K$17:$K$49,'RP5 '!$N$17:$N$49,O52)</f>
        <v>0</v>
      </c>
      <c r="Q52" s="174">
        <f>SUMIFS('RP5 '!$M$17:$M$49,'RP5 '!$N$17:$N$49,O52)</f>
        <v>0</v>
      </c>
      <c r="R52" s="169" t="e">
        <f>P52/Q52</f>
        <v>#DIV/0!</v>
      </c>
      <c r="S52" s="11"/>
      <c r="X52" s="75"/>
      <c r="Y52" s="76"/>
      <c r="Z52" s="77"/>
    </row>
    <row r="53" spans="2:26" ht="32.25" customHeight="1" x14ac:dyDescent="0.5">
      <c r="B53" s="561" t="s">
        <v>35</v>
      </c>
      <c r="C53" s="562"/>
      <c r="D53" s="256" t="s">
        <v>119</v>
      </c>
      <c r="E53" s="675">
        <f>SUMIFS('RP5 '!$K$17:$K$49,'RP5 '!$C$17:$C$49,'RP5 '!B53,'RP5 '!$F$17:$F$49,D53)</f>
        <v>0</v>
      </c>
      <c r="F53" s="675"/>
      <c r="G53" s="725">
        <f>SUMIFS('RP5 '!$D$85:$D$118,'RP5 '!$B$85:$B$118,'RP5 '!D53,'RP5 '!$C$85:$C$118,'RP5 '!B53)*E53</f>
        <v>0</v>
      </c>
      <c r="H53" s="725"/>
      <c r="I53" s="725"/>
      <c r="J53" s="139">
        <f>SUMIFS('RP5 '!$M$17:$M$49,'RP5 '!$C$17:$C$49,'RP5 '!B53,'RP5 '!$F$17:$F$49,D53)</f>
        <v>0</v>
      </c>
      <c r="K53" s="676" t="str">
        <f t="shared" si="4"/>
        <v>-</v>
      </c>
      <c r="L53" s="724"/>
      <c r="M53" s="10"/>
      <c r="N53" s="60" t="s">
        <v>124</v>
      </c>
      <c r="O53" s="65">
        <v>2</v>
      </c>
      <c r="P53" s="170">
        <f>SUMIFS('RP5 '!$K$17:$K$49,'RP5 '!$N$17:$N$49,O53)</f>
        <v>0</v>
      </c>
      <c r="Q53" s="175">
        <f>SUMIFS('RP5 '!$M$17:$M$49,'RP5 '!$N$17:$N$49,O53)</f>
        <v>0</v>
      </c>
      <c r="R53" s="171" t="e">
        <f>P53/Q53</f>
        <v>#DIV/0!</v>
      </c>
      <c r="S53" s="11"/>
      <c r="X53" s="75"/>
      <c r="Y53" s="76"/>
      <c r="Z53" s="77"/>
    </row>
    <row r="54" spans="2:26" ht="32.25" customHeight="1" thickBot="1" x14ac:dyDescent="0.55000000000000004">
      <c r="B54" s="561"/>
      <c r="C54" s="562"/>
      <c r="D54" s="256"/>
      <c r="E54" s="675">
        <f>SUMIFS('RP5 '!$K$17:$K$49,'RP5 '!$C$17:$C$49,'RP5 '!B54,'RP5 '!$F$17:$F$49,D54)</f>
        <v>0</v>
      </c>
      <c r="F54" s="675"/>
      <c r="G54" s="725">
        <f>SUMIFS('RP5 '!$D$85:$D$118,'RP5 '!$B$85:$B$118,'RP5 '!D54,'RP5 '!$C$85:$C$118,'RP5 '!B54)*E54</f>
        <v>0</v>
      </c>
      <c r="H54" s="725"/>
      <c r="I54" s="725"/>
      <c r="J54" s="139">
        <f>SUMIFS('RP5 '!$M$17:$M$49,'RP5 '!$C$17:$C$49,'RP5 '!B54,'RP5 '!$F$17:$F$49,D54)</f>
        <v>0</v>
      </c>
      <c r="K54" s="676" t="str">
        <f t="shared" si="4"/>
        <v>-</v>
      </c>
      <c r="L54" s="724"/>
      <c r="M54" s="10"/>
      <c r="N54" s="61" t="s">
        <v>124</v>
      </c>
      <c r="O54" s="66">
        <v>3</v>
      </c>
      <c r="P54" s="172">
        <f>SUMIFS('RP5 '!$K$17:$K$49,'RP5 '!$N$17:$N$49,O54)</f>
        <v>0</v>
      </c>
      <c r="Q54" s="176">
        <f>SUMIFS('RP5 '!$M$17:$M$49,'RP5 '!$N$17:$N$49,O54)</f>
        <v>0</v>
      </c>
      <c r="R54" s="173" t="e">
        <f>P54/Q54</f>
        <v>#DIV/0!</v>
      </c>
      <c r="S54" s="11"/>
    </row>
    <row r="55" spans="2:26" ht="32.25" customHeight="1" x14ac:dyDescent="0.5">
      <c r="B55" s="561"/>
      <c r="C55" s="562"/>
      <c r="D55" s="138"/>
      <c r="E55" s="675">
        <f>SUMIFS('RP5 '!$K$17:$K$49,'RP5 '!$C$17:$C$49,'RP5 '!B55,'RP5 '!$F$17:$F$49,D55)</f>
        <v>0</v>
      </c>
      <c r="F55" s="675"/>
      <c r="G55" s="725">
        <f>SUMIFS('RP5 '!$D$85:$D$118,'RP5 '!$B$85:$B$118,'RP5 '!D55,'RP5 '!$C$85:$C$118,'RP5 '!B55)*E55</f>
        <v>0</v>
      </c>
      <c r="H55" s="725"/>
      <c r="I55" s="725"/>
      <c r="J55" s="139">
        <f>SUMIFS('RP5 '!$M$17:$M$49,'RP5 '!$C$17:$C$49,'RP5 '!B55,'RP5 '!$F$17:$F$49,D55)</f>
        <v>0</v>
      </c>
      <c r="K55" s="676" t="str">
        <f t="shared" si="4"/>
        <v>-</v>
      </c>
      <c r="L55" s="724"/>
      <c r="M55" s="10"/>
      <c r="N55" s="10"/>
      <c r="O55" s="605"/>
      <c r="P55" s="605"/>
      <c r="Q55" s="605"/>
      <c r="R55" s="605"/>
      <c r="S55" s="11"/>
    </row>
    <row r="56" spans="2:26" ht="32.25" customHeight="1" x14ac:dyDescent="0.5">
      <c r="B56" s="561"/>
      <c r="C56" s="562"/>
      <c r="D56" s="138"/>
      <c r="E56" s="675">
        <f>SUMIFS('RP5 '!$K$17:$K$49,'RP5 '!$C$17:$C$49,'RP5 '!B56,'RP5 '!$F$17:$F$49,D56)</f>
        <v>0</v>
      </c>
      <c r="F56" s="675"/>
      <c r="G56" s="725">
        <f>SUMIFS('RP5 '!$D$85:$D$118,'RP5 '!$B$85:$B$118,'RP5 '!D56,'RP5 '!$C$85:$C$118,'RP5 '!B56)*E56</f>
        <v>0</v>
      </c>
      <c r="H56" s="725"/>
      <c r="I56" s="725"/>
      <c r="J56" s="139">
        <f>SUMIFS('RP5 '!$M$17:$M$49,'RP5 '!$C$17:$C$49,'RP5 '!B56,'RP5 '!$F$17:$F$49,D56)</f>
        <v>0</v>
      </c>
      <c r="K56" s="676" t="str">
        <f t="shared" si="4"/>
        <v>-</v>
      </c>
      <c r="L56" s="724"/>
      <c r="M56" s="10"/>
      <c r="N56" s="10"/>
      <c r="O56" s="11"/>
      <c r="P56" s="11"/>
      <c r="Q56" s="11"/>
      <c r="R56" s="11"/>
      <c r="S56" s="11"/>
    </row>
    <row r="57" spans="2:26" ht="32.25" customHeight="1" x14ac:dyDescent="0.5">
      <c r="B57" s="561"/>
      <c r="C57" s="562"/>
      <c r="D57" s="138"/>
      <c r="E57" s="675">
        <f>SUMIFS('RP5 '!$K$17:$K$49,'RP5 '!$C$17:$C$49,'RP5 '!B57,'RP5 '!$F$17:$F$49,D57)</f>
        <v>0</v>
      </c>
      <c r="F57" s="675"/>
      <c r="G57" s="725">
        <f>SUMIFS('RP5 '!$D$85:$D$118,'RP5 '!$B$85:$B$118,'RP5 '!D57,'RP5 '!$C$85:$C$118,'RP5 '!B57)*E57</f>
        <v>0</v>
      </c>
      <c r="H57" s="725"/>
      <c r="I57" s="725"/>
      <c r="J57" s="139">
        <f>SUMIFS('RP5 '!$M$17:$M$49,'RP5 '!$C$17:$C$49,'RP5 '!B57,'RP5 '!$F$17:$F$49,D57)</f>
        <v>0</v>
      </c>
      <c r="K57" s="676" t="str">
        <f t="shared" si="4"/>
        <v>-</v>
      </c>
      <c r="L57" s="724"/>
      <c r="M57" s="10"/>
      <c r="N57" s="10"/>
      <c r="O57" s="11"/>
      <c r="P57" s="11"/>
      <c r="Q57" s="11"/>
      <c r="R57" s="11"/>
      <c r="S57" s="11"/>
    </row>
    <row r="58" spans="2:26" ht="32.25" customHeight="1" x14ac:dyDescent="0.5">
      <c r="B58" s="561"/>
      <c r="C58" s="562"/>
      <c r="D58" s="138"/>
      <c r="E58" s="675">
        <f>SUMIFS('RP5 '!$K$17:$K$49,'RP5 '!$C$17:$C$49,'RP5 '!B58,'RP5 '!$F$17:$F$49,D58)</f>
        <v>0</v>
      </c>
      <c r="F58" s="675"/>
      <c r="G58" s="725">
        <f>SUMIFS('RP5 '!$D$85:$D$118,'RP5 '!$B$85:$B$118,'RP5 '!D58,'RP5 '!$C$85:$C$118,'RP5 '!B58)*E58</f>
        <v>0</v>
      </c>
      <c r="H58" s="725"/>
      <c r="I58" s="725"/>
      <c r="J58" s="139">
        <f>SUMIFS('RP5 '!$M$17:$M$49,'RP5 '!$C$17:$C$49,'RP5 '!B58,'RP5 '!$F$17:$F$49,D58)</f>
        <v>0</v>
      </c>
      <c r="K58" s="676" t="str">
        <f t="shared" si="4"/>
        <v>-</v>
      </c>
      <c r="L58" s="724"/>
      <c r="M58" s="10"/>
      <c r="N58" s="10"/>
      <c r="O58" s="11"/>
      <c r="P58" s="11"/>
      <c r="Q58" s="11"/>
      <c r="R58" s="11"/>
      <c r="S58" s="11"/>
    </row>
    <row r="59" spans="2:26" ht="32.25" customHeight="1" thickBot="1" x14ac:dyDescent="0.55000000000000004">
      <c r="B59" s="624"/>
      <c r="C59" s="625"/>
      <c r="D59" s="140"/>
      <c r="E59" s="728">
        <f>SUMIFS('RP5 '!$K$17:$K$49,'RP5 '!$C$17:$C$49,'RP5 '!B59,'RP5 '!$F$17:$F$49,D59)</f>
        <v>0</v>
      </c>
      <c r="F59" s="728"/>
      <c r="G59" s="729">
        <f>SUMIFS('RP5 '!$D$85:$D$118,'RP5 '!$B$85:$B$118,'RP5 '!D59,'RP5 '!$C$85:$C$118,'RP5 '!B59)*E59</f>
        <v>0</v>
      </c>
      <c r="H59" s="729"/>
      <c r="I59" s="729"/>
      <c r="J59" s="141">
        <f>SUMIFS('RP5 '!$M$17:$M$49,'RP5 '!$C$17:$C$49,'RP5 '!B59,'RP5 '!$F$17:$F$49,D59)</f>
        <v>0</v>
      </c>
      <c r="K59" s="696" t="str">
        <f t="shared" si="4"/>
        <v>-</v>
      </c>
      <c r="L59" s="730"/>
      <c r="P59" s="9"/>
      <c r="Q59" s="9"/>
      <c r="R59" s="9"/>
      <c r="S59" s="11"/>
    </row>
    <row r="60" spans="2:26" ht="43.5" customHeight="1" thickBot="1" x14ac:dyDescent="0.25">
      <c r="B60" s="554" t="s">
        <v>753</v>
      </c>
      <c r="C60" s="555"/>
      <c r="D60" s="556"/>
      <c r="E60" s="553">
        <f>SUM(E52:F59)</f>
        <v>0</v>
      </c>
      <c r="F60" s="551"/>
      <c r="G60" s="549">
        <f>SUM(G52:I59)</f>
        <v>0</v>
      </c>
      <c r="H60" s="550"/>
      <c r="I60" s="551"/>
      <c r="J60" s="164">
        <f>SUM(J52:J59)</f>
        <v>0</v>
      </c>
      <c r="K60" s="549" t="e">
        <f>E60/J60</f>
        <v>#DIV/0!</v>
      </c>
      <c r="L60" s="552"/>
    </row>
    <row r="61" spans="2:26" ht="13.5" thickBot="1" x14ac:dyDescent="0.25"/>
    <row r="62" spans="2:26" ht="33.6" customHeight="1" thickBot="1" x14ac:dyDescent="0.25">
      <c r="B62" s="616"/>
      <c r="C62" s="617"/>
      <c r="D62" s="130" t="s">
        <v>3</v>
      </c>
      <c r="E62" s="618" t="s">
        <v>15</v>
      </c>
      <c r="F62" s="618"/>
      <c r="G62" s="618" t="s">
        <v>7</v>
      </c>
      <c r="H62" s="618"/>
      <c r="I62" s="618"/>
      <c r="J62" s="130" t="s">
        <v>5</v>
      </c>
      <c r="K62" s="618" t="s">
        <v>6</v>
      </c>
      <c r="L62" s="618"/>
    </row>
    <row r="63" spans="2:26" ht="32.25" customHeight="1" thickBot="1" x14ac:dyDescent="0.25">
      <c r="B63" s="612"/>
      <c r="C63" s="613"/>
      <c r="D63" s="155" t="s">
        <v>119</v>
      </c>
      <c r="E63" s="614">
        <f>SUMIFS('RP5 '!$E$52:$E$59,'RP5 '!$D$52:$D$59,D63)</f>
        <v>0</v>
      </c>
      <c r="F63" s="614"/>
      <c r="G63" s="615">
        <f>SUMIFS('RP5 '!$G$52:$G$59,'RP5 '!$D$52:$D$59,D63)</f>
        <v>0</v>
      </c>
      <c r="H63" s="615"/>
      <c r="I63" s="615"/>
      <c r="J63" s="156">
        <f>SUMIFS('RP5 '!$J$52:$J$59,'RP5 '!$D$52:$D$59,D63)</f>
        <v>0</v>
      </c>
      <c r="K63" s="615" t="str">
        <f>IF(E63=0,"-",E63/J63)</f>
        <v>-</v>
      </c>
      <c r="L63" s="615"/>
      <c r="M63" s="10"/>
      <c r="N63" s="10"/>
      <c r="O63" s="62"/>
      <c r="P63" s="63"/>
      <c r="Q63" s="63"/>
      <c r="R63" s="63"/>
      <c r="S63" s="11"/>
    </row>
    <row r="64" spans="2:26" ht="32.25" customHeight="1" thickBot="1" x14ac:dyDescent="0.25">
      <c r="B64" s="612"/>
      <c r="C64" s="613"/>
      <c r="D64" s="155" t="s">
        <v>118</v>
      </c>
      <c r="E64" s="614">
        <f>SUMIFS('RP5 '!$E$52:$E$59,'RP5 '!$D$52:$D$59,D64)</f>
        <v>0</v>
      </c>
      <c r="F64" s="614"/>
      <c r="G64" s="615">
        <f>SUMIFS('RP5 '!$G$52:$G$59,'RP5 '!$D$52:$D$59,D64)</f>
        <v>0</v>
      </c>
      <c r="H64" s="615"/>
      <c r="I64" s="615"/>
      <c r="J64" s="156">
        <f>SUMIFS('RP5 '!$J$52:$J$59,'RP5 '!$D$52:$D$59,D64)</f>
        <v>0</v>
      </c>
      <c r="K64" s="615" t="str">
        <f>IF(E64=0,"-",E64/J64)</f>
        <v>-</v>
      </c>
      <c r="L64" s="615"/>
      <c r="P64" s="9"/>
      <c r="Q64" s="9"/>
      <c r="R64" s="9"/>
      <c r="S64" s="11"/>
    </row>
    <row r="66" spans="4:18" x14ac:dyDescent="0.2">
      <c r="Q66" s="48"/>
      <c r="R66" s="49"/>
    </row>
    <row r="67" spans="4:18" x14ac:dyDescent="0.2">
      <c r="Q67" s="48"/>
      <c r="R67" s="49"/>
    </row>
    <row r="68" spans="4:18" ht="27" thickBot="1" x14ac:dyDescent="0.25">
      <c r="D68" s="161" t="s">
        <v>752</v>
      </c>
      <c r="Q68" s="50"/>
      <c r="R68" s="49"/>
    </row>
    <row r="69" spans="4:18" ht="33" thickBot="1" x14ac:dyDescent="0.25">
      <c r="D69" s="130" t="s">
        <v>3</v>
      </c>
      <c r="E69" s="618" t="s">
        <v>15</v>
      </c>
      <c r="F69" s="618"/>
      <c r="G69" s="618" t="s">
        <v>7</v>
      </c>
      <c r="H69" s="618"/>
      <c r="I69" s="618"/>
      <c r="J69" s="130" t="s">
        <v>5</v>
      </c>
      <c r="K69" s="618" t="s">
        <v>6</v>
      </c>
      <c r="L69" s="618"/>
      <c r="Q69" s="48"/>
      <c r="R69" s="49"/>
    </row>
    <row r="70" spans="4:18" ht="34.5" thickBot="1" x14ac:dyDescent="0.25">
      <c r="D70" s="155" t="s">
        <v>119</v>
      </c>
      <c r="E70" s="614">
        <f>SUMIFS('RP5 '!$E$52:$E$59,'RP5 '!$D$52:$D$59,D70)+SUMIFS('RP3 '!$E$50:$E$57,'RP3 '!$D$50:$D$57,D70)</f>
        <v>0</v>
      </c>
      <c r="F70" s="614"/>
      <c r="G70" s="615">
        <f>SUMIFS('RP5 '!$G$52:$G$59,'RP5 '!$D$52:$D$59,D70)+SUMIFS('RP3 '!$G$50:$G$57,'RP3 '!$D$50:$D$57,D70)</f>
        <v>0</v>
      </c>
      <c r="H70" s="615"/>
      <c r="I70" s="615"/>
      <c r="J70" s="156">
        <f>SUMIFS('RP5 '!$J$52:$J$59,'RP5 '!$D$52:$D$59,D70)+SUMIFS('RP3 '!$J$50:$J$57,'RP3 '!$D$50:$D$57,D70)</f>
        <v>0</v>
      </c>
      <c r="K70" s="615" t="str">
        <f>IF(E70=0,"-",E70/J70)</f>
        <v>-</v>
      </c>
      <c r="L70" s="615"/>
      <c r="Q70" s="48"/>
      <c r="R70" s="49"/>
    </row>
    <row r="71" spans="4:18" ht="34.5" thickBot="1" x14ac:dyDescent="0.25">
      <c r="D71" s="155" t="s">
        <v>118</v>
      </c>
      <c r="E71" s="614">
        <f>SUMIFS('RP5 '!$E$52:$E$59,'RP5 '!$D$52:$D$59,D71)+SUMIFS('RP3 '!$E$50:$E$57,'RP3 '!$D$50:$D$57,D71)</f>
        <v>0</v>
      </c>
      <c r="F71" s="614"/>
      <c r="G71" s="615">
        <f>SUMIFS('RP5 '!$G$52:$G$59,'RP5 '!$D$52:$D$59,D71)+SUMIFS('RP3 '!$G$50:$G$57,'RP3 '!$D$50:$D$57,D71)</f>
        <v>0</v>
      </c>
      <c r="H71" s="615"/>
      <c r="I71" s="615"/>
      <c r="J71" s="156">
        <f>SUMIFS('RP5 '!$J$52:$J$59,'RP5 '!$D$52:$D$59,D71)+SUMIFS('RP3 '!$J$50:$J$57,'RP3 '!$D$50:$D$57,D71)</f>
        <v>0</v>
      </c>
      <c r="K71" s="615" t="str">
        <f>IF(E71=0,"-",E71/J71)</f>
        <v>-</v>
      </c>
      <c r="L71" s="615"/>
      <c r="Q71" s="48"/>
      <c r="R71" s="49"/>
    </row>
    <row r="72" spans="4:18" x14ac:dyDescent="0.2">
      <c r="Q72" s="48"/>
      <c r="R72" s="51"/>
    </row>
    <row r="74" spans="4:18" ht="15.75" x14ac:dyDescent="0.2">
      <c r="D74" s="47"/>
      <c r="E74" s="47"/>
      <c r="F74" s="47"/>
      <c r="G74" s="47"/>
      <c r="H74" s="47"/>
      <c r="I74" s="47"/>
      <c r="J74" s="47"/>
      <c r="K74" s="47"/>
    </row>
    <row r="75" spans="4:18" ht="15.75" x14ac:dyDescent="0.2">
      <c r="D75" s="47"/>
      <c r="E75" s="47"/>
      <c r="F75" s="47"/>
      <c r="G75" s="47"/>
      <c r="H75" s="47"/>
      <c r="I75" s="47"/>
      <c r="J75" s="47"/>
      <c r="K75" s="47"/>
    </row>
    <row r="76" spans="4:18" ht="15.75" x14ac:dyDescent="0.2">
      <c r="D76" s="47"/>
      <c r="E76" s="47"/>
      <c r="F76" s="47"/>
      <c r="G76" s="47"/>
      <c r="H76" s="47"/>
      <c r="I76" s="47"/>
      <c r="J76" s="47"/>
      <c r="K76" s="47"/>
    </row>
    <row r="77" spans="4:18" ht="15.75" x14ac:dyDescent="0.2">
      <c r="D77" s="47"/>
      <c r="E77" s="47"/>
      <c r="F77" s="47"/>
      <c r="G77" s="47"/>
      <c r="H77" s="47"/>
      <c r="I77" s="47"/>
      <c r="J77" s="47"/>
      <c r="K77" s="47"/>
    </row>
    <row r="78" spans="4:18" ht="15.75" x14ac:dyDescent="0.2">
      <c r="D78" s="47"/>
      <c r="E78" s="47"/>
      <c r="F78" s="47"/>
      <c r="G78" s="47"/>
      <c r="H78" s="47"/>
      <c r="I78" s="47"/>
      <c r="J78" s="47"/>
      <c r="K78" s="47"/>
    </row>
    <row r="84" spans="2:4" x14ac:dyDescent="0.2">
      <c r="B84" s="54" t="s">
        <v>126</v>
      </c>
      <c r="C84" s="54" t="s">
        <v>13</v>
      </c>
      <c r="D84" s="54" t="s">
        <v>114</v>
      </c>
    </row>
    <row r="85" spans="2:4" ht="18" hidden="1" x14ac:dyDescent="0.2">
      <c r="B85" s="71" t="s">
        <v>116</v>
      </c>
      <c r="C85" s="52" t="s">
        <v>34</v>
      </c>
      <c r="D85" s="53">
        <v>0.62</v>
      </c>
    </row>
    <row r="86" spans="2:4" ht="18" hidden="1" x14ac:dyDescent="0.2">
      <c r="B86" s="71" t="s">
        <v>116</v>
      </c>
      <c r="C86" s="52" t="s">
        <v>35</v>
      </c>
      <c r="D86" s="53">
        <v>0.57999999999999996</v>
      </c>
    </row>
    <row r="87" spans="2:4" ht="18" hidden="1" x14ac:dyDescent="0.2">
      <c r="B87" s="71" t="s">
        <v>116</v>
      </c>
      <c r="C87" s="52" t="s">
        <v>26</v>
      </c>
      <c r="D87" s="53">
        <v>0.8</v>
      </c>
    </row>
    <row r="88" spans="2:4" ht="18" hidden="1" x14ac:dyDescent="0.2">
      <c r="B88" s="71" t="s">
        <v>116</v>
      </c>
      <c r="C88" s="52" t="s">
        <v>30</v>
      </c>
      <c r="D88" s="53">
        <v>0.79</v>
      </c>
    </row>
    <row r="89" spans="2:4" ht="18" hidden="1" x14ac:dyDescent="0.2">
      <c r="B89" s="71" t="s">
        <v>116</v>
      </c>
      <c r="C89" s="52" t="s">
        <v>33</v>
      </c>
      <c r="D89" s="53">
        <v>0.78</v>
      </c>
    </row>
    <row r="90" spans="2:4" ht="18" hidden="1" x14ac:dyDescent="0.2">
      <c r="B90" s="71" t="s">
        <v>116</v>
      </c>
      <c r="C90" s="52" t="s">
        <v>36</v>
      </c>
      <c r="D90" s="53">
        <v>0.55000000000000004</v>
      </c>
    </row>
    <row r="91" spans="2:4" ht="18" hidden="1" x14ac:dyDescent="0.2">
      <c r="B91" s="71" t="s">
        <v>116</v>
      </c>
      <c r="C91" s="52" t="s">
        <v>22</v>
      </c>
      <c r="D91" s="53">
        <v>0.82</v>
      </c>
    </row>
    <row r="92" spans="2:4" ht="18" hidden="1" x14ac:dyDescent="0.2">
      <c r="B92" s="71" t="s">
        <v>120</v>
      </c>
      <c r="C92" s="52" t="s">
        <v>109</v>
      </c>
      <c r="D92" s="53">
        <v>0.4</v>
      </c>
    </row>
    <row r="93" spans="2:4" ht="18" x14ac:dyDescent="0.2">
      <c r="B93" s="71" t="s">
        <v>118</v>
      </c>
      <c r="C93" s="381" t="s">
        <v>110</v>
      </c>
      <c r="D93" s="379">
        <v>0.85</v>
      </c>
    </row>
    <row r="94" spans="2:4" ht="18" x14ac:dyDescent="0.2">
      <c r="B94" s="71" t="s">
        <v>118</v>
      </c>
      <c r="C94" s="381" t="s">
        <v>543</v>
      </c>
      <c r="D94" s="379">
        <v>0.84</v>
      </c>
    </row>
    <row r="95" spans="2:4" ht="18" x14ac:dyDescent="0.2">
      <c r="B95" s="71" t="s">
        <v>118</v>
      </c>
      <c r="C95" s="381" t="s">
        <v>111</v>
      </c>
      <c r="D95" s="379">
        <v>0.85</v>
      </c>
    </row>
    <row r="96" spans="2:4" ht="18" x14ac:dyDescent="0.2">
      <c r="B96" s="71" t="s">
        <v>118</v>
      </c>
      <c r="C96" s="381" t="s">
        <v>128</v>
      </c>
      <c r="D96" s="379">
        <v>0.85</v>
      </c>
    </row>
    <row r="97" spans="2:4" ht="18" x14ac:dyDescent="0.2">
      <c r="B97" s="71" t="s">
        <v>118</v>
      </c>
      <c r="C97" s="381" t="s">
        <v>112</v>
      </c>
      <c r="D97" s="379">
        <v>0.85</v>
      </c>
    </row>
    <row r="98" spans="2:4" ht="18" x14ac:dyDescent="0.2">
      <c r="B98" s="71" t="s">
        <v>118</v>
      </c>
      <c r="C98" s="381" t="s">
        <v>113</v>
      </c>
      <c r="D98" s="379">
        <v>0.85</v>
      </c>
    </row>
    <row r="99" spans="2:4" ht="18" x14ac:dyDescent="0.2">
      <c r="B99" s="71" t="s">
        <v>118</v>
      </c>
      <c r="C99" s="381" t="s">
        <v>127</v>
      </c>
      <c r="D99" s="379">
        <v>0.83</v>
      </c>
    </row>
    <row r="100" spans="2:4" ht="18" x14ac:dyDescent="0.2">
      <c r="B100" s="71" t="s">
        <v>118</v>
      </c>
      <c r="C100" s="381" t="s">
        <v>790</v>
      </c>
      <c r="D100" s="379">
        <v>0.84</v>
      </c>
    </row>
    <row r="101" spans="2:4" ht="18" x14ac:dyDescent="0.2">
      <c r="B101" s="71" t="s">
        <v>118</v>
      </c>
      <c r="C101" s="381" t="s">
        <v>35</v>
      </c>
      <c r="D101" s="379">
        <v>0.74</v>
      </c>
    </row>
    <row r="102" spans="2:4" ht="18" x14ac:dyDescent="0.2">
      <c r="B102" s="71" t="s">
        <v>118</v>
      </c>
      <c r="C102" s="381" t="s">
        <v>34</v>
      </c>
      <c r="D102" s="379">
        <v>0.78</v>
      </c>
    </row>
    <row r="103" spans="2:4" ht="18" x14ac:dyDescent="0.2">
      <c r="B103" s="71" t="s">
        <v>118</v>
      </c>
      <c r="C103" s="381" t="s">
        <v>36</v>
      </c>
      <c r="D103" s="379">
        <v>0.71</v>
      </c>
    </row>
    <row r="104" spans="2:4" ht="18" x14ac:dyDescent="0.2">
      <c r="B104" s="71" t="s">
        <v>118</v>
      </c>
      <c r="C104" s="381" t="s">
        <v>544</v>
      </c>
      <c r="D104" s="380">
        <v>0.83</v>
      </c>
    </row>
    <row r="105" spans="2:4" ht="18" x14ac:dyDescent="0.2">
      <c r="B105" s="72" t="s">
        <v>118</v>
      </c>
      <c r="C105" s="382" t="s">
        <v>26</v>
      </c>
      <c r="D105" s="380">
        <v>0.76</v>
      </c>
    </row>
    <row r="106" spans="2:4" ht="18" x14ac:dyDescent="0.2">
      <c r="B106" s="72" t="s">
        <v>118</v>
      </c>
      <c r="C106" s="382" t="s">
        <v>30</v>
      </c>
      <c r="D106" s="380">
        <v>0.79</v>
      </c>
    </row>
    <row r="107" spans="2:4" ht="18" x14ac:dyDescent="0.2">
      <c r="B107" s="72" t="s">
        <v>118</v>
      </c>
      <c r="C107" s="382" t="s">
        <v>33</v>
      </c>
      <c r="D107" s="380">
        <v>0.8</v>
      </c>
    </row>
    <row r="108" spans="2:4" ht="18" hidden="1" x14ac:dyDescent="0.2">
      <c r="B108" s="72" t="s">
        <v>117</v>
      </c>
      <c r="C108" s="382" t="s">
        <v>34</v>
      </c>
      <c r="D108" s="380">
        <v>0.67</v>
      </c>
    </row>
    <row r="109" spans="2:4" ht="18" hidden="1" x14ac:dyDescent="0.2">
      <c r="B109" s="72" t="s">
        <v>117</v>
      </c>
      <c r="C109" s="382" t="s">
        <v>35</v>
      </c>
      <c r="D109" s="380">
        <v>0.56000000000000005</v>
      </c>
    </row>
    <row r="110" spans="2:4" ht="18" hidden="1" x14ac:dyDescent="0.2">
      <c r="B110" s="72" t="s">
        <v>117</v>
      </c>
      <c r="C110" s="382" t="s">
        <v>30</v>
      </c>
      <c r="D110" s="380">
        <v>0.71</v>
      </c>
    </row>
    <row r="111" spans="2:4" ht="18" hidden="1" x14ac:dyDescent="0.2">
      <c r="B111" s="72" t="s">
        <v>117</v>
      </c>
      <c r="C111" s="382" t="s">
        <v>33</v>
      </c>
      <c r="D111" s="380">
        <v>0.69</v>
      </c>
    </row>
    <row r="112" spans="2:4" ht="18" hidden="1" x14ac:dyDescent="0.2">
      <c r="B112" s="72" t="s">
        <v>117</v>
      </c>
      <c r="C112" s="382" t="s">
        <v>36</v>
      </c>
      <c r="D112" s="380">
        <v>0.34</v>
      </c>
    </row>
    <row r="113" spans="2:4" ht="18" x14ac:dyDescent="0.2">
      <c r="B113" s="72" t="s">
        <v>119</v>
      </c>
      <c r="C113" s="382" t="s">
        <v>34</v>
      </c>
      <c r="D113" s="380">
        <v>0.6</v>
      </c>
    </row>
    <row r="114" spans="2:4" ht="18" x14ac:dyDescent="0.2">
      <c r="B114" s="72" t="s">
        <v>119</v>
      </c>
      <c r="C114" s="382" t="s">
        <v>35</v>
      </c>
      <c r="D114" s="380">
        <v>0.56000000000000005</v>
      </c>
    </row>
    <row r="115" spans="2:4" ht="18" x14ac:dyDescent="0.2">
      <c r="B115" s="72" t="s">
        <v>119</v>
      </c>
      <c r="C115" s="382" t="s">
        <v>26</v>
      </c>
      <c r="D115" s="380">
        <v>0.64</v>
      </c>
    </row>
    <row r="116" spans="2:4" ht="18" x14ac:dyDescent="0.2">
      <c r="B116" s="72" t="s">
        <v>119</v>
      </c>
      <c r="C116" s="382" t="s">
        <v>30</v>
      </c>
      <c r="D116" s="380">
        <v>0.64</v>
      </c>
    </row>
    <row r="117" spans="2:4" ht="18" x14ac:dyDescent="0.2">
      <c r="B117" s="72" t="s">
        <v>119</v>
      </c>
      <c r="C117" s="382" t="s">
        <v>33</v>
      </c>
      <c r="D117" s="380">
        <v>0.64</v>
      </c>
    </row>
    <row r="118" spans="2:4" ht="18" x14ac:dyDescent="0.2">
      <c r="B118" s="72" t="s">
        <v>119</v>
      </c>
      <c r="C118" s="382" t="s">
        <v>36</v>
      </c>
      <c r="D118" s="380">
        <v>0.49</v>
      </c>
    </row>
    <row r="119" spans="2:4" ht="18" x14ac:dyDescent="0.2">
      <c r="B119" s="72"/>
      <c r="C119" s="73"/>
      <c r="D119" s="74"/>
    </row>
  </sheetData>
  <protectedRanges>
    <protectedRange algorithmName="SHA-512" hashValue="P/yBCkoENL7BcImMMAkj5YiW/fU2bv4+HrqTJyTLhZc+tLIHZUOo3TnSNfKmCaWOlVO90E8/LT2Arbw14yz8BQ==" saltValue="4qt0fzriDCL3Y84KEqgMxQ==" spinCount="100000" sqref="Q15 G49:J49 P18:R49 B45:F49 G44:I48 G36 L31:L49 E37:I43 E44:F44 B52:D59 E33:I34 C33:C44 E35:F36 H35:I36 D18:E19 C17:C19 F17:F19 G18:G21 C20:F21 H17:I21 L19:L27 N18:N49 C22:I32" name="Plage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3 D70" name="Plage1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4 D71" name="Plage1_6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9:J48 J19:J27" name="Plage1_2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D69" name="Plage1_4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P17:R17" name="Plage1_5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L29:L30" name="Plage1_14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G35" name="Plage1_9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18:B44" name="Plage1_10_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N17" name="Plage1_13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18" name="Plage1_7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8" name="Plage1_2_3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17" name="Plage1_10_1_2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L28" name="Plage1_8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8" name="Plage1_2_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G17" name="Plage1_1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E17" name="Plage1_1_1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L17" name="Plage1_16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7" name="Plage1_2_7" securityDescriptor="O:WDG:WDD:(A;;CC;;;S-1-5-21-3126896699-2736327119-1644971827-159763)"/>
  </protectedRanges>
  <mergeCells count="143">
    <mergeCell ref="H44:I44"/>
    <mergeCell ref="B64:C64"/>
    <mergeCell ref="E64:F64"/>
    <mergeCell ref="G64:I64"/>
    <mergeCell ref="K64:L64"/>
    <mergeCell ref="B62:C62"/>
    <mergeCell ref="E62:F62"/>
    <mergeCell ref="G62:I62"/>
    <mergeCell ref="K62:L62"/>
    <mergeCell ref="B63:C63"/>
    <mergeCell ref="E63:F63"/>
    <mergeCell ref="G63:I63"/>
    <mergeCell ref="K63:L63"/>
    <mergeCell ref="B58:C58"/>
    <mergeCell ref="E58:F58"/>
    <mergeCell ref="G58:I58"/>
    <mergeCell ref="K58:L58"/>
    <mergeCell ref="B59:C59"/>
    <mergeCell ref="E59:F59"/>
    <mergeCell ref="G59:I59"/>
    <mergeCell ref="K59:L59"/>
    <mergeCell ref="B54:C54"/>
    <mergeCell ref="E54:F54"/>
    <mergeCell ref="G54:I54"/>
    <mergeCell ref="O55:R55"/>
    <mergeCell ref="B56:C56"/>
    <mergeCell ref="E56:F56"/>
    <mergeCell ref="G56:I56"/>
    <mergeCell ref="K56:L56"/>
    <mergeCell ref="B57:C57"/>
    <mergeCell ref="E57:F57"/>
    <mergeCell ref="G57:I57"/>
    <mergeCell ref="K57:L57"/>
    <mergeCell ref="K54:L54"/>
    <mergeCell ref="B55:C55"/>
    <mergeCell ref="E55:F55"/>
    <mergeCell ref="G55:I55"/>
    <mergeCell ref="K55:L55"/>
    <mergeCell ref="B52:C52"/>
    <mergeCell ref="E52:F52"/>
    <mergeCell ref="G52:I52"/>
    <mergeCell ref="K52:L52"/>
    <mergeCell ref="B53:C53"/>
    <mergeCell ref="E53:F53"/>
    <mergeCell ref="G53:I53"/>
    <mergeCell ref="K53:L53"/>
    <mergeCell ref="H49:I49"/>
    <mergeCell ref="P49:R49"/>
    <mergeCell ref="H50:I50"/>
    <mergeCell ref="B51:C51"/>
    <mergeCell ref="E51:F51"/>
    <mergeCell ref="G51:I51"/>
    <mergeCell ref="K51:L51"/>
    <mergeCell ref="H45:I45"/>
    <mergeCell ref="P45:R45"/>
    <mergeCell ref="H46:I46"/>
    <mergeCell ref="P46:R46"/>
    <mergeCell ref="H48:I48"/>
    <mergeCell ref="P48:R48"/>
    <mergeCell ref="P47:R47"/>
    <mergeCell ref="H47:I47"/>
    <mergeCell ref="H41:I41"/>
    <mergeCell ref="P41:R41"/>
    <mergeCell ref="H42:I42"/>
    <mergeCell ref="P42:R42"/>
    <mergeCell ref="H43:I43"/>
    <mergeCell ref="P43:R43"/>
    <mergeCell ref="H38:I38"/>
    <mergeCell ref="P38:R38"/>
    <mergeCell ref="H39:I39"/>
    <mergeCell ref="P39:R39"/>
    <mergeCell ref="H40:I40"/>
    <mergeCell ref="P40:R40"/>
    <mergeCell ref="H28:I28"/>
    <mergeCell ref="H30:I30"/>
    <mergeCell ref="H35:I35"/>
    <mergeCell ref="P35:R35"/>
    <mergeCell ref="H36:I36"/>
    <mergeCell ref="P36:R36"/>
    <mergeCell ref="H37:I37"/>
    <mergeCell ref="P37:R37"/>
    <mergeCell ref="H32:I32"/>
    <mergeCell ref="P32:R32"/>
    <mergeCell ref="H33:I33"/>
    <mergeCell ref="P33:R33"/>
    <mergeCell ref="H34:I34"/>
    <mergeCell ref="P34:R34"/>
    <mergeCell ref="H29:I29"/>
    <mergeCell ref="P29:R29"/>
    <mergeCell ref="P26:R26"/>
    <mergeCell ref="P22:R22"/>
    <mergeCell ref="P23:R23"/>
    <mergeCell ref="H26:I26"/>
    <mergeCell ref="H23:I23"/>
    <mergeCell ref="H24:I24"/>
    <mergeCell ref="H25:I25"/>
    <mergeCell ref="H27:I27"/>
    <mergeCell ref="P27:R27"/>
    <mergeCell ref="H22:I22"/>
    <mergeCell ref="C2:D3"/>
    <mergeCell ref="C4:D5"/>
    <mergeCell ref="F6:G6"/>
    <mergeCell ref="I6:J6"/>
    <mergeCell ref="K6:L6"/>
    <mergeCell ref="M6:O6"/>
    <mergeCell ref="B13:R14"/>
    <mergeCell ref="Q15:R15"/>
    <mergeCell ref="H16:I16"/>
    <mergeCell ref="P16:R16"/>
    <mergeCell ref="Q6:R6"/>
    <mergeCell ref="E71:F71"/>
    <mergeCell ref="G71:I71"/>
    <mergeCell ref="K71:L71"/>
    <mergeCell ref="B8:C9"/>
    <mergeCell ref="E8:R8"/>
    <mergeCell ref="E9:R9"/>
    <mergeCell ref="B10:C10"/>
    <mergeCell ref="F10:Q10"/>
    <mergeCell ref="P21:R21"/>
    <mergeCell ref="H21:I21"/>
    <mergeCell ref="H18:I18"/>
    <mergeCell ref="P18:R18"/>
    <mergeCell ref="H19:I19"/>
    <mergeCell ref="P19:R19"/>
    <mergeCell ref="H20:I20"/>
    <mergeCell ref="P20:R20"/>
    <mergeCell ref="H17:I17"/>
    <mergeCell ref="P28:R28"/>
    <mergeCell ref="P30:R30"/>
    <mergeCell ref="H31:I31"/>
    <mergeCell ref="P31:R31"/>
    <mergeCell ref="P24:R24"/>
    <mergeCell ref="P25:R25"/>
    <mergeCell ref="B60:D60"/>
    <mergeCell ref="E60:F60"/>
    <mergeCell ref="G60:I60"/>
    <mergeCell ref="K60:L60"/>
    <mergeCell ref="E69:F69"/>
    <mergeCell ref="G69:I69"/>
    <mergeCell ref="K69:L69"/>
    <mergeCell ref="E70:F70"/>
    <mergeCell ref="G70:I70"/>
    <mergeCell ref="K70:L70"/>
  </mergeCells>
  <dataValidations count="2">
    <dataValidation type="list" allowBlank="1" showInputMessage="1" showErrorMessage="1" sqref="B63:C64">
      <formula1>$A$2:$A$15</formula1>
    </dataValidation>
    <dataValidation type="list" allowBlank="1" showInputMessage="1" showErrorMessage="1" sqref="D63:D64 D70:D71">
      <formula1>$A$2:$A$10</formula1>
    </dataValidation>
  </dataValidations>
  <printOptions horizontalCentered="1" verticalCentered="1"/>
  <pageMargins left="0" right="0.19685039370078741" top="0" bottom="0" header="0" footer="0"/>
  <pageSetup paperSize="9" scale="33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06" operator="equal" id="{A870E1F4-BD60-4CF8-B8F2-D1F45EA886EF}">
            <xm:f>QUALITE!$A$18</xm:f>
            <x14:dxf>
              <font>
                <color rgb="FFFF0000"/>
              </font>
            </x14:dxf>
          </x14:cfRule>
          <x14:cfRule type="cellIs" priority="1107" operator="equal" id="{29637835-A8DA-4A5A-A287-0E15A5E64CAA}">
            <xm:f>QUALITE!$A$17</xm:f>
            <x14:dxf>
              <font>
                <color rgb="FF00B0F0"/>
              </font>
            </x14:dxf>
          </x14:cfRule>
          <x14:cfRule type="cellIs" priority="1108" operator="equal" id="{D9409ACF-73B9-4A47-8D55-5FA0CD3DF20F}">
            <xm:f>QUALITE!$A$16</xm:f>
            <x14:dxf>
              <font>
                <color theme="2" tint="-0.499984740745262"/>
              </font>
            </x14:dxf>
          </x14:cfRule>
          <x14:cfRule type="cellIs" priority="1109" operator="equal" id="{14230F70-5198-4C0B-9E2D-5D77E1635378}">
            <xm:f>QUALITE!$A$15</xm:f>
            <x14:dxf>
              <font>
                <color theme="2" tint="-0.499984740745262"/>
              </font>
            </x14:dxf>
          </x14:cfRule>
          <x14:cfRule type="cellIs" priority="1110" operator="equal" id="{188304E1-19D7-4D9A-B72B-5C1157A6B57E}">
            <xm:f>QUALITE!$A$14</xm:f>
            <x14:dxf>
              <font>
                <color rgb="FFFF0000"/>
              </font>
            </x14:dxf>
          </x14:cfRule>
          <x14:cfRule type="cellIs" priority="1111" operator="equal" id="{CFEFBCB8-F191-4D59-8230-9431414328F6}">
            <xm:f>QUALITE!$A$13</xm:f>
            <x14:dxf>
              <font>
                <color rgb="FFFF0000"/>
              </font>
            </x14:dxf>
          </x14:cfRule>
          <x14:cfRule type="cellIs" priority="1112" operator="equal" id="{B4103E46-5295-4F24-8A13-210A45B5622E}">
            <xm:f>QUALITE!$A$12</xm:f>
            <x14:dxf>
              <font>
                <color rgb="FF00B050"/>
              </font>
            </x14:dxf>
          </x14:cfRule>
          <x14:cfRule type="cellIs" priority="1113" operator="equal" id="{8964A952-3DBB-4570-8BD9-49B4BC5ECC59}">
            <xm:f>QUALITE!$A$11</xm:f>
            <x14:dxf>
              <font>
                <color rgb="FF0070C0"/>
              </font>
            </x14:dxf>
          </x14:cfRule>
          <x14:cfRule type="cellIs" priority="1114" operator="equal" id="{53AE3DD9-5E54-481D-96D2-151B5CEB35EF}">
            <xm:f>QUALITE!$A$10</xm:f>
            <x14:dxf>
              <font>
                <color rgb="FF00B0F0"/>
              </font>
            </x14:dxf>
          </x14:cfRule>
          <x14:cfRule type="cellIs" priority="1115" operator="equal" id="{20E5B96A-09CC-4E75-9DBF-AD7CA3DCBA7E}">
            <xm:f>QUALITE!$A$9</xm:f>
            <x14:dxf>
              <font>
                <color theme="2" tint="-0.499984740745262"/>
              </font>
            </x14:dxf>
          </x14:cfRule>
          <x14:cfRule type="cellIs" priority="1116" operator="equal" id="{78B63E94-4515-49D5-A65B-38BD6D4584F0}">
            <xm:f>QUALITE!$A$8</xm:f>
            <x14:dxf>
              <font>
                <color rgb="FFC00000"/>
              </font>
            </x14:dxf>
          </x14:cfRule>
          <x14:cfRule type="cellIs" priority="1117" operator="equal" id="{7A1C055D-B1FC-43D8-9610-B67A2163041D}">
            <xm:f>QUALITE!$A$7</xm:f>
            <x14:dxf>
              <font>
                <color auto="1"/>
              </font>
            </x14:dxf>
          </x14:cfRule>
          <x14:cfRule type="cellIs" priority="1118" operator="equal" id="{A413D9FA-F884-4A04-99C1-4DFE1CF8CC51}">
            <xm:f>QUALITE!$A$6</xm:f>
            <x14:dxf>
              <font>
                <color rgb="FF00B050"/>
              </font>
            </x14:dxf>
          </x14:cfRule>
          <x14:cfRule type="cellIs" priority="1119" operator="equal" id="{9C65B841-CE8E-4885-AC53-BE39265812AD}">
            <xm:f>QUALITE!$A$5</xm:f>
            <x14:dxf>
              <font>
                <color rgb="FFFF0000"/>
              </font>
            </x14:dxf>
          </x14:cfRule>
          <x14:cfRule type="cellIs" priority="1120" operator="equal" id="{FA3FA239-E0AE-41A2-B45D-7E1D22DC1D89}">
            <xm:f>QUALITE!$A$4</xm:f>
            <x14:dxf>
              <font>
                <color rgb="FFFF0000"/>
              </font>
            </x14:dxf>
          </x14:cfRule>
          <x14:cfRule type="cellIs" priority="1121" operator="equal" id="{29202E95-53F3-40F4-82F5-B248482AD850}">
            <xm:f>QUALITE!$A$3</xm:f>
            <x14:dxf>
              <font>
                <color rgb="FF0070C0"/>
              </font>
            </x14:dxf>
          </x14:cfRule>
          <x14:cfRule type="cellIs" priority="1122" operator="equal" id="{ECA4C97C-9EA1-49EE-BFBC-6BBCD2134B39}">
            <xm:f>QUALITE!$A$2</xm:f>
            <x14:dxf>
              <font>
                <color rgb="FF00B0F0"/>
              </font>
            </x14:dxf>
          </x14:cfRule>
          <xm:sqref>B52:B59</xm:sqref>
        </x14:conditionalFormatting>
        <x14:conditionalFormatting xmlns:xm="http://schemas.microsoft.com/office/excel/2006/main">
          <x14:cfRule type="cellIs" priority="1089" operator="equal" id="{26DC5E0B-E9A0-4F81-AA89-BB310964D16F}">
            <xm:f>QUALITE!$A$18</xm:f>
            <x14:dxf>
              <font>
                <color rgb="FFFF0000"/>
              </font>
            </x14:dxf>
          </x14:cfRule>
          <x14:cfRule type="cellIs" priority="1090" operator="equal" id="{AAA0E1ED-D204-4793-8A35-A190EAFA39B9}">
            <xm:f>QUALITE!$A$17</xm:f>
            <x14:dxf>
              <font>
                <color rgb="FF00B0F0"/>
              </font>
            </x14:dxf>
          </x14:cfRule>
          <x14:cfRule type="cellIs" priority="1091" operator="equal" id="{8DF18AFE-55C0-45EB-8610-14BAD30F8576}">
            <xm:f>QUALITE!$A$16</xm:f>
            <x14:dxf>
              <font>
                <color theme="2" tint="-0.749961851863155"/>
              </font>
            </x14:dxf>
          </x14:cfRule>
          <x14:cfRule type="cellIs" priority="1092" operator="equal" id="{8FE5DDF9-8A5F-4F27-996D-817984235C3D}">
            <xm:f>QUALITE!$A$15</xm:f>
            <x14:dxf>
              <font>
                <color theme="2" tint="-0.499984740745262"/>
              </font>
            </x14:dxf>
          </x14:cfRule>
          <x14:cfRule type="cellIs" priority="1093" operator="equal" id="{13A97A2C-B64D-438A-9AB9-7D0017061DE6}">
            <xm:f>QUALITE!$A$14</xm:f>
            <x14:dxf>
              <font>
                <color rgb="FFFF0000"/>
              </font>
            </x14:dxf>
          </x14:cfRule>
          <x14:cfRule type="cellIs" priority="1094" operator="equal" id="{D5453919-3192-4B3F-BD93-96B95942961D}">
            <xm:f>QUALITE!$A$13</xm:f>
            <x14:dxf>
              <font>
                <color rgb="FFFF0000"/>
              </font>
            </x14:dxf>
          </x14:cfRule>
          <x14:cfRule type="cellIs" priority="1095" operator="equal" id="{2DDFA48C-34FE-471C-99BD-45213A4F2D2E}">
            <xm:f>QUALITE!$A$12</xm:f>
            <x14:dxf>
              <font>
                <color rgb="FF00B050"/>
              </font>
            </x14:dxf>
          </x14:cfRule>
          <x14:cfRule type="cellIs" priority="1096" operator="equal" id="{B92C767A-B1EE-4ACC-895D-EF09D8841CA9}">
            <xm:f>QUALITE!$A$11</xm:f>
            <x14:dxf>
              <font>
                <color rgb="FF0070C0"/>
              </font>
            </x14:dxf>
          </x14:cfRule>
          <x14:cfRule type="cellIs" priority="1097" operator="equal" id="{8E727193-F1A1-420E-805F-DC7D3CA996A1}">
            <xm:f>QUALITE!$A$10</xm:f>
            <x14:dxf>
              <font>
                <color rgb="FF00B0F0"/>
              </font>
            </x14:dxf>
          </x14:cfRule>
          <x14:cfRule type="cellIs" priority="1098" operator="equal" id="{BC730B28-F264-4B44-BB88-1BC6B1111863}">
            <xm:f>QUALITE!$A$9</xm:f>
            <x14:dxf>
              <font>
                <color theme="2" tint="-0.499984740745262"/>
              </font>
            </x14:dxf>
          </x14:cfRule>
          <x14:cfRule type="cellIs" priority="1099" operator="equal" id="{DFD785B4-0439-4FF4-8538-3B7CFF89F284}">
            <xm:f>QUALITE!$A$8</xm:f>
            <x14:dxf>
              <font>
                <color rgb="FFC00000"/>
              </font>
            </x14:dxf>
          </x14:cfRule>
          <x14:cfRule type="cellIs" priority="1100" operator="equal" id="{1147B071-2A71-46BC-9A3E-3881B7EC994F}">
            <xm:f>QUALITE!$A$7</xm:f>
            <x14:dxf>
              <font>
                <color theme="2" tint="-0.499984740745262"/>
              </font>
            </x14:dxf>
          </x14:cfRule>
          <x14:cfRule type="cellIs" priority="1101" operator="equal" id="{9E4751CC-0BFF-4EA5-ACFC-5ACDDABD97C3}">
            <xm:f>QUALITE!$A$6</xm:f>
            <x14:dxf>
              <font>
                <color rgb="FF00B050"/>
              </font>
            </x14:dxf>
          </x14:cfRule>
          <x14:cfRule type="cellIs" priority="1102" operator="equal" id="{13C65FCE-EFF6-4775-9AAC-6EE41DA5DE62}">
            <xm:f>QUALITE!$A$5</xm:f>
            <x14:dxf>
              <font>
                <color rgb="FFFF0000"/>
              </font>
            </x14:dxf>
          </x14:cfRule>
          <x14:cfRule type="cellIs" priority="1103" operator="equal" id="{D0BDB9FD-284A-4FFD-B4AB-72162D818B0B}">
            <xm:f>QUALITE!$A$4</xm:f>
            <x14:dxf>
              <font>
                <color rgb="FFFF0000"/>
              </font>
            </x14:dxf>
          </x14:cfRule>
          <x14:cfRule type="cellIs" priority="1104" operator="equal" id="{DD45C70A-260C-4525-A95B-8530A1D7F06C}">
            <xm:f>QUALITE!$A$3</xm:f>
            <x14:dxf>
              <font>
                <color rgb="FF0070C0"/>
              </font>
            </x14:dxf>
          </x14:cfRule>
          <x14:cfRule type="cellIs" priority="1105" operator="equal" id="{E852D8AE-FDC9-42B6-8915-747805696FEE}">
            <xm:f>QUALITE!$A$2</xm:f>
            <x14:dxf>
              <font>
                <color rgb="FF00B0F0"/>
              </font>
            </x14:dxf>
          </x14:cfRule>
          <xm:sqref>C17:C49</xm:sqref>
        </x14:conditionalFormatting>
        <x14:conditionalFormatting xmlns:xm="http://schemas.microsoft.com/office/excel/2006/main">
          <x14:cfRule type="cellIs" priority="970" operator="equal" id="{9449B98B-8297-4CA8-AEB6-ACD31E640D3A}">
            <xm:f>QUALITE!$A$18</xm:f>
            <x14:dxf>
              <font>
                <color rgb="FFFF0000"/>
              </font>
            </x14:dxf>
          </x14:cfRule>
          <x14:cfRule type="cellIs" priority="971" operator="equal" id="{128D852C-5528-4D3B-9326-FDC823FB8A86}">
            <xm:f>QUALITE!$A$17</xm:f>
            <x14:dxf>
              <font>
                <color rgb="FF00B0F0"/>
              </font>
            </x14:dxf>
          </x14:cfRule>
          <x14:cfRule type="cellIs" priority="972" operator="equal" id="{942E5C8E-1B3D-4CEF-AE30-9667E4C1BAA9}">
            <xm:f>QUALITE!$A$16</xm:f>
            <x14:dxf>
              <font>
                <color theme="2" tint="-0.749961851863155"/>
              </font>
            </x14:dxf>
          </x14:cfRule>
          <x14:cfRule type="cellIs" priority="973" operator="equal" id="{1A308943-4772-41E3-8042-603EBA9E723C}">
            <xm:f>QUALITE!$A$15</xm:f>
            <x14:dxf>
              <font>
                <color theme="2" tint="-0.499984740745262"/>
              </font>
            </x14:dxf>
          </x14:cfRule>
          <x14:cfRule type="cellIs" priority="974" operator="equal" id="{2F710D40-724C-4686-B97A-29826979C7CF}">
            <xm:f>QUALITE!$A$14</xm:f>
            <x14:dxf>
              <font>
                <color rgb="FFFF0000"/>
              </font>
            </x14:dxf>
          </x14:cfRule>
          <x14:cfRule type="cellIs" priority="975" operator="equal" id="{C1039C2D-5EAD-4B60-B0AF-D98028D3BF84}">
            <xm:f>QUALITE!$A$13</xm:f>
            <x14:dxf>
              <font>
                <color rgb="FFFF0000"/>
              </font>
            </x14:dxf>
          </x14:cfRule>
          <x14:cfRule type="cellIs" priority="976" operator="equal" id="{DFAE67B2-51FB-414F-AA46-095814A53882}">
            <xm:f>QUALITE!$A$12</xm:f>
            <x14:dxf>
              <font>
                <color rgb="FF00B050"/>
              </font>
            </x14:dxf>
          </x14:cfRule>
          <x14:cfRule type="cellIs" priority="977" operator="equal" id="{A51A1C1B-AC69-42C6-A95B-7EF30175BDBA}">
            <xm:f>QUALITE!$A$11</xm:f>
            <x14:dxf>
              <font>
                <color rgb="FF0070C0"/>
              </font>
            </x14:dxf>
          </x14:cfRule>
          <x14:cfRule type="cellIs" priority="978" operator="equal" id="{B18E7B98-4226-41BC-B3D6-FDD1D1B2E626}">
            <xm:f>QUALITE!$A$10</xm:f>
            <x14:dxf>
              <font>
                <color rgb="FF00B0F0"/>
              </font>
            </x14:dxf>
          </x14:cfRule>
          <x14:cfRule type="cellIs" priority="979" operator="equal" id="{F790DA04-76AE-43D0-9E09-DF3EEA683351}">
            <xm:f>QUALITE!$A$9</xm:f>
            <x14:dxf>
              <font>
                <color theme="2" tint="-0.499984740745262"/>
              </font>
            </x14:dxf>
          </x14:cfRule>
          <x14:cfRule type="cellIs" priority="980" operator="equal" id="{FC208A90-7028-4CEB-84E7-A523FFA3BD34}">
            <xm:f>QUALITE!$A$8</xm:f>
            <x14:dxf>
              <font>
                <color rgb="FFC00000"/>
              </font>
            </x14:dxf>
          </x14:cfRule>
          <x14:cfRule type="cellIs" priority="981" operator="equal" id="{8EFCBCCB-7D8A-4406-B765-DC0723A9126C}">
            <xm:f>QUALITE!$A$7</xm:f>
            <x14:dxf>
              <font>
                <color theme="2" tint="-0.499984740745262"/>
              </font>
            </x14:dxf>
          </x14:cfRule>
          <x14:cfRule type="cellIs" priority="982" operator="equal" id="{E37A0F59-236D-4E81-9CDF-41FB2FB893D6}">
            <xm:f>QUALITE!$A$6</xm:f>
            <x14:dxf>
              <font>
                <color rgb="FF00B050"/>
              </font>
            </x14:dxf>
          </x14:cfRule>
          <x14:cfRule type="cellIs" priority="983" operator="equal" id="{2AA269D2-0C88-48F3-8438-B14560B3D733}">
            <xm:f>QUALITE!$A$5</xm:f>
            <x14:dxf>
              <font>
                <color rgb="FFFF0000"/>
              </font>
            </x14:dxf>
          </x14:cfRule>
          <x14:cfRule type="cellIs" priority="984" operator="equal" id="{440418EF-050D-46DD-9F21-AB5981479C3E}">
            <xm:f>QUALITE!$A$4</xm:f>
            <x14:dxf>
              <font>
                <color rgb="FFFF0000"/>
              </font>
            </x14:dxf>
          </x14:cfRule>
          <x14:cfRule type="cellIs" priority="985" operator="equal" id="{A190689B-BE47-4065-9BAE-48877CBAE82C}">
            <xm:f>QUALITE!$A$3</xm:f>
            <x14:dxf>
              <font>
                <color rgb="FF0070C0"/>
              </font>
            </x14:dxf>
          </x14:cfRule>
          <x14:cfRule type="cellIs" priority="986" operator="equal" id="{9A10BBCC-D23B-48E1-8F7D-976CB0F3CEF0}">
            <xm:f>QUALITE!$A$2</xm:f>
            <x14:dxf>
              <font>
                <color rgb="FF00B0F0"/>
              </font>
            </x14:dxf>
          </x14:cfRule>
          <xm:sqref>C45</xm:sqref>
        </x14:conditionalFormatting>
        <x14:conditionalFormatting xmlns:xm="http://schemas.microsoft.com/office/excel/2006/main">
          <x14:cfRule type="cellIs" priority="987" operator="equal" id="{CF821062-9C95-4853-8366-8E462B96ECE2}">
            <xm:f>QUALITE!$A$18</xm:f>
            <x14:dxf>
              <font>
                <color rgb="FFFF0000"/>
              </font>
            </x14:dxf>
          </x14:cfRule>
          <x14:cfRule type="cellIs" priority="988" operator="equal" id="{F1F7CD03-4576-4C5F-95CA-93C483115B0E}">
            <xm:f>QUALITE!$A$17</xm:f>
            <x14:dxf>
              <font>
                <color rgb="FF00B0F0"/>
              </font>
            </x14:dxf>
          </x14:cfRule>
          <x14:cfRule type="cellIs" priority="989" operator="equal" id="{983E2C12-61F5-488D-B4F1-8DC057F7E3A4}">
            <xm:f>QUALITE!$A$16</xm:f>
            <x14:dxf>
              <font>
                <color theme="2" tint="-0.749961851863155"/>
              </font>
            </x14:dxf>
          </x14:cfRule>
          <x14:cfRule type="cellIs" priority="990" operator="equal" id="{CB1FD09B-E77E-4249-AC12-A53E9D767306}">
            <xm:f>QUALITE!$A$15</xm:f>
            <x14:dxf>
              <font>
                <color theme="2" tint="-0.499984740745262"/>
              </font>
            </x14:dxf>
          </x14:cfRule>
          <x14:cfRule type="cellIs" priority="991" operator="equal" id="{EF22F87E-10F3-4090-A8BF-43B2703788DC}">
            <xm:f>QUALITE!$A$14</xm:f>
            <x14:dxf>
              <font>
                <color rgb="FFFF0000"/>
              </font>
            </x14:dxf>
          </x14:cfRule>
          <x14:cfRule type="cellIs" priority="992" operator="equal" id="{66ED11F7-1949-4035-A093-507828B83341}">
            <xm:f>QUALITE!$A$13</xm:f>
            <x14:dxf>
              <font>
                <color rgb="FFFF0000"/>
              </font>
            </x14:dxf>
          </x14:cfRule>
          <x14:cfRule type="cellIs" priority="993" operator="equal" id="{368153C7-02CD-4B82-A374-286FFA4F5F82}">
            <xm:f>QUALITE!$A$12</xm:f>
            <x14:dxf>
              <font>
                <color rgb="FF00B050"/>
              </font>
            </x14:dxf>
          </x14:cfRule>
          <x14:cfRule type="cellIs" priority="994" operator="equal" id="{7CD41CAB-53F9-4983-95D3-FE1E5EF677D9}">
            <xm:f>QUALITE!$A$11</xm:f>
            <x14:dxf>
              <font>
                <color rgb="FF0070C0"/>
              </font>
            </x14:dxf>
          </x14:cfRule>
          <x14:cfRule type="cellIs" priority="995" operator="equal" id="{E1CA0ABF-83DC-46C8-9068-A1EE1E32D1DF}">
            <xm:f>QUALITE!$A$10</xm:f>
            <x14:dxf>
              <font>
                <color rgb="FF00B0F0"/>
              </font>
            </x14:dxf>
          </x14:cfRule>
          <x14:cfRule type="cellIs" priority="996" operator="equal" id="{480ABEA2-E023-478D-861A-976714A629AA}">
            <xm:f>QUALITE!$A$9</xm:f>
            <x14:dxf>
              <font>
                <color theme="2" tint="-0.499984740745262"/>
              </font>
            </x14:dxf>
          </x14:cfRule>
          <x14:cfRule type="cellIs" priority="997" operator="equal" id="{F80E7151-2AD8-4E59-BBC0-06A825849F3D}">
            <xm:f>QUALITE!$A$8</xm:f>
            <x14:dxf>
              <font>
                <color rgb="FFC00000"/>
              </font>
            </x14:dxf>
          </x14:cfRule>
          <x14:cfRule type="cellIs" priority="998" operator="equal" id="{610990F7-FCAC-443E-A8FF-F57367664900}">
            <xm:f>QUALITE!$A$7</xm:f>
            <x14:dxf>
              <font>
                <color theme="2" tint="-0.499984740745262"/>
              </font>
            </x14:dxf>
          </x14:cfRule>
          <x14:cfRule type="cellIs" priority="999" operator="equal" id="{6DD30A0F-0DC3-4A21-AB32-F2C08981460E}">
            <xm:f>QUALITE!$A$6</xm:f>
            <x14:dxf>
              <font>
                <color rgb="FF00B050"/>
              </font>
            </x14:dxf>
          </x14:cfRule>
          <x14:cfRule type="cellIs" priority="1000" operator="equal" id="{65A8036D-B41A-475D-9A26-A3C76A90E9EB}">
            <xm:f>QUALITE!$A$5</xm:f>
            <x14:dxf>
              <font>
                <color rgb="FFFF0000"/>
              </font>
            </x14:dxf>
          </x14:cfRule>
          <x14:cfRule type="cellIs" priority="1001" operator="equal" id="{7B11605C-7FEF-4582-9BEC-41F84201AE50}">
            <xm:f>QUALITE!$A$4</xm:f>
            <x14:dxf>
              <font>
                <color rgb="FFFF0000"/>
              </font>
            </x14:dxf>
          </x14:cfRule>
          <x14:cfRule type="cellIs" priority="1002" operator="equal" id="{FE831FB5-B86F-4071-9FC6-F80EBA01B5D5}">
            <xm:f>QUALITE!$A$3</xm:f>
            <x14:dxf>
              <font>
                <color rgb="FF0070C0"/>
              </font>
            </x14:dxf>
          </x14:cfRule>
          <x14:cfRule type="cellIs" priority="1003" operator="equal" id="{728A6EF3-2152-4A19-9FDD-FE0FF5ACD5F3}">
            <xm:f>QUALITE!$A$2</xm:f>
            <x14:dxf>
              <font>
                <color rgb="FF00B0F0"/>
              </font>
            </x14:dxf>
          </x14:cfRule>
          <xm:sqref>C17:C49</xm:sqref>
        </x14:conditionalFormatting>
        <x14:conditionalFormatting xmlns:xm="http://schemas.microsoft.com/office/excel/2006/main">
          <x14:cfRule type="cellIs" priority="953" operator="equal" id="{7EC12401-6C71-44D6-9879-4100D8BC5461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54" operator="equal" id="{6D61D06A-669F-407C-8D64-C2D0A1E4EB75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955" operator="equal" id="{5532CB39-93F1-480F-8D0C-CAEA360A7241}">
            <xm:f>'\Users\SDC.ParcWafi\Documents\RJ Digital JUIN 2021\[Rapport  jounalier PW 29-06-2021 .xlsx]QUALITE'!#REF!</xm:f>
            <x14:dxf>
              <font>
                <color theme="2" tint="-0.749961851863155"/>
              </font>
            </x14:dxf>
          </x14:cfRule>
          <x14:cfRule type="cellIs" priority="956" operator="equal" id="{B344838B-F08D-4425-A466-DCFB0C6A3253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957" operator="equal" id="{7B81E532-AB10-4717-866F-3F5D3F058DCA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58" operator="equal" id="{87DF0585-518D-432B-A4BE-DA398EB3243A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59" operator="equal" id="{8D79CD18-B031-4B20-A016-AFFDFE0F8635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960" operator="equal" id="{7CFB21AD-3206-423F-B796-C94A46B1360E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961" operator="equal" id="{A8FBB5BD-A089-42C5-A97C-A169B39DAA65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962" operator="equal" id="{2A45079C-0110-4EE8-BE59-2A5E28D10BE8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963" operator="equal" id="{0906F6A0-B8AA-4C7C-A4E5-EF9E98A828CF}">
            <xm:f>'\Users\SDC.ParcWafi\Documents\RJ Digital JUIN 2021\[Rapport  jounalier PW 29-06-2021 .xlsx]QUALITE'!#REF!</xm:f>
            <x14:dxf>
              <font>
                <color rgb="FFC00000"/>
              </font>
            </x14:dxf>
          </x14:cfRule>
          <x14:cfRule type="cellIs" priority="964" operator="equal" id="{7CF8CEDD-966E-4386-A39F-E27960CE533D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965" operator="equal" id="{4D1812FF-1B55-4552-A0EE-BA4C651BBFC4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966" operator="equal" id="{E348632C-CB9A-4447-A27C-F1CA3FD4C2C7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67" operator="equal" id="{D4A0FC8D-7F79-4239-9B88-77D179000AB1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68" operator="equal" id="{BF49E941-23F6-45FD-A361-6C57BA1B36F4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969" operator="equal" id="{D75923BB-4D3A-4186-98B9-AAD89BF10089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m:sqref>C17:C45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destination!$A$4:$A$5</xm:f>
          </x14:formula1>
          <xm:sqref>D52:D59 F17:F49</xm:sqref>
        </x14:dataValidation>
        <x14:dataValidation type="list" allowBlank="1" showInputMessage="1" showErrorMessage="1">
          <x14:formula1>
            <xm:f>QUALITE!$A$2:$A$17</xm:f>
          </x14:formula1>
          <xm:sqref>B52:C59</xm:sqref>
        </x14:dataValidation>
        <x14:dataValidation type="list" allowBlank="1" showInputMessage="1" showErrorMessage="1">
          <x14:formula1>
            <xm:f>QUALITE!$A$2:$A$18</xm:f>
          </x14:formula1>
          <xm:sqref>C17:C49</xm:sqref>
        </x14:dataValidation>
        <x14:dataValidation type="list" allowBlank="1" showInputMessage="1" showErrorMessage="1">
          <x14:formula1>
            <xm:f>Parametre!$F$3:$F$4</xm:f>
          </x14:formula1>
          <xm:sqref>H17:I49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39997558519241921"/>
    <pageSetUpPr fitToPage="1"/>
  </sheetPr>
  <dimension ref="A1:Z112"/>
  <sheetViews>
    <sheetView showGridLines="0" topLeftCell="A34" zoomScale="70" zoomScaleNormal="70" zoomScaleSheetLayoutView="55" workbookViewId="0"/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4.5" style="4" customWidth="1"/>
    <col min="5" max="5" width="28.625" style="4" customWidth="1"/>
    <col min="6" max="6" width="30.375" style="4" customWidth="1"/>
    <col min="7" max="7" width="17.6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/>
    <row r="2" spans="1:19" ht="34.5" customHeight="1" thickBot="1" x14ac:dyDescent="0.4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1"/>
      <c r="D3" s="571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2"/>
      <c r="D5" s="572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3" t="s">
        <v>12</v>
      </c>
      <c r="G6" s="574"/>
      <c r="H6" s="81" t="s">
        <v>60</v>
      </c>
      <c r="I6" s="574" t="s">
        <v>96</v>
      </c>
      <c r="J6" s="574"/>
      <c r="K6" s="574" t="s">
        <v>97</v>
      </c>
      <c r="L6" s="574"/>
      <c r="M6" s="574" t="s">
        <v>98</v>
      </c>
      <c r="N6" s="574"/>
      <c r="O6" s="574"/>
      <c r="P6" s="81"/>
      <c r="Q6" s="574"/>
      <c r="R6" s="574"/>
      <c r="S6" s="29"/>
    </row>
    <row r="7" spans="1:19" ht="18.75" customHeight="1" thickBot="1" x14ac:dyDescent="0.25"/>
    <row r="8" spans="1:19" ht="36" customHeight="1" thickBot="1" x14ac:dyDescent="0.25">
      <c r="A8" s="5"/>
      <c r="B8" s="589"/>
      <c r="C8" s="590"/>
      <c r="D8" s="38" t="s">
        <v>0</v>
      </c>
      <c r="E8" s="593" t="s">
        <v>802</v>
      </c>
      <c r="F8" s="593"/>
      <c r="G8" s="593"/>
      <c r="H8" s="593"/>
      <c r="I8" s="593"/>
      <c r="J8" s="593"/>
      <c r="K8" s="593"/>
      <c r="L8" s="593"/>
      <c r="M8" s="593"/>
      <c r="N8" s="593"/>
      <c r="O8" s="593"/>
      <c r="P8" s="593"/>
      <c r="Q8" s="593"/>
      <c r="R8" s="593"/>
    </row>
    <row r="9" spans="1:19" ht="38.25" customHeight="1" thickBot="1" x14ac:dyDescent="0.25">
      <c r="A9" s="5"/>
      <c r="B9" s="591"/>
      <c r="C9" s="592"/>
      <c r="D9" s="38" t="s">
        <v>8</v>
      </c>
      <c r="E9" s="594" t="s">
        <v>100</v>
      </c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</row>
    <row r="10" spans="1:19" ht="38.25" customHeight="1" thickBot="1" x14ac:dyDescent="0.25">
      <c r="A10" s="5"/>
      <c r="B10" s="595" t="s">
        <v>99</v>
      </c>
      <c r="C10" s="596"/>
      <c r="D10" s="38" t="s">
        <v>9</v>
      </c>
      <c r="E10" s="500">
        <v>5</v>
      </c>
      <c r="F10" s="594" t="s">
        <v>125</v>
      </c>
      <c r="G10" s="594"/>
      <c r="H10" s="594"/>
      <c r="I10" s="594"/>
      <c r="J10" s="594"/>
      <c r="K10" s="594"/>
      <c r="L10" s="594"/>
      <c r="M10" s="594"/>
      <c r="N10" s="594"/>
      <c r="O10" s="594"/>
      <c r="P10" s="594"/>
      <c r="Q10" s="594"/>
      <c r="R10" s="37" t="s">
        <v>806</v>
      </c>
    </row>
    <row r="11" spans="1:19" ht="26.25" customHeight="1" x14ac:dyDescent="0.45">
      <c r="A11" s="5"/>
      <c r="B11" s="32" t="s">
        <v>530</v>
      </c>
      <c r="C11" s="30"/>
      <c r="D11" s="31"/>
    </row>
    <row r="12" spans="1:19" ht="5.25" customHeight="1" x14ac:dyDescent="0.2"/>
    <row r="13" spans="1:19" ht="24" customHeight="1" x14ac:dyDescent="0.2">
      <c r="B13" s="583" t="s">
        <v>1</v>
      </c>
      <c r="C13" s="583"/>
      <c r="D13" s="583"/>
      <c r="E13" s="583"/>
      <c r="F13" s="583"/>
      <c r="G13" s="583"/>
      <c r="H13" s="583"/>
      <c r="I13" s="583"/>
      <c r="J13" s="583"/>
      <c r="K13" s="583"/>
      <c r="L13" s="583"/>
      <c r="M13" s="583"/>
      <c r="N13" s="583"/>
      <c r="O13" s="583"/>
      <c r="P13" s="583"/>
      <c r="Q13" s="583"/>
      <c r="R13" s="583"/>
    </row>
    <row r="14" spans="1:19" ht="21" customHeight="1" x14ac:dyDescent="0.2">
      <c r="A14" s="6"/>
      <c r="B14" s="583"/>
      <c r="C14" s="583"/>
      <c r="D14" s="583"/>
      <c r="E14" s="583"/>
      <c r="F14" s="583"/>
      <c r="G14" s="583"/>
      <c r="H14" s="583"/>
      <c r="I14" s="583"/>
      <c r="J14" s="583"/>
      <c r="K14" s="583"/>
      <c r="L14" s="583"/>
      <c r="M14" s="583"/>
      <c r="N14" s="583"/>
      <c r="O14" s="583"/>
      <c r="P14" s="583"/>
      <c r="Q14" s="583"/>
      <c r="R14" s="583"/>
    </row>
    <row r="15" spans="1:19" ht="33.75" customHeight="1" thickBot="1" x14ac:dyDescent="0.5">
      <c r="A15" s="7"/>
      <c r="B15" s="166" t="s">
        <v>528</v>
      </c>
      <c r="C15" s="39"/>
      <c r="E15" s="36"/>
      <c r="J15" s="34"/>
      <c r="K15" s="34"/>
      <c r="P15" s="70" t="s">
        <v>44</v>
      </c>
      <c r="Q15" s="584">
        <f>'RPT1'!Q15:R15</f>
        <v>45038</v>
      </c>
      <c r="R15" s="584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5" t="s">
        <v>534</v>
      </c>
      <c r="I16" s="586"/>
      <c r="J16" s="68" t="s">
        <v>540</v>
      </c>
      <c r="K16" s="83" t="s">
        <v>4</v>
      </c>
      <c r="L16" s="68" t="s">
        <v>541</v>
      </c>
      <c r="M16" s="83" t="s">
        <v>16</v>
      </c>
      <c r="N16" s="68" t="s">
        <v>123</v>
      </c>
      <c r="O16" s="83" t="s">
        <v>6</v>
      </c>
      <c r="P16" s="585" t="s">
        <v>17</v>
      </c>
      <c r="Q16" s="587"/>
      <c r="R16" s="588"/>
      <c r="S16" s="41"/>
    </row>
    <row r="17" spans="2:26" s="271" customFormat="1" ht="32.25" customHeight="1" x14ac:dyDescent="0.5">
      <c r="B17" s="400"/>
      <c r="C17" s="398"/>
      <c r="D17" s="404"/>
      <c r="E17" s="399"/>
      <c r="F17" s="408"/>
      <c r="G17" s="470"/>
      <c r="H17" s="657"/>
      <c r="I17" s="736"/>
      <c r="J17" s="401"/>
      <c r="K17" s="405"/>
      <c r="L17" s="406"/>
      <c r="M17" s="402"/>
      <c r="N17" s="403"/>
      <c r="O17" s="407" t="str">
        <f t="shared" ref="O17" si="0">IF(K17=0,"-",K17/M17)</f>
        <v>-</v>
      </c>
      <c r="P17" s="746"/>
      <c r="Q17" s="747"/>
      <c r="R17" s="748"/>
      <c r="S17" s="332"/>
      <c r="X17" s="354"/>
      <c r="Y17" s="354"/>
      <c r="Z17" s="354"/>
    </row>
    <row r="18" spans="2:26" ht="32.25" customHeight="1" x14ac:dyDescent="0.5">
      <c r="B18" s="297"/>
      <c r="C18" s="480"/>
      <c r="D18" s="481"/>
      <c r="E18" s="304"/>
      <c r="F18" s="482"/>
      <c r="G18" s="481"/>
      <c r="H18" s="731"/>
      <c r="I18" s="732"/>
      <c r="J18" s="483"/>
      <c r="K18" s="287">
        <f t="shared" ref="K18:K45" si="1">IF(AND(H18=H17,J18-J17&gt;0),J18-J17,0)</f>
        <v>0</v>
      </c>
      <c r="L18" s="484"/>
      <c r="M18" s="288">
        <f t="shared" ref="M18:M46" si="2">IF(AND(H18=H17,L18-L17&lt;1.1,L18-L17&gt;0),L18-L17,0)</f>
        <v>0</v>
      </c>
      <c r="N18" s="292"/>
      <c r="O18" s="293" t="str">
        <f t="shared" ref="O18:O46" si="3">IF(K18=0,"-",K18/M18)</f>
        <v>-</v>
      </c>
      <c r="P18" s="733"/>
      <c r="Q18" s="734"/>
      <c r="R18" s="735"/>
      <c r="S18" s="9"/>
      <c r="X18" s="75"/>
      <c r="Y18" s="76"/>
      <c r="Z18" s="77"/>
    </row>
    <row r="19" spans="2:26" ht="32.25" customHeight="1" x14ac:dyDescent="0.5">
      <c r="B19" s="297"/>
      <c r="C19" s="480"/>
      <c r="D19" s="481"/>
      <c r="E19" s="304"/>
      <c r="F19" s="482"/>
      <c r="G19" s="481"/>
      <c r="H19" s="731"/>
      <c r="I19" s="732"/>
      <c r="J19" s="483"/>
      <c r="K19" s="287">
        <f t="shared" si="1"/>
        <v>0</v>
      </c>
      <c r="L19" s="484"/>
      <c r="M19" s="288">
        <f t="shared" si="2"/>
        <v>0</v>
      </c>
      <c r="N19" s="292"/>
      <c r="O19" s="293" t="str">
        <f t="shared" si="3"/>
        <v>-</v>
      </c>
      <c r="P19" s="733"/>
      <c r="Q19" s="734"/>
      <c r="R19" s="735"/>
      <c r="S19" s="9"/>
      <c r="X19" s="75"/>
      <c r="Y19" s="76"/>
      <c r="Z19" s="77"/>
    </row>
    <row r="20" spans="2:26" ht="32.25" customHeight="1" x14ac:dyDescent="0.5">
      <c r="B20" s="297"/>
      <c r="C20" s="480"/>
      <c r="D20" s="481"/>
      <c r="E20" s="304"/>
      <c r="F20" s="482"/>
      <c r="G20" s="485"/>
      <c r="H20" s="731"/>
      <c r="I20" s="732"/>
      <c r="J20" s="362"/>
      <c r="K20" s="287">
        <f t="shared" si="1"/>
        <v>0</v>
      </c>
      <c r="L20" s="486"/>
      <c r="M20" s="288">
        <f t="shared" si="2"/>
        <v>0</v>
      </c>
      <c r="N20" s="292"/>
      <c r="O20" s="293" t="str">
        <f t="shared" si="3"/>
        <v>-</v>
      </c>
      <c r="P20" s="733"/>
      <c r="Q20" s="734"/>
      <c r="R20" s="735"/>
      <c r="S20" s="9"/>
      <c r="X20" s="75"/>
      <c r="Y20" s="76"/>
      <c r="Z20" s="77"/>
    </row>
    <row r="21" spans="2:26" ht="32.25" customHeight="1" x14ac:dyDescent="0.5">
      <c r="B21" s="297"/>
      <c r="C21" s="480"/>
      <c r="D21" s="481"/>
      <c r="E21" s="304"/>
      <c r="F21" s="482"/>
      <c r="G21" s="485"/>
      <c r="H21" s="731"/>
      <c r="I21" s="732"/>
      <c r="J21" s="362"/>
      <c r="K21" s="287">
        <f t="shared" si="1"/>
        <v>0</v>
      </c>
      <c r="L21" s="486"/>
      <c r="M21" s="288">
        <f t="shared" si="2"/>
        <v>0</v>
      </c>
      <c r="N21" s="292"/>
      <c r="O21" s="293" t="str">
        <f t="shared" si="3"/>
        <v>-</v>
      </c>
      <c r="P21" s="733"/>
      <c r="Q21" s="734"/>
      <c r="R21" s="735"/>
      <c r="S21" s="9"/>
      <c r="X21" s="75"/>
      <c r="Y21" s="76"/>
      <c r="Z21" s="77"/>
    </row>
    <row r="22" spans="2:26" ht="32.25" customHeight="1" x14ac:dyDescent="0.5">
      <c r="B22" s="297"/>
      <c r="C22" s="480"/>
      <c r="D22" s="481"/>
      <c r="E22" s="304"/>
      <c r="F22" s="482"/>
      <c r="G22" s="487"/>
      <c r="H22" s="731"/>
      <c r="I22" s="732"/>
      <c r="J22" s="362"/>
      <c r="K22" s="287">
        <f t="shared" si="1"/>
        <v>0</v>
      </c>
      <c r="L22" s="486"/>
      <c r="M22" s="288">
        <f t="shared" si="2"/>
        <v>0</v>
      </c>
      <c r="N22" s="292"/>
      <c r="O22" s="293" t="str">
        <f t="shared" si="3"/>
        <v>-</v>
      </c>
      <c r="P22" s="733"/>
      <c r="Q22" s="734"/>
      <c r="R22" s="735"/>
      <c r="S22" s="9"/>
      <c r="W22" s="4" t="s">
        <v>709</v>
      </c>
      <c r="X22" s="75"/>
      <c r="Y22" s="76"/>
      <c r="Z22" s="77"/>
    </row>
    <row r="23" spans="2:26" ht="32.25" customHeight="1" x14ac:dyDescent="0.5">
      <c r="B23" s="297"/>
      <c r="C23" s="480"/>
      <c r="D23" s="481"/>
      <c r="E23" s="304"/>
      <c r="F23" s="482"/>
      <c r="G23" s="487"/>
      <c r="H23" s="731"/>
      <c r="I23" s="732"/>
      <c r="J23" s="362"/>
      <c r="K23" s="287">
        <f t="shared" si="1"/>
        <v>0</v>
      </c>
      <c r="L23" s="486"/>
      <c r="M23" s="288">
        <f t="shared" si="2"/>
        <v>0</v>
      </c>
      <c r="N23" s="292"/>
      <c r="O23" s="293" t="str">
        <f t="shared" si="3"/>
        <v>-</v>
      </c>
      <c r="P23" s="733"/>
      <c r="Q23" s="734"/>
      <c r="R23" s="735"/>
      <c r="S23" s="9"/>
      <c r="X23" s="75"/>
      <c r="Y23" s="76"/>
      <c r="Z23" s="77"/>
    </row>
    <row r="24" spans="2:26" ht="32.25" customHeight="1" x14ac:dyDescent="0.5">
      <c r="B24" s="315"/>
      <c r="C24" s="132"/>
      <c r="D24" s="286"/>
      <c r="E24" s="197"/>
      <c r="F24" s="302"/>
      <c r="G24" s="131"/>
      <c r="H24" s="628"/>
      <c r="I24" s="737"/>
      <c r="J24" s="179"/>
      <c r="K24" s="177">
        <f t="shared" si="1"/>
        <v>0</v>
      </c>
      <c r="L24" s="186"/>
      <c r="M24" s="194">
        <f t="shared" si="2"/>
        <v>0</v>
      </c>
      <c r="N24" s="185"/>
      <c r="O24" s="195" t="str">
        <f t="shared" si="3"/>
        <v>-</v>
      </c>
      <c r="P24" s="738"/>
      <c r="Q24" s="739"/>
      <c r="R24" s="740"/>
      <c r="S24" s="9"/>
      <c r="X24" s="75"/>
      <c r="Y24" s="76"/>
      <c r="Z24" s="77"/>
    </row>
    <row r="25" spans="2:26" ht="32.25" customHeight="1" x14ac:dyDescent="0.5">
      <c r="B25" s="315"/>
      <c r="C25" s="132"/>
      <c r="D25" s="286"/>
      <c r="E25" s="197"/>
      <c r="F25" s="302"/>
      <c r="G25" s="131"/>
      <c r="H25" s="628"/>
      <c r="I25" s="737"/>
      <c r="J25" s="179"/>
      <c r="K25" s="177">
        <f t="shared" si="1"/>
        <v>0</v>
      </c>
      <c r="L25" s="186"/>
      <c r="M25" s="194">
        <f t="shared" si="2"/>
        <v>0</v>
      </c>
      <c r="N25" s="185"/>
      <c r="O25" s="195" t="str">
        <f t="shared" si="3"/>
        <v>-</v>
      </c>
      <c r="P25" s="738"/>
      <c r="Q25" s="739"/>
      <c r="R25" s="740"/>
      <c r="S25" s="9"/>
      <c r="X25" s="75"/>
      <c r="Y25" s="76"/>
      <c r="Z25" s="77"/>
    </row>
    <row r="26" spans="2:26" ht="32.25" customHeight="1" x14ac:dyDescent="0.5">
      <c r="B26" s="315"/>
      <c r="C26" s="132"/>
      <c r="D26" s="286"/>
      <c r="E26" s="197"/>
      <c r="F26" s="302"/>
      <c r="G26" s="131"/>
      <c r="H26" s="628"/>
      <c r="I26" s="737"/>
      <c r="J26" s="179"/>
      <c r="K26" s="177">
        <f t="shared" si="1"/>
        <v>0</v>
      </c>
      <c r="L26" s="186"/>
      <c r="M26" s="194">
        <f t="shared" si="2"/>
        <v>0</v>
      </c>
      <c r="N26" s="185"/>
      <c r="O26" s="195" t="str">
        <f t="shared" si="3"/>
        <v>-</v>
      </c>
      <c r="P26" s="738"/>
      <c r="Q26" s="739"/>
      <c r="R26" s="740"/>
      <c r="S26" s="9"/>
      <c r="X26" s="75"/>
      <c r="Y26" s="76"/>
      <c r="Z26" s="77"/>
    </row>
    <row r="27" spans="2:26" ht="32.25" customHeight="1" x14ac:dyDescent="0.5">
      <c r="B27" s="315"/>
      <c r="C27" s="132"/>
      <c r="D27" s="286"/>
      <c r="E27" s="197"/>
      <c r="F27" s="302"/>
      <c r="G27" s="131"/>
      <c r="H27" s="628"/>
      <c r="I27" s="737"/>
      <c r="J27" s="179"/>
      <c r="K27" s="177">
        <f t="shared" si="1"/>
        <v>0</v>
      </c>
      <c r="L27" s="186"/>
      <c r="M27" s="194">
        <f t="shared" si="2"/>
        <v>0</v>
      </c>
      <c r="N27" s="185"/>
      <c r="O27" s="195" t="str">
        <f t="shared" si="3"/>
        <v>-</v>
      </c>
      <c r="P27" s="738"/>
      <c r="Q27" s="739"/>
      <c r="R27" s="740"/>
      <c r="S27" s="9"/>
      <c r="X27" s="75"/>
      <c r="Y27" s="76"/>
      <c r="Z27" s="77"/>
    </row>
    <row r="28" spans="2:26" s="271" customFormat="1" ht="32.25" customHeight="1" x14ac:dyDescent="0.5">
      <c r="B28" s="315"/>
      <c r="C28" s="206"/>
      <c r="D28" s="392"/>
      <c r="E28" s="317"/>
      <c r="F28" s="346"/>
      <c r="G28" s="392"/>
      <c r="H28" s="741"/>
      <c r="I28" s="742"/>
      <c r="J28" s="314"/>
      <c r="K28" s="395">
        <f t="shared" si="1"/>
        <v>0</v>
      </c>
      <c r="L28" s="396"/>
      <c r="M28" s="397">
        <f t="shared" si="2"/>
        <v>0</v>
      </c>
      <c r="N28" s="313"/>
      <c r="O28" s="319" t="str">
        <f t="shared" si="3"/>
        <v>-</v>
      </c>
      <c r="P28" s="743"/>
      <c r="Q28" s="744"/>
      <c r="R28" s="745"/>
      <c r="S28" s="332"/>
      <c r="X28" s="332"/>
      <c r="Y28" s="333"/>
      <c r="Z28" s="334"/>
    </row>
    <row r="29" spans="2:26" ht="32.25" customHeight="1" x14ac:dyDescent="0.5">
      <c r="B29" s="322"/>
      <c r="C29" s="190"/>
      <c r="D29" s="390"/>
      <c r="E29" s="193"/>
      <c r="F29" s="302"/>
      <c r="G29" s="390"/>
      <c r="H29" s="634"/>
      <c r="I29" s="695"/>
      <c r="J29" s="179"/>
      <c r="K29" s="177">
        <f t="shared" si="1"/>
        <v>0</v>
      </c>
      <c r="L29" s="186"/>
      <c r="M29" s="194">
        <f t="shared" si="2"/>
        <v>0</v>
      </c>
      <c r="N29" s="185"/>
      <c r="O29" s="195" t="str">
        <f t="shared" si="3"/>
        <v>-</v>
      </c>
      <c r="P29" s="738"/>
      <c r="Q29" s="739"/>
      <c r="R29" s="740"/>
      <c r="S29" s="9"/>
      <c r="X29" s="75"/>
      <c r="Y29" s="76"/>
      <c r="Z29" s="77"/>
    </row>
    <row r="30" spans="2:26" ht="32.25" customHeight="1" x14ac:dyDescent="0.5">
      <c r="B30" s="322"/>
      <c r="C30" s="190"/>
      <c r="D30" s="390"/>
      <c r="E30" s="193"/>
      <c r="F30" s="302"/>
      <c r="G30" s="131"/>
      <c r="H30" s="634"/>
      <c r="I30" s="695"/>
      <c r="J30" s="179"/>
      <c r="K30" s="177">
        <f t="shared" si="1"/>
        <v>0</v>
      </c>
      <c r="L30" s="186"/>
      <c r="M30" s="194">
        <f t="shared" si="2"/>
        <v>0</v>
      </c>
      <c r="N30" s="185"/>
      <c r="O30" s="195" t="str">
        <f t="shared" si="3"/>
        <v>-</v>
      </c>
      <c r="P30" s="738"/>
      <c r="Q30" s="739"/>
      <c r="R30" s="740"/>
      <c r="S30" s="9"/>
      <c r="X30" s="75"/>
      <c r="Y30" s="76"/>
      <c r="Z30" s="77"/>
    </row>
    <row r="31" spans="2:26" ht="32.25" customHeight="1" x14ac:dyDescent="0.5">
      <c r="B31" s="322"/>
      <c r="C31" s="132"/>
      <c r="D31" s="131"/>
      <c r="E31" s="197"/>
      <c r="F31" s="302"/>
      <c r="G31" s="131"/>
      <c r="H31" s="628"/>
      <c r="I31" s="737"/>
      <c r="J31" s="179"/>
      <c r="K31" s="177">
        <f t="shared" si="1"/>
        <v>0</v>
      </c>
      <c r="L31" s="186"/>
      <c r="M31" s="194">
        <f t="shared" si="2"/>
        <v>0</v>
      </c>
      <c r="N31" s="185"/>
      <c r="O31" s="195" t="str">
        <f t="shared" si="3"/>
        <v>-</v>
      </c>
      <c r="P31" s="738"/>
      <c r="Q31" s="739"/>
      <c r="R31" s="740"/>
      <c r="S31" s="9"/>
      <c r="X31" s="75"/>
      <c r="Y31" s="76"/>
      <c r="Z31" s="77"/>
    </row>
    <row r="32" spans="2:26" s="46" customFormat="1" ht="32.25" customHeight="1" x14ac:dyDescent="0.5">
      <c r="B32" s="322"/>
      <c r="C32" s="132"/>
      <c r="D32" s="131"/>
      <c r="E32" s="197"/>
      <c r="F32" s="302"/>
      <c r="G32" s="131"/>
      <c r="H32" s="628"/>
      <c r="I32" s="737"/>
      <c r="J32" s="179"/>
      <c r="K32" s="177">
        <f t="shared" si="1"/>
        <v>0</v>
      </c>
      <c r="L32" s="186"/>
      <c r="M32" s="194">
        <f t="shared" si="2"/>
        <v>0</v>
      </c>
      <c r="N32" s="185"/>
      <c r="O32" s="195" t="str">
        <f t="shared" si="3"/>
        <v>-</v>
      </c>
      <c r="P32" s="738"/>
      <c r="Q32" s="739"/>
      <c r="R32" s="740"/>
      <c r="S32" s="45"/>
      <c r="X32" s="75"/>
      <c r="Y32" s="76"/>
      <c r="Z32" s="77"/>
    </row>
    <row r="33" spans="2:26" ht="32.25" customHeight="1" x14ac:dyDescent="0.5">
      <c r="B33" s="196"/>
      <c r="C33" s="132"/>
      <c r="D33" s="131"/>
      <c r="E33" s="131"/>
      <c r="F33" s="302"/>
      <c r="G33" s="131"/>
      <c r="H33" s="628"/>
      <c r="I33" s="737"/>
      <c r="J33" s="179"/>
      <c r="K33" s="177">
        <f t="shared" si="1"/>
        <v>0</v>
      </c>
      <c r="L33" s="186"/>
      <c r="M33" s="194">
        <f t="shared" si="2"/>
        <v>0</v>
      </c>
      <c r="N33" s="185"/>
      <c r="O33" s="195" t="str">
        <f t="shared" si="3"/>
        <v>-</v>
      </c>
      <c r="P33" s="738"/>
      <c r="Q33" s="739"/>
      <c r="R33" s="740"/>
      <c r="S33" s="9"/>
      <c r="X33" s="75"/>
      <c r="Y33" s="76"/>
      <c r="Z33" s="77"/>
    </row>
    <row r="34" spans="2:26" ht="32.25" customHeight="1" x14ac:dyDescent="0.5">
      <c r="B34" s="196"/>
      <c r="C34" s="132"/>
      <c r="D34" s="131"/>
      <c r="E34" s="131"/>
      <c r="F34" s="302"/>
      <c r="G34" s="131"/>
      <c r="H34" s="628"/>
      <c r="I34" s="737"/>
      <c r="J34" s="179"/>
      <c r="K34" s="177">
        <f t="shared" si="1"/>
        <v>0</v>
      </c>
      <c r="L34" s="186"/>
      <c r="M34" s="194">
        <f t="shared" si="2"/>
        <v>0</v>
      </c>
      <c r="N34" s="185"/>
      <c r="O34" s="195" t="str">
        <f t="shared" si="3"/>
        <v>-</v>
      </c>
      <c r="P34" s="738"/>
      <c r="Q34" s="739"/>
      <c r="R34" s="740"/>
      <c r="S34" s="9"/>
      <c r="X34" s="75"/>
      <c r="Y34" s="76"/>
      <c r="Z34" s="77"/>
    </row>
    <row r="35" spans="2:26" ht="32.25" customHeight="1" x14ac:dyDescent="0.5">
      <c r="B35" s="196"/>
      <c r="C35" s="132"/>
      <c r="D35" s="131"/>
      <c r="E35" s="131"/>
      <c r="F35" s="302"/>
      <c r="G35" s="131"/>
      <c r="H35" s="628"/>
      <c r="I35" s="737"/>
      <c r="J35" s="179"/>
      <c r="K35" s="177">
        <f t="shared" si="1"/>
        <v>0</v>
      </c>
      <c r="L35" s="186"/>
      <c r="M35" s="194">
        <f t="shared" si="2"/>
        <v>0</v>
      </c>
      <c r="N35" s="185"/>
      <c r="O35" s="195" t="str">
        <f t="shared" si="3"/>
        <v>-</v>
      </c>
      <c r="P35" s="738"/>
      <c r="Q35" s="739"/>
      <c r="R35" s="740"/>
      <c r="S35" s="9"/>
      <c r="X35" s="75"/>
      <c r="Y35" s="76"/>
      <c r="Z35" s="77"/>
    </row>
    <row r="36" spans="2:26" ht="32.25" customHeight="1" x14ac:dyDescent="0.5">
      <c r="B36" s="196"/>
      <c r="C36" s="132"/>
      <c r="D36" s="131"/>
      <c r="E36" s="131"/>
      <c r="F36" s="302"/>
      <c r="G36" s="131"/>
      <c r="H36" s="628"/>
      <c r="I36" s="737"/>
      <c r="J36" s="179"/>
      <c r="K36" s="177">
        <f t="shared" si="1"/>
        <v>0</v>
      </c>
      <c r="L36" s="186"/>
      <c r="M36" s="194">
        <f t="shared" si="2"/>
        <v>0</v>
      </c>
      <c r="N36" s="185"/>
      <c r="O36" s="195" t="str">
        <f t="shared" si="3"/>
        <v>-</v>
      </c>
      <c r="P36" s="738"/>
      <c r="Q36" s="739"/>
      <c r="R36" s="740"/>
      <c r="S36" s="9"/>
      <c r="X36" s="75"/>
      <c r="Y36" s="76"/>
      <c r="Z36" s="77"/>
    </row>
    <row r="37" spans="2:26" ht="32.25" customHeight="1" x14ac:dyDescent="0.5">
      <c r="B37" s="222"/>
      <c r="C37" s="132"/>
      <c r="D37" s="131"/>
      <c r="E37" s="131"/>
      <c r="F37" s="302"/>
      <c r="G37" s="131"/>
      <c r="H37" s="628"/>
      <c r="I37" s="737"/>
      <c r="J37" s="179"/>
      <c r="K37" s="177">
        <f t="shared" si="1"/>
        <v>0</v>
      </c>
      <c r="L37" s="186"/>
      <c r="M37" s="194">
        <f t="shared" si="2"/>
        <v>0</v>
      </c>
      <c r="N37" s="185"/>
      <c r="O37" s="195" t="str">
        <f t="shared" si="3"/>
        <v>-</v>
      </c>
      <c r="P37" s="738"/>
      <c r="Q37" s="739"/>
      <c r="R37" s="740"/>
      <c r="S37" s="9"/>
      <c r="X37" s="75"/>
      <c r="Y37" s="76"/>
      <c r="Z37" s="77"/>
    </row>
    <row r="38" spans="2:26" ht="32.25" customHeight="1" x14ac:dyDescent="0.5">
      <c r="B38" s="222"/>
      <c r="C38" s="132"/>
      <c r="D38" s="131"/>
      <c r="E38" s="131"/>
      <c r="F38" s="302"/>
      <c r="G38" s="131"/>
      <c r="H38" s="628"/>
      <c r="I38" s="737"/>
      <c r="J38" s="179"/>
      <c r="K38" s="177">
        <f t="shared" si="1"/>
        <v>0</v>
      </c>
      <c r="L38" s="186"/>
      <c r="M38" s="194">
        <f t="shared" si="2"/>
        <v>0</v>
      </c>
      <c r="N38" s="185"/>
      <c r="O38" s="195" t="str">
        <f t="shared" si="3"/>
        <v>-</v>
      </c>
      <c r="P38" s="738"/>
      <c r="Q38" s="739"/>
      <c r="R38" s="740"/>
      <c r="S38" s="9"/>
      <c r="X38" s="75"/>
      <c r="Y38" s="76"/>
      <c r="Z38" s="77"/>
    </row>
    <row r="39" spans="2:26" ht="32.25" customHeight="1" x14ac:dyDescent="0.5">
      <c r="B39" s="222"/>
      <c r="C39" s="132"/>
      <c r="D39" s="131"/>
      <c r="E39" s="131"/>
      <c r="F39" s="302"/>
      <c r="G39" s="131"/>
      <c r="H39" s="628"/>
      <c r="I39" s="737"/>
      <c r="J39" s="179"/>
      <c r="K39" s="177">
        <f t="shared" si="1"/>
        <v>0</v>
      </c>
      <c r="L39" s="186"/>
      <c r="M39" s="194">
        <f t="shared" si="2"/>
        <v>0</v>
      </c>
      <c r="N39" s="185"/>
      <c r="O39" s="195" t="str">
        <f t="shared" si="3"/>
        <v>-</v>
      </c>
      <c r="P39" s="738"/>
      <c r="Q39" s="739"/>
      <c r="R39" s="740"/>
      <c r="S39" s="9"/>
      <c r="X39" s="75"/>
      <c r="Y39" s="76"/>
      <c r="Z39" s="77"/>
    </row>
    <row r="40" spans="2:26" ht="32.25" customHeight="1" x14ac:dyDescent="0.5">
      <c r="B40" s="222"/>
      <c r="C40" s="132"/>
      <c r="D40" s="131"/>
      <c r="E40" s="131"/>
      <c r="F40" s="302"/>
      <c r="G40" s="131"/>
      <c r="H40" s="628"/>
      <c r="I40" s="737"/>
      <c r="J40" s="179"/>
      <c r="K40" s="177">
        <f t="shared" si="1"/>
        <v>0</v>
      </c>
      <c r="L40" s="186"/>
      <c r="M40" s="194">
        <f t="shared" si="2"/>
        <v>0</v>
      </c>
      <c r="N40" s="185"/>
      <c r="O40" s="195" t="str">
        <f t="shared" si="3"/>
        <v>-</v>
      </c>
      <c r="P40" s="738"/>
      <c r="Q40" s="739"/>
      <c r="R40" s="740"/>
      <c r="S40" s="9"/>
      <c r="X40" s="75"/>
      <c r="Y40" s="76"/>
      <c r="Z40" s="77"/>
    </row>
    <row r="41" spans="2:26" ht="32.25" customHeight="1" x14ac:dyDescent="0.5">
      <c r="B41" s="230"/>
      <c r="C41" s="132"/>
      <c r="D41" s="237"/>
      <c r="E41" s="223"/>
      <c r="F41" s="302"/>
      <c r="G41" s="223"/>
      <c r="H41" s="628"/>
      <c r="I41" s="737"/>
      <c r="J41" s="184"/>
      <c r="K41" s="177">
        <f t="shared" si="1"/>
        <v>0</v>
      </c>
      <c r="L41" s="188"/>
      <c r="M41" s="194">
        <f t="shared" si="2"/>
        <v>0</v>
      </c>
      <c r="N41" s="185"/>
      <c r="O41" s="195" t="str">
        <f t="shared" si="3"/>
        <v>-</v>
      </c>
      <c r="P41" s="666"/>
      <c r="Q41" s="667"/>
      <c r="R41" s="668"/>
      <c r="S41" s="9"/>
      <c r="X41" s="75"/>
      <c r="Y41" s="76"/>
      <c r="Z41" s="77"/>
    </row>
    <row r="42" spans="2:26" ht="32.25" customHeight="1" x14ac:dyDescent="0.5">
      <c r="B42" s="222"/>
      <c r="C42" s="132"/>
      <c r="D42" s="131"/>
      <c r="E42" s="131"/>
      <c r="F42" s="302"/>
      <c r="G42" s="131"/>
      <c r="H42" s="628"/>
      <c r="I42" s="737"/>
      <c r="J42" s="179"/>
      <c r="K42" s="177">
        <f t="shared" si="1"/>
        <v>0</v>
      </c>
      <c r="L42" s="186"/>
      <c r="M42" s="194">
        <f t="shared" si="2"/>
        <v>0</v>
      </c>
      <c r="N42" s="185"/>
      <c r="O42" s="195" t="str">
        <f t="shared" si="3"/>
        <v>-</v>
      </c>
      <c r="P42" s="232"/>
      <c r="Q42" s="233"/>
      <c r="R42" s="234"/>
      <c r="S42" s="9"/>
      <c r="X42" s="75"/>
      <c r="Y42" s="76"/>
      <c r="Z42" s="77"/>
    </row>
    <row r="43" spans="2:26" ht="32.25" customHeight="1" x14ac:dyDescent="0.5">
      <c r="B43" s="222"/>
      <c r="C43" s="132"/>
      <c r="D43" s="131"/>
      <c r="E43" s="131"/>
      <c r="F43" s="302"/>
      <c r="G43" s="131"/>
      <c r="H43" s="628"/>
      <c r="I43" s="737"/>
      <c r="J43" s="179"/>
      <c r="K43" s="177">
        <f t="shared" si="1"/>
        <v>0</v>
      </c>
      <c r="L43" s="186"/>
      <c r="M43" s="194">
        <f t="shared" si="2"/>
        <v>0</v>
      </c>
      <c r="N43" s="236"/>
      <c r="O43" s="195" t="str">
        <f t="shared" si="3"/>
        <v>-</v>
      </c>
      <c r="P43" s="738"/>
      <c r="Q43" s="739"/>
      <c r="R43" s="740"/>
      <c r="S43" s="9"/>
      <c r="X43" s="75"/>
      <c r="Y43" s="76"/>
      <c r="Z43" s="77"/>
    </row>
    <row r="44" spans="2:26" ht="32.25" customHeight="1" x14ac:dyDescent="0.5">
      <c r="B44" s="222"/>
      <c r="C44" s="132"/>
      <c r="D44" s="131"/>
      <c r="E44" s="131"/>
      <c r="F44" s="302"/>
      <c r="G44" s="131"/>
      <c r="H44" s="628"/>
      <c r="I44" s="737"/>
      <c r="J44" s="179"/>
      <c r="K44" s="177">
        <f t="shared" si="1"/>
        <v>0</v>
      </c>
      <c r="L44" s="186"/>
      <c r="M44" s="194">
        <f t="shared" si="2"/>
        <v>0</v>
      </c>
      <c r="N44" s="236"/>
      <c r="O44" s="195" t="str">
        <f t="shared" si="3"/>
        <v>-</v>
      </c>
      <c r="P44" s="738"/>
      <c r="Q44" s="739"/>
      <c r="R44" s="740"/>
      <c r="S44" s="9"/>
      <c r="X44" s="75"/>
      <c r="Y44" s="76"/>
      <c r="Z44" s="77"/>
    </row>
    <row r="45" spans="2:26" ht="32.25" customHeight="1" x14ac:dyDescent="0.5">
      <c r="B45" s="222"/>
      <c r="C45" s="132"/>
      <c r="D45" s="131"/>
      <c r="E45" s="131"/>
      <c r="F45" s="302"/>
      <c r="G45" s="131"/>
      <c r="H45" s="628"/>
      <c r="I45" s="737"/>
      <c r="J45" s="179"/>
      <c r="K45" s="177">
        <f t="shared" si="1"/>
        <v>0</v>
      </c>
      <c r="L45" s="186"/>
      <c r="M45" s="194">
        <f t="shared" si="2"/>
        <v>0</v>
      </c>
      <c r="N45" s="236"/>
      <c r="O45" s="195" t="str">
        <f t="shared" si="3"/>
        <v>-</v>
      </c>
      <c r="P45" s="738"/>
      <c r="Q45" s="739"/>
      <c r="R45" s="740"/>
      <c r="S45" s="9"/>
      <c r="X45" s="75"/>
      <c r="Y45" s="76"/>
      <c r="Z45" s="77"/>
    </row>
    <row r="46" spans="2:26" ht="32.25" customHeight="1" thickBot="1" x14ac:dyDescent="0.55000000000000004">
      <c r="B46" s="225"/>
      <c r="C46" s="133"/>
      <c r="D46" s="210"/>
      <c r="E46" s="210"/>
      <c r="F46" s="210"/>
      <c r="G46" s="210"/>
      <c r="H46" s="557"/>
      <c r="I46" s="749"/>
      <c r="J46" s="181"/>
      <c r="K46" s="211">
        <f>IF(AND(H46=H45,J46-J45&gt;0),J46-J45,0)</f>
        <v>0</v>
      </c>
      <c r="L46" s="245"/>
      <c r="M46" s="212">
        <f t="shared" si="2"/>
        <v>0</v>
      </c>
      <c r="N46" s="238"/>
      <c r="O46" s="239" t="str">
        <f t="shared" si="3"/>
        <v>-</v>
      </c>
      <c r="P46" s="750"/>
      <c r="Q46" s="751"/>
      <c r="R46" s="752"/>
      <c r="S46" s="9"/>
      <c r="X46" s="75"/>
      <c r="Y46" s="76"/>
      <c r="Z46" s="77"/>
    </row>
    <row r="47" spans="2:26" ht="17.25" customHeight="1" thickBot="1" x14ac:dyDescent="0.25">
      <c r="H47" s="568"/>
      <c r="I47" s="568"/>
      <c r="X47" s="75"/>
      <c r="Y47" s="76"/>
      <c r="Z47" s="77"/>
    </row>
    <row r="48" spans="2:26" ht="30.4" customHeight="1" thickBot="1" x14ac:dyDescent="0.25">
      <c r="B48" s="692" t="s">
        <v>13</v>
      </c>
      <c r="C48" s="693"/>
      <c r="D48" s="258" t="s">
        <v>3</v>
      </c>
      <c r="E48" s="753" t="s">
        <v>15</v>
      </c>
      <c r="F48" s="753"/>
      <c r="G48" s="753" t="s">
        <v>7</v>
      </c>
      <c r="H48" s="753"/>
      <c r="I48" s="753"/>
      <c r="J48" s="259" t="s">
        <v>5</v>
      </c>
      <c r="K48" s="753" t="s">
        <v>6</v>
      </c>
      <c r="L48" s="754"/>
      <c r="M48" s="80"/>
      <c r="N48" s="80"/>
      <c r="P48" s="67" t="s">
        <v>15</v>
      </c>
      <c r="Q48" s="68" t="s">
        <v>16</v>
      </c>
      <c r="R48" s="69" t="s">
        <v>6</v>
      </c>
      <c r="S48" s="79"/>
      <c r="X48" s="75"/>
      <c r="Y48" s="76"/>
      <c r="Z48" s="77"/>
    </row>
    <row r="49" spans="2:26" ht="32.25" customHeight="1" x14ac:dyDescent="0.45">
      <c r="B49" s="755" t="s">
        <v>109</v>
      </c>
      <c r="C49" s="756"/>
      <c r="D49" s="329" t="s">
        <v>120</v>
      </c>
      <c r="E49" s="726">
        <f>SUMIFS('RPTS '!$K$17:$K$46,'RPTS '!$C$17:$C$46,'RPTS '!B49,'RPTS '!$F$17:$F$46,D49)</f>
        <v>0</v>
      </c>
      <c r="F49" s="726"/>
      <c r="G49" s="727">
        <f>SUMIFS('RPTS '!$D$79:$D$112,'RPTS '!$B$79:$B$112,'RPTS '!D49,'RPTS '!$C$79:$C$112,'RPTS '!B49)*E49</f>
        <v>0</v>
      </c>
      <c r="H49" s="727"/>
      <c r="I49" s="727"/>
      <c r="J49" s="257">
        <f>SUMIFS('RPTS '!$M$17:$M$46,'RPTS '!$C$17:$C$46,'RPTS '!B49,'RPTS '!$F$17:$F$46,D49)</f>
        <v>0</v>
      </c>
      <c r="K49" s="673" t="str">
        <f t="shared" ref="K49:K56" si="4">IF(E49=0,"-",E49/J49)</f>
        <v>-</v>
      </c>
      <c r="L49" s="674"/>
      <c r="M49" s="10"/>
      <c r="N49" s="59" t="s">
        <v>124</v>
      </c>
      <c r="O49" s="64">
        <v>1</v>
      </c>
      <c r="P49" s="168">
        <f>SUMIFS('RPTS '!$K$17:$K$46,'RPTS '!$N$17:$N$46,O49)</f>
        <v>0</v>
      </c>
      <c r="Q49" s="174">
        <f>SUMIFS('RPTS '!$M$17:$M$46,'RPTS '!$N$17:$N$46,O49)</f>
        <v>0</v>
      </c>
      <c r="R49" s="169" t="e">
        <f>P49/Q49</f>
        <v>#DIV/0!</v>
      </c>
      <c r="S49" s="11"/>
      <c r="X49" s="75"/>
      <c r="Y49" s="76"/>
      <c r="Z49" s="77"/>
    </row>
    <row r="50" spans="2:26" ht="32.25" customHeight="1" x14ac:dyDescent="0.45">
      <c r="B50" s="755"/>
      <c r="C50" s="756"/>
      <c r="D50" s="138"/>
      <c r="E50" s="675">
        <f>SUMIFS('RPTS '!$K$17:$K$46,'RPTS '!$C$17:$C$46,'RPTS '!B50,'RPTS '!$F$17:$F$46,D50)</f>
        <v>0</v>
      </c>
      <c r="F50" s="675"/>
      <c r="G50" s="725">
        <f>SUMIFS('RPTS '!$D$79:$D$112,'RPTS '!$B$79:$B$112,'RPTS '!D50,'RPTS '!$C$79:$C$112,'RPTS '!B50)*E50</f>
        <v>0</v>
      </c>
      <c r="H50" s="725"/>
      <c r="I50" s="725"/>
      <c r="J50" s="139">
        <f>SUMIFS('RPTS '!$M$17:$M$46,'RPTS '!$C$17:$C$46,'RPTS '!B50,'RPTS '!$F$17:$F$46,D50)</f>
        <v>0</v>
      </c>
      <c r="K50" s="676" t="str">
        <f t="shared" si="4"/>
        <v>-</v>
      </c>
      <c r="L50" s="724"/>
      <c r="M50" s="10"/>
      <c r="N50" s="60" t="s">
        <v>124</v>
      </c>
      <c r="O50" s="65">
        <v>2</v>
      </c>
      <c r="P50" s="170">
        <f>SUMIFS('RPTS '!$K$17:$K$46,'RPTS '!$N$17:$N$46,O50)</f>
        <v>0</v>
      </c>
      <c r="Q50" s="175">
        <f>SUMIFS('RPTS '!$M$17:$M$46,'RPTS '!$N$17:$N$46,O50)</f>
        <v>0</v>
      </c>
      <c r="R50" s="171" t="e">
        <f>P50/Q50</f>
        <v>#DIV/0!</v>
      </c>
      <c r="S50" s="11"/>
      <c r="X50" s="75"/>
      <c r="Y50" s="76"/>
      <c r="Z50" s="77"/>
    </row>
    <row r="51" spans="2:26" ht="32.25" customHeight="1" thickBot="1" x14ac:dyDescent="0.5">
      <c r="B51" s="755"/>
      <c r="C51" s="756"/>
      <c r="D51" s="138"/>
      <c r="E51" s="675">
        <f>SUMIFS('RPTS '!$K$17:$K$46,'RPTS '!$C$17:$C$46,'RPTS '!B51,'RPTS '!$F$17:$F$46,D51)</f>
        <v>0</v>
      </c>
      <c r="F51" s="675"/>
      <c r="G51" s="725">
        <f>SUMIFS('RPTS '!$D$79:$D$112,'RPTS '!$B$79:$B$112,'RPTS '!D51,'RPTS '!$C$79:$C$112,'RPTS '!B51)*E51</f>
        <v>0</v>
      </c>
      <c r="H51" s="725"/>
      <c r="I51" s="725"/>
      <c r="J51" s="139">
        <f>SUMIFS('RPTS '!$M$17:$M$46,'RPTS '!$C$17:$C$46,'RPTS '!B51,'RPTS '!$F$17:$F$46,D51)</f>
        <v>0</v>
      </c>
      <c r="K51" s="676" t="str">
        <f t="shared" si="4"/>
        <v>-</v>
      </c>
      <c r="L51" s="724"/>
      <c r="M51" s="10"/>
      <c r="N51" s="61" t="s">
        <v>124</v>
      </c>
      <c r="O51" s="66">
        <v>3</v>
      </c>
      <c r="P51" s="172">
        <f>SUMIFS('RPTS '!$K$17:$K$46,'RPTS '!$N$17:$N$46,O51)</f>
        <v>0</v>
      </c>
      <c r="Q51" s="176">
        <f>SUMIFS('RPTS '!$M$17:$M$46,'RPTS '!$N$17:$N$46,O51)</f>
        <v>0</v>
      </c>
      <c r="R51" s="173" t="e">
        <f>P51/Q51</f>
        <v>#DIV/0!</v>
      </c>
      <c r="S51" s="11"/>
    </row>
    <row r="52" spans="2:26" ht="32.25" customHeight="1" x14ac:dyDescent="0.45">
      <c r="B52" s="755"/>
      <c r="C52" s="756"/>
      <c r="D52" s="138"/>
      <c r="E52" s="675">
        <f>SUMIFS('RPTS '!$K$17:$K$46,'RPTS '!$C$17:$C$46,'RPTS '!B52,'RPTS '!$F$17:$F$46,D52)</f>
        <v>0</v>
      </c>
      <c r="F52" s="675"/>
      <c r="G52" s="725">
        <f>SUMIFS('RPTS '!$D$79:$D$112,'RPTS '!$B$79:$B$112,'RPTS '!D52,'RPTS '!$C$79:$C$112,'RPTS '!B52)*E52</f>
        <v>0</v>
      </c>
      <c r="H52" s="725"/>
      <c r="I52" s="725"/>
      <c r="J52" s="139">
        <f>SUMIFS('RPTS '!$M$17:$M$46,'RPTS '!$C$17:$C$46,'RPTS '!B52,'RPTS '!$F$17:$F$46,D52)</f>
        <v>0</v>
      </c>
      <c r="K52" s="676" t="str">
        <f t="shared" si="4"/>
        <v>-</v>
      </c>
      <c r="L52" s="724"/>
      <c r="M52" s="10"/>
      <c r="N52" s="10"/>
      <c r="O52" s="605"/>
      <c r="P52" s="605"/>
      <c r="Q52" s="605"/>
      <c r="R52" s="605"/>
      <c r="S52" s="11"/>
    </row>
    <row r="53" spans="2:26" ht="32.25" customHeight="1" x14ac:dyDescent="0.45">
      <c r="B53" s="755"/>
      <c r="C53" s="756"/>
      <c r="D53" s="138"/>
      <c r="E53" s="675">
        <f>SUMIFS('RPTS '!$K$17:$K$46,'RPTS '!$C$17:$C$46,'RPTS '!B53,'RPTS '!$F$17:$F$46,D53)</f>
        <v>0</v>
      </c>
      <c r="F53" s="675"/>
      <c r="G53" s="725">
        <f>SUMIFS('RPTS '!$D$79:$D$112,'RPTS '!$B$79:$B$112,'RPTS '!D53,'RPTS '!$C$79:$C$112,'RPTS '!B53)*E53</f>
        <v>0</v>
      </c>
      <c r="H53" s="725"/>
      <c r="I53" s="725"/>
      <c r="J53" s="139">
        <f>SUMIFS('RPTS '!$M$17:$M$46,'RPTS '!$C$17:$C$46,'RPTS '!B53,'RPTS '!$F$17:$F$46,D53)</f>
        <v>0</v>
      </c>
      <c r="K53" s="676" t="str">
        <f t="shared" si="4"/>
        <v>-</v>
      </c>
      <c r="L53" s="724"/>
      <c r="M53" s="10"/>
      <c r="N53" s="10"/>
      <c r="O53" s="11"/>
      <c r="P53" s="11"/>
      <c r="Q53" s="11"/>
      <c r="R53" s="11"/>
      <c r="S53" s="11"/>
    </row>
    <row r="54" spans="2:26" ht="32.25" customHeight="1" x14ac:dyDescent="0.45">
      <c r="B54" s="755"/>
      <c r="C54" s="756"/>
      <c r="D54" s="138"/>
      <c r="E54" s="675">
        <f>SUMIFS('RPTS '!$K$17:$K$46,'RPTS '!$C$17:$C$46,'RPTS '!B54,'RPTS '!$F$17:$F$46,D54)</f>
        <v>0</v>
      </c>
      <c r="F54" s="675"/>
      <c r="G54" s="725">
        <f>SUMIFS('RPTS '!$D$79:$D$112,'RPTS '!$B$79:$B$112,'RPTS '!D54,'RPTS '!$C$79:$C$112,'RPTS '!B54)*E54</f>
        <v>0</v>
      </c>
      <c r="H54" s="725"/>
      <c r="I54" s="725"/>
      <c r="J54" s="139">
        <f>SUMIFS('RPTS '!$M$17:$M$46,'RPTS '!$C$17:$C$46,'RPTS '!B54,'RPTS '!$F$17:$F$46,D54)</f>
        <v>0</v>
      </c>
      <c r="K54" s="676" t="str">
        <f t="shared" si="4"/>
        <v>-</v>
      </c>
      <c r="L54" s="724"/>
      <c r="M54" s="10"/>
      <c r="N54" s="10"/>
      <c r="O54" s="11"/>
      <c r="P54" s="11"/>
      <c r="Q54" s="11"/>
      <c r="R54" s="11"/>
      <c r="S54" s="11"/>
    </row>
    <row r="55" spans="2:26" ht="32.25" customHeight="1" x14ac:dyDescent="0.45">
      <c r="B55" s="755"/>
      <c r="C55" s="756"/>
      <c r="D55" s="138"/>
      <c r="E55" s="675">
        <f>SUMIFS('RPTS '!$K$17:$K$46,'RPTS '!$C$17:$C$46,'RPTS '!B55,'RPTS '!$F$17:$F$46,D55)</f>
        <v>0</v>
      </c>
      <c r="F55" s="675"/>
      <c r="G55" s="725">
        <f>SUMIFS('RPTS '!$D$79:$D$112,'RPTS '!$B$79:$B$112,'RPTS '!D55,'RPTS '!$C$79:$C$112,'RPTS '!B55)*E55</f>
        <v>0</v>
      </c>
      <c r="H55" s="725"/>
      <c r="I55" s="725"/>
      <c r="J55" s="139">
        <f>SUMIFS('RPTS '!$M$17:$M$46,'RPTS '!$C$17:$C$46,'RPTS '!B55,'RPTS '!$F$17:$F$46,D55)</f>
        <v>0</v>
      </c>
      <c r="K55" s="676" t="str">
        <f t="shared" si="4"/>
        <v>-</v>
      </c>
      <c r="L55" s="724"/>
      <c r="M55" s="10"/>
      <c r="N55" s="10"/>
      <c r="O55" s="11"/>
      <c r="P55" s="11"/>
      <c r="Q55" s="11"/>
      <c r="R55" s="11"/>
      <c r="S55" s="11"/>
    </row>
    <row r="56" spans="2:26" ht="32.25" customHeight="1" thickBot="1" x14ac:dyDescent="0.5">
      <c r="B56" s="755"/>
      <c r="C56" s="756"/>
      <c r="D56" s="140"/>
      <c r="E56" s="728">
        <f>SUMIFS('RPTS '!$K$17:$K$46,'RPTS '!$C$17:$C$46,'RPTS '!B56,'RPTS '!$F$17:$F$46,D56)</f>
        <v>0</v>
      </c>
      <c r="F56" s="728"/>
      <c r="G56" s="729">
        <f>SUMIFS('RPTS '!$D$79:$D$112,'RPTS '!$B$79:$B$112,'RPTS '!D56,'RPTS '!$C$79:$C$112,'RPTS '!B56)*E56</f>
        <v>0</v>
      </c>
      <c r="H56" s="729"/>
      <c r="I56" s="729"/>
      <c r="J56" s="141">
        <f>SUMIFS('RPTS '!$M$17:$M$46,'RPTS '!$C$17:$C$46,'RPTS '!B56,'RPTS '!$F$17:$F$46,D56)</f>
        <v>0</v>
      </c>
      <c r="K56" s="696" t="str">
        <f t="shared" si="4"/>
        <v>-</v>
      </c>
      <c r="L56" s="730"/>
      <c r="P56" s="9"/>
      <c r="Q56" s="9"/>
      <c r="R56" s="9"/>
      <c r="S56" s="11"/>
    </row>
    <row r="57" spans="2:26" ht="43.5" customHeight="1" x14ac:dyDescent="0.2"/>
    <row r="58" spans="2:26" ht="13.5" thickBot="1" x14ac:dyDescent="0.25"/>
    <row r="59" spans="2:26" ht="33.6" customHeight="1" thickBot="1" x14ac:dyDescent="0.25">
      <c r="B59" s="759" t="s">
        <v>3</v>
      </c>
      <c r="C59" s="587"/>
      <c r="D59" s="158"/>
      <c r="E59" s="618" t="s">
        <v>15</v>
      </c>
      <c r="F59" s="618"/>
      <c r="G59" s="618" t="s">
        <v>7</v>
      </c>
      <c r="H59" s="618"/>
      <c r="I59" s="618"/>
      <c r="J59" s="130" t="s">
        <v>5</v>
      </c>
      <c r="K59" s="618" t="s">
        <v>6</v>
      </c>
      <c r="L59" s="618"/>
    </row>
    <row r="60" spans="2:26" ht="32.25" customHeight="1" thickBot="1" x14ac:dyDescent="0.25">
      <c r="B60" s="757" t="s">
        <v>120</v>
      </c>
      <c r="C60" s="758"/>
      <c r="D60" s="159"/>
      <c r="E60" s="614">
        <f>SUMIFS('RPTS '!$E$49:$E$56,'RPTS '!$D$49:$D$56,D60)</f>
        <v>0</v>
      </c>
      <c r="F60" s="614"/>
      <c r="G60" s="615">
        <f>SUMIFS('RPTS '!$G$49:$G$56,'RPTS '!$D$49:$D$56,D60)</f>
        <v>0</v>
      </c>
      <c r="H60" s="615"/>
      <c r="I60" s="615"/>
      <c r="J60" s="156">
        <f>SUMIFS('RPTS '!$J$49:$J$56,'RPTS '!$D$49:$D$56,D60)</f>
        <v>0</v>
      </c>
      <c r="K60" s="615" t="str">
        <f>IF(E60=0,"-",E60/J60)</f>
        <v>-</v>
      </c>
      <c r="L60" s="615"/>
      <c r="M60" s="10"/>
      <c r="N60" s="10"/>
      <c r="O60" s="62"/>
      <c r="P60" s="63"/>
      <c r="Q60" s="63"/>
      <c r="R60" s="63"/>
      <c r="S60" s="11"/>
    </row>
    <row r="62" spans="2:26" x14ac:dyDescent="0.2">
      <c r="Q62" s="48"/>
      <c r="R62" s="49"/>
    </row>
    <row r="63" spans="2:26" x14ac:dyDescent="0.2">
      <c r="Q63" s="48"/>
      <c r="R63" s="49"/>
    </row>
    <row r="64" spans="2:26" x14ac:dyDescent="0.2">
      <c r="Q64" s="50"/>
      <c r="R64" s="49"/>
    </row>
    <row r="65" spans="2:18" x14ac:dyDescent="0.2">
      <c r="Q65" s="48"/>
      <c r="R65" s="49"/>
    </row>
    <row r="66" spans="2:18" x14ac:dyDescent="0.2">
      <c r="Q66" s="48"/>
      <c r="R66" s="49"/>
    </row>
    <row r="67" spans="2:18" x14ac:dyDescent="0.2">
      <c r="Q67" s="48"/>
      <c r="R67" s="49"/>
    </row>
    <row r="68" spans="2:18" x14ac:dyDescent="0.2">
      <c r="Q68" s="48"/>
      <c r="R68" s="51"/>
    </row>
    <row r="70" spans="2:18" ht="15.75" x14ac:dyDescent="0.2">
      <c r="D70" s="47"/>
      <c r="E70" s="47"/>
      <c r="F70" s="47"/>
      <c r="G70" s="47"/>
      <c r="H70" s="47"/>
      <c r="I70" s="47"/>
      <c r="J70" s="47"/>
      <c r="K70" s="47"/>
    </row>
    <row r="71" spans="2:18" ht="15.75" x14ac:dyDescent="0.2">
      <c r="D71" s="47"/>
      <c r="E71" s="47"/>
      <c r="F71" s="47"/>
      <c r="G71" s="47"/>
      <c r="H71" s="47"/>
      <c r="I71" s="47"/>
      <c r="J71" s="47"/>
      <c r="K71" s="47"/>
    </row>
    <row r="72" spans="2:18" ht="15.75" x14ac:dyDescent="0.2">
      <c r="D72" s="47"/>
      <c r="E72" s="47"/>
      <c r="F72" s="47"/>
      <c r="G72" s="47"/>
      <c r="H72" s="47"/>
      <c r="I72" s="47"/>
      <c r="J72" s="47"/>
      <c r="K72" s="47"/>
    </row>
    <row r="73" spans="2:18" ht="15.75" x14ac:dyDescent="0.2">
      <c r="D73" s="47"/>
      <c r="E73" s="47"/>
      <c r="F73" s="47"/>
      <c r="G73" s="47"/>
      <c r="H73" s="47"/>
      <c r="I73" s="47"/>
      <c r="J73" s="47"/>
      <c r="K73" s="47"/>
    </row>
    <row r="74" spans="2:18" ht="15.75" x14ac:dyDescent="0.2">
      <c r="D74" s="47"/>
      <c r="E74" s="47"/>
      <c r="F74" s="47"/>
      <c r="G74" s="47"/>
      <c r="H74" s="47"/>
      <c r="I74" s="47"/>
      <c r="J74" s="47"/>
      <c r="K74" s="47"/>
    </row>
    <row r="78" spans="2:18" x14ac:dyDescent="0.2">
      <c r="B78" s="54" t="s">
        <v>126</v>
      </c>
      <c r="C78" s="54" t="s">
        <v>13</v>
      </c>
      <c r="D78" s="54" t="s">
        <v>114</v>
      </c>
    </row>
    <row r="79" spans="2:18" ht="18" hidden="1" x14ac:dyDescent="0.2">
      <c r="B79" s="71" t="s">
        <v>116</v>
      </c>
      <c r="C79" s="52" t="s">
        <v>34</v>
      </c>
      <c r="D79" s="53">
        <v>0.62</v>
      </c>
    </row>
    <row r="80" spans="2:18" ht="18" hidden="1" x14ac:dyDescent="0.2">
      <c r="B80" s="71" t="s">
        <v>116</v>
      </c>
      <c r="C80" s="52" t="s">
        <v>35</v>
      </c>
      <c r="D80" s="53">
        <v>0.57999999999999996</v>
      </c>
    </row>
    <row r="81" spans="2:4" ht="18" hidden="1" x14ac:dyDescent="0.2">
      <c r="B81" s="71" t="s">
        <v>116</v>
      </c>
      <c r="C81" s="52" t="s">
        <v>26</v>
      </c>
      <c r="D81" s="53">
        <v>0.8</v>
      </c>
    </row>
    <row r="82" spans="2:4" ht="18" hidden="1" x14ac:dyDescent="0.2">
      <c r="B82" s="71" t="s">
        <v>116</v>
      </c>
      <c r="C82" s="52" t="s">
        <v>30</v>
      </c>
      <c r="D82" s="53">
        <v>0.79</v>
      </c>
    </row>
    <row r="83" spans="2:4" ht="18" hidden="1" x14ac:dyDescent="0.2">
      <c r="B83" s="71" t="s">
        <v>116</v>
      </c>
      <c r="C83" s="52" t="s">
        <v>33</v>
      </c>
      <c r="D83" s="53">
        <v>0.78</v>
      </c>
    </row>
    <row r="84" spans="2:4" ht="18" hidden="1" x14ac:dyDescent="0.2">
      <c r="B84" s="71" t="s">
        <v>116</v>
      </c>
      <c r="C84" s="52" t="s">
        <v>36</v>
      </c>
      <c r="D84" s="53">
        <v>0.55000000000000004</v>
      </c>
    </row>
    <row r="85" spans="2:4" ht="18" hidden="1" x14ac:dyDescent="0.2">
      <c r="B85" s="71" t="s">
        <v>116</v>
      </c>
      <c r="C85" s="52" t="s">
        <v>22</v>
      </c>
      <c r="D85" s="53">
        <v>0.82</v>
      </c>
    </row>
    <row r="86" spans="2:4" ht="18" x14ac:dyDescent="0.2">
      <c r="B86" s="71" t="s">
        <v>120</v>
      </c>
      <c r="C86" s="52" t="s">
        <v>109</v>
      </c>
      <c r="D86" s="53">
        <v>0.56999999999999995</v>
      </c>
    </row>
    <row r="87" spans="2:4" ht="18" hidden="1" x14ac:dyDescent="0.2">
      <c r="B87" s="71" t="s">
        <v>118</v>
      </c>
      <c r="C87" s="52" t="s">
        <v>110</v>
      </c>
      <c r="D87" s="53">
        <v>0.82</v>
      </c>
    </row>
    <row r="88" spans="2:4" ht="18" hidden="1" x14ac:dyDescent="0.2">
      <c r="B88" s="71" t="s">
        <v>118</v>
      </c>
      <c r="C88" s="52" t="s">
        <v>543</v>
      </c>
      <c r="D88" s="53">
        <v>0.82</v>
      </c>
    </row>
    <row r="89" spans="2:4" ht="18" hidden="1" x14ac:dyDescent="0.2">
      <c r="B89" s="71" t="s">
        <v>118</v>
      </c>
      <c r="C89" s="52" t="s">
        <v>111</v>
      </c>
      <c r="D89" s="53">
        <v>0.82</v>
      </c>
    </row>
    <row r="90" spans="2:4" ht="18" hidden="1" x14ac:dyDescent="0.2">
      <c r="B90" s="71" t="s">
        <v>118</v>
      </c>
      <c r="C90" s="52" t="s">
        <v>128</v>
      </c>
      <c r="D90" s="53">
        <v>0.82</v>
      </c>
    </row>
    <row r="91" spans="2:4" ht="18" hidden="1" x14ac:dyDescent="0.2">
      <c r="B91" s="71" t="s">
        <v>118</v>
      </c>
      <c r="C91" s="52" t="s">
        <v>112</v>
      </c>
      <c r="D91" s="53">
        <v>0.84</v>
      </c>
    </row>
    <row r="92" spans="2:4" ht="18" hidden="1" x14ac:dyDescent="0.2">
      <c r="B92" s="71" t="s">
        <v>118</v>
      </c>
      <c r="C92" s="52" t="s">
        <v>113</v>
      </c>
      <c r="D92" s="53">
        <v>0.85</v>
      </c>
    </row>
    <row r="93" spans="2:4" ht="18" hidden="1" x14ac:dyDescent="0.2">
      <c r="B93" s="71" t="s">
        <v>118</v>
      </c>
      <c r="C93" s="52" t="s">
        <v>127</v>
      </c>
      <c r="D93" s="53">
        <v>0.84</v>
      </c>
    </row>
    <row r="94" spans="2:4" ht="18" hidden="1" x14ac:dyDescent="0.2">
      <c r="B94" s="71" t="s">
        <v>118</v>
      </c>
      <c r="C94" s="52" t="s">
        <v>129</v>
      </c>
      <c r="D94" s="53">
        <v>0.84</v>
      </c>
    </row>
    <row r="95" spans="2:4" ht="18" hidden="1" x14ac:dyDescent="0.2">
      <c r="B95" s="71" t="s">
        <v>118</v>
      </c>
      <c r="C95" s="52" t="s">
        <v>35</v>
      </c>
      <c r="D95" s="53">
        <v>0.75</v>
      </c>
    </row>
    <row r="96" spans="2:4" ht="18" hidden="1" x14ac:dyDescent="0.2">
      <c r="B96" s="71" t="s">
        <v>118</v>
      </c>
      <c r="C96" s="52" t="s">
        <v>34</v>
      </c>
      <c r="D96" s="53">
        <v>0.76</v>
      </c>
    </row>
    <row r="97" spans="2:4" ht="18" hidden="1" x14ac:dyDescent="0.2">
      <c r="B97" s="71" t="s">
        <v>118</v>
      </c>
      <c r="C97" s="52" t="s">
        <v>36</v>
      </c>
      <c r="D97" s="53">
        <v>0.71</v>
      </c>
    </row>
    <row r="98" spans="2:4" ht="18" hidden="1" x14ac:dyDescent="0.2">
      <c r="B98" s="72" t="s">
        <v>118</v>
      </c>
      <c r="C98" s="73" t="s">
        <v>544</v>
      </c>
      <c r="D98" s="74">
        <v>0.8</v>
      </c>
    </row>
    <row r="99" spans="2:4" ht="18" hidden="1" x14ac:dyDescent="0.2">
      <c r="B99" s="72" t="s">
        <v>118</v>
      </c>
      <c r="C99" s="73" t="s">
        <v>26</v>
      </c>
      <c r="D99" s="74">
        <v>0.8</v>
      </c>
    </row>
    <row r="100" spans="2:4" ht="18" hidden="1" x14ac:dyDescent="0.2">
      <c r="B100" s="72" t="s">
        <v>118</v>
      </c>
      <c r="C100" s="73" t="s">
        <v>30</v>
      </c>
      <c r="D100" s="74">
        <v>0.79</v>
      </c>
    </row>
    <row r="101" spans="2:4" ht="18" hidden="1" x14ac:dyDescent="0.2">
      <c r="B101" s="72" t="s">
        <v>118</v>
      </c>
      <c r="C101" s="73" t="s">
        <v>33</v>
      </c>
      <c r="D101" s="74">
        <v>0.78</v>
      </c>
    </row>
    <row r="102" spans="2:4" ht="18" hidden="1" x14ac:dyDescent="0.2">
      <c r="B102" s="72" t="s">
        <v>117</v>
      </c>
      <c r="C102" s="73" t="s">
        <v>34</v>
      </c>
      <c r="D102" s="74">
        <v>0.67</v>
      </c>
    </row>
    <row r="103" spans="2:4" ht="18" hidden="1" x14ac:dyDescent="0.2">
      <c r="B103" s="72" t="s">
        <v>117</v>
      </c>
      <c r="C103" s="73" t="s">
        <v>35</v>
      </c>
      <c r="D103" s="74">
        <v>0.56000000000000005</v>
      </c>
    </row>
    <row r="104" spans="2:4" ht="18" hidden="1" x14ac:dyDescent="0.2">
      <c r="B104" s="72" t="s">
        <v>117</v>
      </c>
      <c r="C104" s="73" t="s">
        <v>30</v>
      </c>
      <c r="D104" s="74">
        <v>0.71</v>
      </c>
    </row>
    <row r="105" spans="2:4" ht="18" hidden="1" x14ac:dyDescent="0.2">
      <c r="B105" s="72" t="s">
        <v>117</v>
      </c>
      <c r="C105" s="73" t="s">
        <v>33</v>
      </c>
      <c r="D105" s="74">
        <v>0.69</v>
      </c>
    </row>
    <row r="106" spans="2:4" ht="18" hidden="1" x14ac:dyDescent="0.2">
      <c r="B106" s="72" t="s">
        <v>117</v>
      </c>
      <c r="C106" s="73" t="s">
        <v>36</v>
      </c>
      <c r="D106" s="74">
        <v>0.34</v>
      </c>
    </row>
    <row r="107" spans="2:4" ht="18" hidden="1" x14ac:dyDescent="0.2">
      <c r="B107" s="72" t="s">
        <v>119</v>
      </c>
      <c r="C107" s="73" t="s">
        <v>34</v>
      </c>
      <c r="D107" s="74">
        <v>0.62</v>
      </c>
    </row>
    <row r="108" spans="2:4" ht="18" hidden="1" x14ac:dyDescent="0.2">
      <c r="B108" s="72" t="s">
        <v>119</v>
      </c>
      <c r="C108" s="73" t="s">
        <v>35</v>
      </c>
      <c r="D108" s="74">
        <v>0.57999999999999996</v>
      </c>
    </row>
    <row r="109" spans="2:4" ht="18" hidden="1" x14ac:dyDescent="0.2">
      <c r="B109" s="72" t="s">
        <v>119</v>
      </c>
      <c r="C109" s="73" t="s">
        <v>26</v>
      </c>
      <c r="D109" s="74">
        <v>0.69</v>
      </c>
    </row>
    <row r="110" spans="2:4" ht="18" hidden="1" x14ac:dyDescent="0.2">
      <c r="B110" s="72" t="s">
        <v>119</v>
      </c>
      <c r="C110" s="73" t="s">
        <v>30</v>
      </c>
      <c r="D110" s="74">
        <v>0.71</v>
      </c>
    </row>
    <row r="111" spans="2:4" ht="18" hidden="1" x14ac:dyDescent="0.2">
      <c r="B111" s="72" t="s">
        <v>119</v>
      </c>
      <c r="C111" s="73" t="s">
        <v>33</v>
      </c>
      <c r="D111" s="74">
        <v>0.69</v>
      </c>
    </row>
    <row r="112" spans="2:4" ht="18" hidden="1" x14ac:dyDescent="0.2">
      <c r="B112" s="72" t="s">
        <v>119</v>
      </c>
      <c r="C112" s="73" t="s">
        <v>36</v>
      </c>
      <c r="D112" s="74">
        <v>0.55000000000000004</v>
      </c>
    </row>
  </sheetData>
  <protectedRanges>
    <protectedRange algorithmName="SHA-512" hashValue="kiUK5nbhQUOV61kEqhm5yKn9p5J+nxYxlXRyrmwR3kOjhb/3qxEkVE1CsHMuvX2HWlduQJxkNSeveF1nhF8NCA==" saltValue="XLWoA7xiwWWbt8YBVSsY/w==" spinCount="100000" sqref="P18:R46 L18:L46 B33:J46 N18:N46 B49:D56 H17:I17 F17 C18:J32" name="Plage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0" name="Plage1_3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P17:R17" name="Plage1_2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B18:B32" name="Plage1_2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N17" name="Plage1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B17" name="Plage1_1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G17" name="Plage1_4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C17:D17" name="Plage1_5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E17" name="Plage1_1_1_1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L17 J17" name="Plage1_6" securityDescriptor="O:WDG:WDD:(A;;CC;;;S-1-5-21-3126896699-2736327119-1644971827-159763)"/>
  </protectedRanges>
  <mergeCells count="121">
    <mergeCell ref="B51:C51"/>
    <mergeCell ref="E51:F51"/>
    <mergeCell ref="G51:I51"/>
    <mergeCell ref="K51:L51"/>
    <mergeCell ref="B49:C49"/>
    <mergeCell ref="E49:F49"/>
    <mergeCell ref="G49:I49"/>
    <mergeCell ref="B59:C59"/>
    <mergeCell ref="E59:F59"/>
    <mergeCell ref="G59:I59"/>
    <mergeCell ref="K59:L59"/>
    <mergeCell ref="K49:L49"/>
    <mergeCell ref="B50:C50"/>
    <mergeCell ref="E50:F50"/>
    <mergeCell ref="G50:I50"/>
    <mergeCell ref="K50:L50"/>
    <mergeCell ref="B60:C60"/>
    <mergeCell ref="E60:F60"/>
    <mergeCell ref="G60:I60"/>
    <mergeCell ref="K60:L60"/>
    <mergeCell ref="B55:C55"/>
    <mergeCell ref="E55:F55"/>
    <mergeCell ref="G55:I55"/>
    <mergeCell ref="K55:L55"/>
    <mergeCell ref="B56:C56"/>
    <mergeCell ref="E56:F56"/>
    <mergeCell ref="G56:I56"/>
    <mergeCell ref="K56:L56"/>
    <mergeCell ref="O52:R52"/>
    <mergeCell ref="B53:C53"/>
    <mergeCell ref="E53:F53"/>
    <mergeCell ref="G53:I53"/>
    <mergeCell ref="K53:L53"/>
    <mergeCell ref="B54:C54"/>
    <mergeCell ref="E54:F54"/>
    <mergeCell ref="G54:I54"/>
    <mergeCell ref="K54:L54"/>
    <mergeCell ref="B52:C52"/>
    <mergeCell ref="E52:F52"/>
    <mergeCell ref="G52:I52"/>
    <mergeCell ref="K52:L52"/>
    <mergeCell ref="H46:I46"/>
    <mergeCell ref="P46:R46"/>
    <mergeCell ref="H47:I47"/>
    <mergeCell ref="B48:C48"/>
    <mergeCell ref="E48:F48"/>
    <mergeCell ref="G48:I48"/>
    <mergeCell ref="K48:L48"/>
    <mergeCell ref="H43:I43"/>
    <mergeCell ref="P43:R43"/>
    <mergeCell ref="H44:I44"/>
    <mergeCell ref="P44:R44"/>
    <mergeCell ref="H45:I45"/>
    <mergeCell ref="P45:R45"/>
    <mergeCell ref="H39:I39"/>
    <mergeCell ref="P39:R39"/>
    <mergeCell ref="H40:I40"/>
    <mergeCell ref="P40:R40"/>
    <mergeCell ref="H41:I41"/>
    <mergeCell ref="P41:R41"/>
    <mergeCell ref="H42:I42"/>
    <mergeCell ref="H36:I36"/>
    <mergeCell ref="P36:R36"/>
    <mergeCell ref="H37:I37"/>
    <mergeCell ref="P37:R37"/>
    <mergeCell ref="H38:I38"/>
    <mergeCell ref="P38:R38"/>
    <mergeCell ref="H33:I33"/>
    <mergeCell ref="P33:R33"/>
    <mergeCell ref="H34:I34"/>
    <mergeCell ref="P34:R34"/>
    <mergeCell ref="H35:I35"/>
    <mergeCell ref="P35:R35"/>
    <mergeCell ref="H30:I30"/>
    <mergeCell ref="P30:R30"/>
    <mergeCell ref="H31:I31"/>
    <mergeCell ref="P31:R31"/>
    <mergeCell ref="H32:I32"/>
    <mergeCell ref="P32:R32"/>
    <mergeCell ref="H27:I27"/>
    <mergeCell ref="P27:R27"/>
    <mergeCell ref="H28:I28"/>
    <mergeCell ref="P28:R28"/>
    <mergeCell ref="H29:I29"/>
    <mergeCell ref="P29:R29"/>
    <mergeCell ref="P17:R17"/>
    <mergeCell ref="Q6:R6"/>
    <mergeCell ref="H24:I24"/>
    <mergeCell ref="P24:R24"/>
    <mergeCell ref="H25:I25"/>
    <mergeCell ref="P25:R25"/>
    <mergeCell ref="H26:I26"/>
    <mergeCell ref="P26:R26"/>
    <mergeCell ref="H22:I22"/>
    <mergeCell ref="P22:R22"/>
    <mergeCell ref="H23:I23"/>
    <mergeCell ref="P23:R23"/>
    <mergeCell ref="B8:C9"/>
    <mergeCell ref="E8:R8"/>
    <mergeCell ref="E9:R9"/>
    <mergeCell ref="B10:C10"/>
    <mergeCell ref="F10:Q10"/>
    <mergeCell ref="H21:I21"/>
    <mergeCell ref="P21:R21"/>
    <mergeCell ref="C2:D3"/>
    <mergeCell ref="C4:D5"/>
    <mergeCell ref="F6:G6"/>
    <mergeCell ref="I6:J6"/>
    <mergeCell ref="K6:L6"/>
    <mergeCell ref="M6:O6"/>
    <mergeCell ref="B13:R14"/>
    <mergeCell ref="Q15:R15"/>
    <mergeCell ref="H16:I16"/>
    <mergeCell ref="P16:R16"/>
    <mergeCell ref="H18:I18"/>
    <mergeCell ref="P18:R18"/>
    <mergeCell ref="H19:I19"/>
    <mergeCell ref="P19:R19"/>
    <mergeCell ref="H20:I20"/>
    <mergeCell ref="P20:R20"/>
    <mergeCell ref="H17:I17"/>
  </mergeCells>
  <dataValidations count="2">
    <dataValidation type="list" allowBlank="1" showInputMessage="1" showErrorMessage="1" sqref="B60:C60">
      <formula1>$A$2:$A$15</formula1>
    </dataValidation>
    <dataValidation type="list" allowBlank="1" showInputMessage="1" showErrorMessage="1" sqref="D60">
      <formula1>$A$2:$A$10</formula1>
    </dataValidation>
  </dataValidations>
  <printOptions horizontalCentered="1" verticalCentered="1"/>
  <pageMargins left="0" right="0.19685039370078741" top="0" bottom="0" header="0" footer="0"/>
  <pageSetup paperSize="9" scale="36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90" operator="equal" id="{E5939F96-0E1D-4D05-B0FB-F784F432BEC9}">
            <xm:f>QUALITE!$A$18</xm:f>
            <x14:dxf>
              <font>
                <color rgb="FFFF0000"/>
              </font>
            </x14:dxf>
          </x14:cfRule>
          <x14:cfRule type="cellIs" priority="291" operator="equal" id="{D5987065-FD6F-45F4-ADCA-508768BCD5CD}">
            <xm:f>QUALITE!$A$17</xm:f>
            <x14:dxf>
              <font>
                <color rgb="FF00B0F0"/>
              </font>
            </x14:dxf>
          </x14:cfRule>
          <x14:cfRule type="cellIs" priority="292" operator="equal" id="{3D9DDBC2-395A-445C-8B76-7C7B7045AC33}">
            <xm:f>QUALITE!$A$16</xm:f>
            <x14:dxf>
              <font>
                <color auto="1"/>
              </font>
            </x14:dxf>
          </x14:cfRule>
          <x14:cfRule type="cellIs" priority="293" operator="equal" id="{91EA85B5-3C64-4F36-A08C-00E13F6E6CC4}">
            <xm:f>QUALITE!$A$15</xm:f>
            <x14:dxf>
              <font>
                <color auto="1"/>
              </font>
            </x14:dxf>
          </x14:cfRule>
          <x14:cfRule type="cellIs" priority="294" operator="equal" id="{F3DA8182-347B-49C5-99C0-14B51A77F231}">
            <xm:f>QUALITE!$A$14</xm:f>
            <x14:dxf>
              <font>
                <color rgb="FFFF0000"/>
              </font>
            </x14:dxf>
          </x14:cfRule>
          <x14:cfRule type="cellIs" priority="295" operator="equal" id="{C547F72D-91CB-42A0-B9DD-5D44C40EE142}">
            <xm:f>QUALITE!$A$13</xm:f>
            <x14:dxf>
              <font>
                <color rgb="FFFF0000"/>
              </font>
            </x14:dxf>
          </x14:cfRule>
          <x14:cfRule type="cellIs" priority="296" operator="equal" id="{4045C835-A2FC-48C6-93FE-CD9146271008}">
            <xm:f>QUALITE!$A$12</xm:f>
            <x14:dxf>
              <font>
                <color rgb="FF00B050"/>
              </font>
            </x14:dxf>
          </x14:cfRule>
          <x14:cfRule type="cellIs" priority="297" operator="equal" id="{B862D227-4A25-4983-9ACD-5BCD4487DC28}">
            <xm:f>QUALITE!$A$11</xm:f>
            <x14:dxf>
              <font>
                <color rgb="FF0070C0"/>
              </font>
            </x14:dxf>
          </x14:cfRule>
          <x14:cfRule type="cellIs" priority="298" operator="equal" id="{C8FC1345-A118-4D45-BFA8-0BA5A4044C9B}">
            <xm:f>QUALITE!$A$10</xm:f>
            <x14:dxf>
              <font>
                <color rgb="FF00B0F0"/>
              </font>
            </x14:dxf>
          </x14:cfRule>
          <x14:cfRule type="cellIs" priority="299" operator="equal" id="{6A92F52C-1EB3-4FCA-80FA-4256E2C2A80E}">
            <xm:f>QUALITE!$A$9</xm:f>
            <x14:dxf>
              <font>
                <color auto="1"/>
              </font>
            </x14:dxf>
          </x14:cfRule>
          <x14:cfRule type="cellIs" priority="300" operator="equal" id="{C4F3E79D-B8C9-4106-93E0-895019A7CDC0}">
            <xm:f>QUALITE!$A$8</xm:f>
            <x14:dxf>
              <font>
                <color rgb="FFC00000"/>
              </font>
            </x14:dxf>
          </x14:cfRule>
          <x14:cfRule type="cellIs" priority="301" operator="equal" id="{436271B1-D725-45DD-9294-4E7070B2AE39}">
            <xm:f>QUALITE!$A$7</xm:f>
            <x14:dxf>
              <font>
                <color rgb="FFFFC000"/>
              </font>
            </x14:dxf>
          </x14:cfRule>
          <x14:cfRule type="cellIs" priority="302" operator="equal" id="{C8CB4388-117D-4952-9D7C-F0AAE47E54E1}">
            <xm:f>QUALITE!$A$6</xm:f>
            <x14:dxf>
              <font>
                <color rgb="FF00B050"/>
              </font>
            </x14:dxf>
          </x14:cfRule>
          <x14:cfRule type="cellIs" priority="303" operator="equal" id="{DF500BCA-13E9-4D21-BFC1-62D1E4431E3E}">
            <xm:f>QUALITE!$A$5</xm:f>
            <x14:dxf>
              <font>
                <color rgb="FFFF0000"/>
              </font>
            </x14:dxf>
          </x14:cfRule>
          <x14:cfRule type="cellIs" priority="304" operator="equal" id="{C0187FC3-EF19-421B-B4A8-E4110BF2E419}">
            <xm:f>QUALITE!$A$4</xm:f>
            <x14:dxf>
              <font>
                <color rgb="FFFF0000"/>
              </font>
            </x14:dxf>
          </x14:cfRule>
          <x14:cfRule type="cellIs" priority="305" operator="equal" id="{54B3AE31-F109-4071-9765-7F4CF5861D94}">
            <xm:f>QUALITE!$A$3</xm:f>
            <x14:dxf>
              <font>
                <color rgb="FF0070C0"/>
              </font>
            </x14:dxf>
          </x14:cfRule>
          <x14:cfRule type="cellIs" priority="306" operator="equal" id="{75038AD1-E6D0-4738-A637-1DE17BDF0A62}">
            <xm:f>QUALITE!$A$2</xm:f>
            <x14:dxf>
              <font>
                <color rgb="FF00B0F0"/>
              </font>
            </x14:dxf>
          </x14:cfRule>
          <xm:sqref>B49:B56</xm:sqref>
        </x14:conditionalFormatting>
        <x14:conditionalFormatting xmlns:xm="http://schemas.microsoft.com/office/excel/2006/main">
          <x14:cfRule type="cellIs" priority="273" operator="equal" id="{74F823A3-6721-4709-B451-DF19A7693243}">
            <xm:f>QUALITE!$A$18</xm:f>
            <x14:dxf>
              <font>
                <color rgb="FFFF0000"/>
              </font>
            </x14:dxf>
          </x14:cfRule>
          <x14:cfRule type="cellIs" priority="274" operator="equal" id="{2714887E-06BB-4404-AB87-F3EE018621F3}">
            <xm:f>QUALITE!$A$17</xm:f>
            <x14:dxf>
              <font>
                <color rgb="FF00B0F0"/>
              </font>
            </x14:dxf>
          </x14:cfRule>
          <x14:cfRule type="cellIs" priority="275" operator="equal" id="{6EED2FAE-B6AA-43FE-B598-A7E0D192626C}">
            <xm:f>QUALITE!$A$16</xm:f>
            <x14:dxf>
              <font>
                <color theme="2" tint="-0.499984740745262"/>
              </font>
            </x14:dxf>
          </x14:cfRule>
          <x14:cfRule type="cellIs" priority="276" operator="equal" id="{1CA05C9C-0954-4EF1-9B09-A233A7DB9EE3}">
            <xm:f>QUALITE!$A$15</xm:f>
            <x14:dxf>
              <font>
                <color theme="2" tint="-0.499984740745262"/>
              </font>
            </x14:dxf>
          </x14:cfRule>
          <x14:cfRule type="cellIs" priority="277" operator="equal" id="{DF911020-A196-415C-A18A-34E9556CBD2D}">
            <xm:f>QUALITE!$A$14</xm:f>
            <x14:dxf>
              <font>
                <color rgb="FFFF0000"/>
              </font>
            </x14:dxf>
          </x14:cfRule>
          <x14:cfRule type="cellIs" priority="278" operator="equal" id="{A173D371-AB84-44C4-B9D4-905C6AADBF56}">
            <xm:f>QUALITE!$A$13</xm:f>
            <x14:dxf>
              <font>
                <color rgb="FFFF0000"/>
              </font>
            </x14:dxf>
          </x14:cfRule>
          <x14:cfRule type="cellIs" priority="279" operator="equal" id="{70D6B615-FE2D-46B6-89E2-F3EF44EA1E12}">
            <xm:f>QUALITE!$A$12</xm:f>
            <x14:dxf>
              <font>
                <color rgb="FF00B050"/>
              </font>
            </x14:dxf>
          </x14:cfRule>
          <x14:cfRule type="cellIs" priority="280" operator="equal" id="{3A2FE712-87E7-4A9F-B93D-645FE5A66B5E}">
            <xm:f>QUALITE!$A$11</xm:f>
            <x14:dxf>
              <font>
                <color rgb="FF0070C0"/>
              </font>
            </x14:dxf>
          </x14:cfRule>
          <x14:cfRule type="cellIs" priority="281" operator="equal" id="{C19A8AF6-DBAD-48DD-B997-20E6145B80F1}">
            <xm:f>QUALITE!$A$10</xm:f>
            <x14:dxf>
              <font>
                <color rgb="FF00B0F0"/>
              </font>
            </x14:dxf>
          </x14:cfRule>
          <x14:cfRule type="cellIs" priority="282" operator="equal" id="{09E545EC-1E4D-46AE-BB94-9CB440AFC1E2}">
            <xm:f>QUALITE!$A$9</xm:f>
            <x14:dxf>
              <font>
                <color theme="2" tint="-0.499984740745262"/>
              </font>
            </x14:dxf>
          </x14:cfRule>
          <x14:cfRule type="cellIs" priority="283" operator="equal" id="{B68EA173-DDE9-47BF-B65B-82F20F713007}">
            <xm:f>QUALITE!$A$8</xm:f>
            <x14:dxf>
              <font>
                <color rgb="FFC00000"/>
              </font>
            </x14:dxf>
          </x14:cfRule>
          <x14:cfRule type="cellIs" priority="284" operator="equal" id="{0D4368CC-4C2E-4653-8BC3-4AA2460732EE}">
            <xm:f>QUALITE!$A$7</xm:f>
            <x14:dxf>
              <font>
                <color rgb="FFFFC000"/>
              </font>
            </x14:dxf>
          </x14:cfRule>
          <x14:cfRule type="cellIs" priority="285" operator="equal" id="{D634693C-C343-41A1-9E7E-E061D792AE70}">
            <xm:f>QUALITE!$A$6</xm:f>
            <x14:dxf>
              <font>
                <color rgb="FF00B050"/>
              </font>
            </x14:dxf>
          </x14:cfRule>
          <x14:cfRule type="cellIs" priority="286" operator="equal" id="{2638BF97-F76C-4684-A48D-5C6769941823}">
            <xm:f>QUALITE!$A$5</xm:f>
            <x14:dxf>
              <font>
                <color rgb="FFFF0000"/>
              </font>
            </x14:dxf>
          </x14:cfRule>
          <x14:cfRule type="cellIs" priority="287" operator="equal" id="{B3E57092-AC86-4B0C-9E2B-E4E20340B08D}">
            <xm:f>QUALITE!$A$4</xm:f>
            <x14:dxf>
              <font>
                <color rgb="FFFF0000"/>
              </font>
            </x14:dxf>
          </x14:cfRule>
          <x14:cfRule type="cellIs" priority="288" operator="equal" id="{B9E19C28-FE88-4B11-A28E-B8B5E61A0D48}">
            <xm:f>QUALITE!$A$3</xm:f>
            <x14:dxf>
              <font>
                <color rgb="FF0070C0"/>
              </font>
            </x14:dxf>
          </x14:cfRule>
          <x14:cfRule type="cellIs" priority="289" operator="equal" id="{02AB34C7-F8A5-4F19-A82B-7462B5F39A6A}">
            <xm:f>QUALITE!$A$2</xm:f>
            <x14:dxf>
              <font>
                <color rgb="FF00B0F0"/>
              </font>
            </x14:dxf>
          </x14:cfRule>
          <xm:sqref>C28:C46 C18:C26</xm:sqref>
        </x14:conditionalFormatting>
        <x14:conditionalFormatting xmlns:xm="http://schemas.microsoft.com/office/excel/2006/main">
          <x14:cfRule type="cellIs" priority="35" operator="equal" id="{5ACBA3A5-5E3E-4976-9A4A-CB1C34996DF4}">
            <xm:f>QUALITE!$A$18</xm:f>
            <x14:dxf>
              <font>
                <color rgb="FFFF0000"/>
              </font>
            </x14:dxf>
          </x14:cfRule>
          <x14:cfRule type="cellIs" priority="36" operator="equal" id="{0F18858E-AB56-4A51-B286-45475AE7E26A}">
            <xm:f>QUALITE!$A$17</xm:f>
            <x14:dxf>
              <font>
                <color rgb="FF00B0F0"/>
              </font>
            </x14:dxf>
          </x14:cfRule>
          <x14:cfRule type="cellIs" priority="37" operator="equal" id="{895FBA2C-8FB9-4329-957E-C71CA2A22FED}">
            <xm:f>QUALITE!$A$16</xm:f>
            <x14:dxf>
              <font>
                <color theme="2" tint="-0.499984740745262"/>
              </font>
            </x14:dxf>
          </x14:cfRule>
          <x14:cfRule type="cellIs" priority="38" operator="equal" id="{9EC87928-5AA1-4A19-893C-4E4F0BC72976}">
            <xm:f>QUALITE!$A$15</xm:f>
            <x14:dxf>
              <font>
                <color theme="2" tint="-0.499984740745262"/>
              </font>
            </x14:dxf>
          </x14:cfRule>
          <x14:cfRule type="cellIs" priority="39" operator="equal" id="{F0C1A951-CDB1-4C82-97C0-DEA1CB5FCF47}">
            <xm:f>QUALITE!$A$14</xm:f>
            <x14:dxf>
              <font>
                <color rgb="FFFF0000"/>
              </font>
            </x14:dxf>
          </x14:cfRule>
          <x14:cfRule type="cellIs" priority="40" operator="equal" id="{7CAF73CB-69B4-4AD5-ABE4-A8D958136FF6}">
            <xm:f>QUALITE!$A$13</xm:f>
            <x14:dxf>
              <font>
                <color rgb="FFFF0000"/>
              </font>
            </x14:dxf>
          </x14:cfRule>
          <x14:cfRule type="cellIs" priority="41" operator="equal" id="{3D6C0780-C6B7-4308-8046-CCB2ECE1F091}">
            <xm:f>QUALITE!$A$12</xm:f>
            <x14:dxf>
              <font>
                <color rgb="FF00B050"/>
              </font>
            </x14:dxf>
          </x14:cfRule>
          <x14:cfRule type="cellIs" priority="42" operator="equal" id="{C549587A-B1E7-4EDB-8F2F-6AC5CEA1CFBC}">
            <xm:f>QUALITE!$A$11</xm:f>
            <x14:dxf>
              <font>
                <color rgb="FF0070C0"/>
              </font>
            </x14:dxf>
          </x14:cfRule>
          <x14:cfRule type="cellIs" priority="43" operator="equal" id="{90991244-DD4B-4361-A1C2-F8288CB983F1}">
            <xm:f>QUALITE!$A$10</xm:f>
            <x14:dxf>
              <font>
                <color rgb="FF00B0F0"/>
              </font>
            </x14:dxf>
          </x14:cfRule>
          <x14:cfRule type="cellIs" priority="44" operator="equal" id="{98E3ACF5-A194-4F87-A66C-68E01C7A8028}">
            <xm:f>QUALITE!$A$9</xm:f>
            <x14:dxf>
              <font>
                <color theme="2" tint="-0.499984740745262"/>
              </font>
            </x14:dxf>
          </x14:cfRule>
          <x14:cfRule type="cellIs" priority="45" operator="equal" id="{689B6B68-1670-4C8D-81C9-72247171E350}">
            <xm:f>QUALITE!$A$8</xm:f>
            <x14:dxf>
              <font>
                <color rgb="FFC00000"/>
              </font>
            </x14:dxf>
          </x14:cfRule>
          <x14:cfRule type="cellIs" priority="46" operator="equal" id="{B79B9805-80EC-4091-A7E7-6932C39A3A97}">
            <xm:f>QUALITE!$A$7</xm:f>
            <x14:dxf>
              <font>
                <color rgb="FFFFC000"/>
              </font>
            </x14:dxf>
          </x14:cfRule>
          <x14:cfRule type="cellIs" priority="47" operator="equal" id="{1944F13F-1B71-4886-8C14-F9D9EC469B4E}">
            <xm:f>QUALITE!$A$6</xm:f>
            <x14:dxf>
              <font>
                <color rgb="FF00B050"/>
              </font>
            </x14:dxf>
          </x14:cfRule>
          <x14:cfRule type="cellIs" priority="48" operator="equal" id="{90EF76A0-7D1A-40EF-8F28-0819E5374F17}">
            <xm:f>QUALITE!$A$5</xm:f>
            <x14:dxf>
              <font>
                <color rgb="FFFF0000"/>
              </font>
            </x14:dxf>
          </x14:cfRule>
          <x14:cfRule type="cellIs" priority="49" operator="equal" id="{FBB8E63A-972F-4F96-8A7C-166B2C74C757}">
            <xm:f>QUALITE!$A$4</xm:f>
            <x14:dxf>
              <font>
                <color rgb="FFFF0000"/>
              </font>
            </x14:dxf>
          </x14:cfRule>
          <x14:cfRule type="cellIs" priority="50" operator="equal" id="{4623A1D6-2E0D-4B6C-A52A-D69CA5062874}">
            <xm:f>QUALITE!$A$3</xm:f>
            <x14:dxf>
              <font>
                <color rgb="FF0070C0"/>
              </font>
            </x14:dxf>
          </x14:cfRule>
          <x14:cfRule type="cellIs" priority="51" operator="equal" id="{60AFEB59-F469-4598-B85D-A3C721C3547A}">
            <xm:f>QUALITE!$A$2</xm:f>
            <x14:dxf>
              <font>
                <color rgb="FF00B0F0"/>
              </font>
            </x14:dxf>
          </x14:cfRule>
          <xm:sqref>C27</xm:sqref>
        </x14:conditionalFormatting>
        <x14:conditionalFormatting xmlns:xm="http://schemas.microsoft.com/office/excel/2006/main">
          <x14:cfRule type="cellIs" priority="1" operator="equal" id="{F71824F9-A15F-4FD1-8228-043735252B21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2" operator="equal" id="{77788EB8-9758-4A77-AEC8-F9D40F8CBB74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14:cfRule type="cellIs" priority="3" operator="equal" id="{E2614389-327F-4299-884D-B64DBC68CA4F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4" operator="equal" id="{5349A9C7-DCF5-4F0A-93F3-61B7FBCC3167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5" operator="equal" id="{E11F962B-5229-4713-9A00-9A71415F1F3F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6" operator="equal" id="{5ED7B336-DE37-459B-A6E6-1D652706C18A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7" operator="equal" id="{14D1BC91-DC6B-4BC1-A0BD-311483309182}">
            <xm:f>'\Users\SDC.ParcWafi\Desktop\Mars\[Rapport  journalier PW 29-03-2023.xlsm]QUALITE'!#REF!</xm:f>
            <x14:dxf>
              <font>
                <color rgb="FF00B050"/>
              </font>
            </x14:dxf>
          </x14:cfRule>
          <x14:cfRule type="cellIs" priority="8" operator="equal" id="{17A9818D-25FB-45E3-9E02-2B229EFE52FC}">
            <xm:f>'\Users\SDC.ParcWafi\Desktop\Mars\[Rapport  journalier PW 29-03-2023.xlsm]QUALITE'!#REF!</xm:f>
            <x14:dxf>
              <font>
                <color rgb="FF0070C0"/>
              </font>
            </x14:dxf>
          </x14:cfRule>
          <x14:cfRule type="cellIs" priority="9" operator="equal" id="{45621A8D-B818-47DD-AD49-17DC2DD86F16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14:cfRule type="cellIs" priority="10" operator="equal" id="{87DAA505-5D5A-4BD5-B392-E4A5FEFC4618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11" operator="equal" id="{2E1AC5C2-E970-4DE1-B129-4AFAFE9BDD55}">
            <xm:f>'\Users\SDC.ParcWafi\Desktop\Mars\[Rapport  journalier PW 29-03-2023.xlsm]QUALITE'!#REF!</xm:f>
            <x14:dxf>
              <font>
                <color rgb="FFC00000"/>
              </font>
            </x14:dxf>
          </x14:cfRule>
          <x14:cfRule type="cellIs" priority="12" operator="equal" id="{01AD8CD1-6890-4AAD-8177-9AAB0ED7BA53}">
            <xm:f>'\Users\SDC.ParcWafi\Desktop\Mars\[Rapport  journalier PW 29-03-2023.xlsm]QUALITE'!#REF!</xm:f>
            <x14:dxf>
              <font>
                <color rgb="FFFFC000"/>
              </font>
            </x14:dxf>
          </x14:cfRule>
          <x14:cfRule type="cellIs" priority="13" operator="equal" id="{010B6A71-35F7-45F6-A535-ADD069183C8B}">
            <xm:f>'\Users\SDC.ParcWafi\Desktop\Mars\[Rapport  journalier PW 29-03-2023.xlsm]QUALITE'!#REF!</xm:f>
            <x14:dxf>
              <font>
                <color rgb="FF00B050"/>
              </font>
            </x14:dxf>
          </x14:cfRule>
          <x14:cfRule type="cellIs" priority="14" operator="equal" id="{BAE7191C-22F1-4724-8097-3C01D2C54390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15" operator="equal" id="{87F74F72-1C51-4C66-9ACA-52686D7388B4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16" operator="equal" id="{67127064-57AF-45D3-849D-D9E18949EE87}">
            <xm:f>'\Users\SDC.ParcWafi\Desktop\Mars\[Rapport  journalier PW 29-03-2023.xlsm]QUALITE'!#REF!</xm:f>
            <x14:dxf>
              <font>
                <color rgb="FF0070C0"/>
              </font>
            </x14:dxf>
          </x14:cfRule>
          <x14:cfRule type="cellIs" priority="17" operator="equal" id="{700B04CE-8A44-45D1-9736-D42BC35F44B0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m:sqref>C17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destination!$A$9</xm:f>
          </x14:formula1>
          <xm:sqref>D49:D56 F17:F46</xm:sqref>
        </x14:dataValidation>
        <x14:dataValidation type="list" allowBlank="1" showInputMessage="1" showErrorMessage="1">
          <x14:formula1>
            <xm:f>Parametre!$I$3</xm:f>
          </x14:formula1>
          <xm:sqref>H17:I46</xm:sqref>
        </x14:dataValidation>
        <x14:dataValidation type="list" allowBlank="1" showInputMessage="1" showErrorMessage="1">
          <x14:formula1>
            <xm:f>QUALITE!$E$2:$E$3</xm:f>
          </x14:formula1>
          <xm:sqref>C18:C46 B49:C56</xm:sqref>
        </x14:dataValidation>
        <x14:dataValidation type="list" allowBlank="1" showInputMessage="1" showErrorMessage="1">
          <x14:formula1>
            <xm:f>'C:\Users\SDC.ParcWafi\Desktop\Mars\[Rapport  journalier PW 29-03-2023.xlsm]QUALITE'!#REF!</xm:f>
          </x14:formula1>
          <xm:sqref>C17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39997558519241921"/>
    <pageSetUpPr fitToPage="1"/>
  </sheetPr>
  <dimension ref="A1:Z107"/>
  <sheetViews>
    <sheetView showGridLines="0" tabSelected="1" topLeftCell="A13" zoomScale="64" zoomScaleNormal="64" zoomScaleSheetLayoutView="40" workbookViewId="0">
      <selection activeCell="F26" sqref="F26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6.75" style="4" bestFit="1" customWidth="1"/>
    <col min="5" max="5" width="30.125" style="4" bestFit="1" customWidth="1"/>
    <col min="6" max="6" width="31.25" style="4" customWidth="1"/>
    <col min="7" max="7" width="16.6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>
      <c r="A1" s="4">
        <v>6</v>
      </c>
    </row>
    <row r="2" spans="1:19" ht="34.5" customHeight="1" thickBot="1" x14ac:dyDescent="0.4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1"/>
      <c r="D3" s="571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2"/>
      <c r="D5" s="572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3" t="s">
        <v>12</v>
      </c>
      <c r="G6" s="574"/>
      <c r="H6" s="81" t="s">
        <v>60</v>
      </c>
      <c r="I6" s="574" t="s">
        <v>96</v>
      </c>
      <c r="J6" s="574"/>
      <c r="K6" s="574" t="s">
        <v>97</v>
      </c>
      <c r="L6" s="574"/>
      <c r="M6" s="574" t="s">
        <v>98</v>
      </c>
      <c r="N6" s="574"/>
      <c r="O6" s="574"/>
      <c r="P6" s="81"/>
      <c r="Q6" s="574"/>
      <c r="R6" s="574"/>
      <c r="S6" s="29"/>
    </row>
    <row r="7" spans="1:19" ht="18.75" customHeight="1" thickBot="1" x14ac:dyDescent="0.25"/>
    <row r="8" spans="1:19" ht="36" customHeight="1" thickBot="1" x14ac:dyDescent="0.25">
      <c r="A8" s="5"/>
      <c r="B8" s="589"/>
      <c r="C8" s="590"/>
      <c r="D8" s="38" t="s">
        <v>0</v>
      </c>
      <c r="E8" s="593" t="s">
        <v>802</v>
      </c>
      <c r="F8" s="593"/>
      <c r="G8" s="593"/>
      <c r="H8" s="593"/>
      <c r="I8" s="593"/>
      <c r="J8" s="593"/>
      <c r="K8" s="593"/>
      <c r="L8" s="593"/>
      <c r="M8" s="593"/>
      <c r="N8" s="593"/>
      <c r="O8" s="593"/>
      <c r="P8" s="593"/>
      <c r="Q8" s="593"/>
      <c r="R8" s="593"/>
    </row>
    <row r="9" spans="1:19" ht="38.25" customHeight="1" thickBot="1" x14ac:dyDescent="0.25">
      <c r="A9" s="5"/>
      <c r="B9" s="591"/>
      <c r="C9" s="592"/>
      <c r="D9" s="38" t="s">
        <v>8</v>
      </c>
      <c r="E9" s="594" t="s">
        <v>100</v>
      </c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</row>
    <row r="10" spans="1:19" ht="38.25" customHeight="1" thickBot="1" x14ac:dyDescent="0.25">
      <c r="A10" s="5"/>
      <c r="B10" s="595" t="s">
        <v>99</v>
      </c>
      <c r="C10" s="596"/>
      <c r="D10" s="38" t="s">
        <v>9</v>
      </c>
      <c r="E10" s="500">
        <v>5</v>
      </c>
      <c r="F10" s="594" t="s">
        <v>125</v>
      </c>
      <c r="G10" s="594"/>
      <c r="H10" s="594"/>
      <c r="I10" s="594"/>
      <c r="J10" s="594"/>
      <c r="K10" s="594"/>
      <c r="L10" s="594"/>
      <c r="M10" s="594"/>
      <c r="N10" s="594"/>
      <c r="O10" s="594"/>
      <c r="P10" s="594"/>
      <c r="Q10" s="594"/>
      <c r="R10" s="37" t="s">
        <v>806</v>
      </c>
    </row>
    <row r="11" spans="1:19" ht="26.25" customHeight="1" x14ac:dyDescent="0.45">
      <c r="A11" s="5"/>
      <c r="B11" s="32" t="s">
        <v>530</v>
      </c>
      <c r="C11" s="30"/>
      <c r="D11" s="31"/>
    </row>
    <row r="12" spans="1:19" ht="5.25" customHeight="1" x14ac:dyDescent="0.2"/>
    <row r="13" spans="1:19" ht="24" customHeight="1" x14ac:dyDescent="0.2">
      <c r="B13" s="583" t="s">
        <v>1</v>
      </c>
      <c r="C13" s="583"/>
      <c r="D13" s="583"/>
      <c r="E13" s="583"/>
      <c r="F13" s="583"/>
      <c r="G13" s="583"/>
      <c r="H13" s="583"/>
      <c r="I13" s="583"/>
      <c r="J13" s="583"/>
      <c r="K13" s="583"/>
      <c r="L13" s="583"/>
      <c r="M13" s="583"/>
      <c r="N13" s="583"/>
      <c r="O13" s="583"/>
      <c r="P13" s="583"/>
      <c r="Q13" s="583"/>
      <c r="R13" s="583"/>
    </row>
    <row r="14" spans="1:19" ht="21" customHeight="1" x14ac:dyDescent="0.2">
      <c r="A14" s="6"/>
      <c r="B14" s="583"/>
      <c r="C14" s="583"/>
      <c r="D14" s="583"/>
      <c r="E14" s="583"/>
      <c r="F14" s="583"/>
      <c r="G14" s="583"/>
      <c r="H14" s="583"/>
      <c r="I14" s="583"/>
      <c r="J14" s="583"/>
      <c r="K14" s="583"/>
      <c r="L14" s="583"/>
      <c r="M14" s="583"/>
      <c r="N14" s="583"/>
      <c r="O14" s="583"/>
      <c r="P14" s="583"/>
      <c r="Q14" s="583"/>
      <c r="R14" s="583"/>
    </row>
    <row r="15" spans="1:19" ht="33.75" customHeight="1" thickBot="1" x14ac:dyDescent="0.5">
      <c r="A15" s="7"/>
      <c r="B15" s="166" t="s">
        <v>529</v>
      </c>
      <c r="C15" s="39"/>
      <c r="E15" s="36"/>
      <c r="J15" s="34"/>
      <c r="K15" s="34"/>
      <c r="P15" s="70" t="s">
        <v>44</v>
      </c>
      <c r="Q15" s="584">
        <f>'RPT1'!Q15:R15</f>
        <v>45038</v>
      </c>
      <c r="R15" s="584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5" t="s">
        <v>535</v>
      </c>
      <c r="I16" s="586"/>
      <c r="J16" s="68" t="s">
        <v>540</v>
      </c>
      <c r="K16" s="83" t="s">
        <v>4</v>
      </c>
      <c r="L16" s="68" t="s">
        <v>542</v>
      </c>
      <c r="M16" s="83" t="s">
        <v>16</v>
      </c>
      <c r="N16" s="68" t="s">
        <v>123</v>
      </c>
      <c r="O16" s="83" t="s">
        <v>6</v>
      </c>
      <c r="P16" s="585" t="s">
        <v>17</v>
      </c>
      <c r="Q16" s="587"/>
      <c r="R16" s="588"/>
      <c r="S16" s="41"/>
    </row>
    <row r="17" spans="2:26" s="271" customFormat="1" ht="32.25" customHeight="1" x14ac:dyDescent="0.5">
      <c r="B17" s="400"/>
      <c r="C17" s="398"/>
      <c r="D17" s="404"/>
      <c r="E17" s="399"/>
      <c r="F17" s="408"/>
      <c r="G17" s="470"/>
      <c r="H17" s="649"/>
      <c r="I17" s="762"/>
      <c r="J17" s="401"/>
      <c r="K17" s="405"/>
      <c r="L17" s="406"/>
      <c r="M17" s="402"/>
      <c r="N17" s="409"/>
      <c r="O17" s="407" t="str">
        <f t="shared" ref="O17:O26" si="0">IF(K17=0,"-",K17/M17)</f>
        <v>-</v>
      </c>
      <c r="P17" s="746"/>
      <c r="Q17" s="747"/>
      <c r="R17" s="748"/>
      <c r="S17" s="332"/>
      <c r="X17" s="354"/>
      <c r="Y17" s="354"/>
      <c r="Z17" s="354"/>
    </row>
    <row r="18" spans="2:26" s="165" customFormat="1" ht="32.25" customHeight="1" x14ac:dyDescent="0.5">
      <c r="B18" s="297"/>
      <c r="C18" s="190"/>
      <c r="D18" s="229"/>
      <c r="E18" s="193"/>
      <c r="F18" s="144"/>
      <c r="G18" s="229"/>
      <c r="H18" s="760"/>
      <c r="I18" s="761"/>
      <c r="J18" s="179"/>
      <c r="K18" s="177">
        <f t="shared" ref="K18" si="1">IF(AND(H18=H17,J18-J17&gt;0),J18-J17,0)</f>
        <v>0</v>
      </c>
      <c r="L18" s="186"/>
      <c r="M18" s="194">
        <f t="shared" ref="M18:M26" si="2">IF(AND(H18=H17,L18-L17&lt;1.1,L18-L17&gt;0),L18-L17,0)</f>
        <v>0</v>
      </c>
      <c r="N18" s="227"/>
      <c r="O18" s="195" t="str">
        <f t="shared" si="0"/>
        <v>-</v>
      </c>
      <c r="P18" s="666"/>
      <c r="Q18" s="667"/>
      <c r="R18" s="668"/>
      <c r="S18" s="75"/>
      <c r="X18" s="75"/>
      <c r="Y18" s="76"/>
      <c r="Z18" s="77"/>
    </row>
    <row r="19" spans="2:26" s="165" customFormat="1" ht="32.25" customHeight="1" x14ac:dyDescent="0.5">
      <c r="B19" s="297"/>
      <c r="C19" s="190"/>
      <c r="D19" s="469"/>
      <c r="E19" s="193"/>
      <c r="F19" s="144"/>
      <c r="G19" s="229"/>
      <c r="H19" s="760"/>
      <c r="I19" s="761"/>
      <c r="J19" s="178"/>
      <c r="K19" s="177">
        <f t="shared" ref="K19:K46" si="3">IF(AND(H19=H18,J19-J18&gt;0),J19-J18,0)</f>
        <v>0</v>
      </c>
      <c r="L19" s="187"/>
      <c r="M19" s="194">
        <f t="shared" si="2"/>
        <v>0</v>
      </c>
      <c r="N19" s="227"/>
      <c r="O19" s="195" t="str">
        <f t="shared" si="0"/>
        <v>-</v>
      </c>
      <c r="P19" s="666"/>
      <c r="Q19" s="667"/>
      <c r="R19" s="668"/>
      <c r="S19" s="75"/>
      <c r="X19" s="75"/>
      <c r="Y19" s="76"/>
      <c r="Z19" s="77"/>
    </row>
    <row r="20" spans="2:26" s="165" customFormat="1" ht="32.25" customHeight="1" x14ac:dyDescent="0.5">
      <c r="B20" s="297"/>
      <c r="C20" s="190"/>
      <c r="D20" s="469"/>
      <c r="E20" s="193"/>
      <c r="F20" s="144"/>
      <c r="G20" s="229"/>
      <c r="H20" s="760"/>
      <c r="I20" s="761"/>
      <c r="J20" s="178"/>
      <c r="K20" s="177">
        <f t="shared" si="3"/>
        <v>0</v>
      </c>
      <c r="L20" s="187"/>
      <c r="M20" s="194">
        <f t="shared" si="2"/>
        <v>0</v>
      </c>
      <c r="N20" s="227"/>
      <c r="O20" s="195" t="str">
        <f t="shared" si="0"/>
        <v>-</v>
      </c>
      <c r="P20" s="666"/>
      <c r="Q20" s="667"/>
      <c r="R20" s="668"/>
      <c r="S20" s="75"/>
      <c r="X20" s="75"/>
      <c r="Y20" s="76"/>
      <c r="Z20" s="77"/>
    </row>
    <row r="21" spans="2:26" s="165" customFormat="1" ht="32.25" customHeight="1" x14ac:dyDescent="0.5">
      <c r="B21" s="297"/>
      <c r="C21" s="190"/>
      <c r="D21" s="469"/>
      <c r="E21" s="193"/>
      <c r="F21" s="144"/>
      <c r="G21" s="229"/>
      <c r="H21" s="760"/>
      <c r="I21" s="761"/>
      <c r="J21" s="178"/>
      <c r="K21" s="177">
        <f t="shared" si="3"/>
        <v>0</v>
      </c>
      <c r="L21" s="188"/>
      <c r="M21" s="194">
        <f t="shared" si="2"/>
        <v>0</v>
      </c>
      <c r="N21" s="227"/>
      <c r="O21" s="195" t="str">
        <f t="shared" si="0"/>
        <v>-</v>
      </c>
      <c r="P21" s="666"/>
      <c r="Q21" s="667"/>
      <c r="R21" s="668"/>
      <c r="S21" s="75"/>
      <c r="X21" s="75"/>
      <c r="Y21" s="76"/>
      <c r="Z21" s="77"/>
    </row>
    <row r="22" spans="2:26" s="165" customFormat="1" ht="32.25" customHeight="1" x14ac:dyDescent="0.5">
      <c r="B22" s="297"/>
      <c r="C22" s="190"/>
      <c r="D22" s="469"/>
      <c r="E22" s="193"/>
      <c r="F22" s="144"/>
      <c r="G22" s="244"/>
      <c r="H22" s="760"/>
      <c r="I22" s="761"/>
      <c r="J22" s="184"/>
      <c r="K22" s="177">
        <f t="shared" si="3"/>
        <v>0</v>
      </c>
      <c r="L22" s="188"/>
      <c r="M22" s="194">
        <f t="shared" si="2"/>
        <v>0</v>
      </c>
      <c r="N22" s="227"/>
      <c r="O22" s="195" t="str">
        <f t="shared" si="0"/>
        <v>-</v>
      </c>
      <c r="P22" s="666"/>
      <c r="Q22" s="667"/>
      <c r="R22" s="668"/>
      <c r="S22" s="75"/>
      <c r="X22" s="75"/>
      <c r="Y22" s="76"/>
      <c r="Z22" s="77"/>
    </row>
    <row r="23" spans="2:26" s="165" customFormat="1" ht="32.25" customHeight="1" x14ac:dyDescent="0.5">
      <c r="B23" s="297"/>
      <c r="C23" s="190"/>
      <c r="D23" s="469"/>
      <c r="E23" s="193"/>
      <c r="F23" s="144"/>
      <c r="G23" s="244"/>
      <c r="H23" s="760"/>
      <c r="I23" s="761"/>
      <c r="J23" s="184"/>
      <c r="K23" s="177">
        <f t="shared" si="3"/>
        <v>0</v>
      </c>
      <c r="L23" s="188"/>
      <c r="M23" s="194">
        <f t="shared" si="2"/>
        <v>0</v>
      </c>
      <c r="N23" s="227"/>
      <c r="O23" s="195" t="str">
        <f t="shared" si="0"/>
        <v>-</v>
      </c>
      <c r="P23" s="666"/>
      <c r="Q23" s="667"/>
      <c r="R23" s="668"/>
      <c r="S23" s="75"/>
      <c r="X23" s="75"/>
      <c r="Y23" s="76"/>
      <c r="Z23" s="77"/>
    </row>
    <row r="24" spans="2:26" s="165" customFormat="1" ht="32.25" customHeight="1" x14ac:dyDescent="0.5">
      <c r="B24" s="297"/>
      <c r="C24" s="190"/>
      <c r="D24" s="469"/>
      <c r="E24" s="193"/>
      <c r="F24" s="144"/>
      <c r="G24" s="244"/>
      <c r="H24" s="760"/>
      <c r="I24" s="761"/>
      <c r="J24" s="184"/>
      <c r="K24" s="177">
        <f t="shared" si="3"/>
        <v>0</v>
      </c>
      <c r="L24" s="188"/>
      <c r="M24" s="194">
        <f t="shared" si="2"/>
        <v>0</v>
      </c>
      <c r="N24" s="185"/>
      <c r="O24" s="195" t="str">
        <f t="shared" si="0"/>
        <v>-</v>
      </c>
      <c r="P24" s="666"/>
      <c r="Q24" s="667"/>
      <c r="R24" s="668"/>
      <c r="S24" s="75"/>
      <c r="X24" s="75"/>
      <c r="Y24" s="76"/>
      <c r="Z24" s="77"/>
    </row>
    <row r="25" spans="2:26" s="165" customFormat="1" ht="32.25" customHeight="1" x14ac:dyDescent="0.5">
      <c r="B25" s="297"/>
      <c r="C25" s="190"/>
      <c r="D25" s="469"/>
      <c r="E25" s="193"/>
      <c r="F25" s="144"/>
      <c r="G25" s="244"/>
      <c r="H25" s="760"/>
      <c r="I25" s="761"/>
      <c r="J25" s="184"/>
      <c r="K25" s="177">
        <f t="shared" si="3"/>
        <v>0</v>
      </c>
      <c r="L25" s="188"/>
      <c r="M25" s="194">
        <f t="shared" si="2"/>
        <v>0</v>
      </c>
      <c r="N25" s="185"/>
      <c r="O25" s="195" t="str">
        <f t="shared" si="0"/>
        <v>-</v>
      </c>
      <c r="P25" s="666"/>
      <c r="Q25" s="667"/>
      <c r="R25" s="668"/>
      <c r="S25" s="75"/>
      <c r="X25" s="75"/>
      <c r="Y25" s="76"/>
      <c r="Z25" s="77"/>
    </row>
    <row r="26" spans="2:26" s="165" customFormat="1" ht="32.25" customHeight="1" x14ac:dyDescent="0.5">
      <c r="B26" s="297"/>
      <c r="C26" s="190"/>
      <c r="D26" s="469"/>
      <c r="E26" s="193"/>
      <c r="F26" s="144"/>
      <c r="G26" s="244"/>
      <c r="H26" s="760"/>
      <c r="I26" s="761"/>
      <c r="J26" s="184"/>
      <c r="K26" s="177">
        <f t="shared" si="3"/>
        <v>0</v>
      </c>
      <c r="L26" s="188"/>
      <c r="M26" s="194">
        <f t="shared" si="2"/>
        <v>0</v>
      </c>
      <c r="N26" s="185"/>
      <c r="O26" s="195" t="str">
        <f t="shared" si="0"/>
        <v>-</v>
      </c>
      <c r="P26" s="666"/>
      <c r="Q26" s="667"/>
      <c r="R26" s="668"/>
      <c r="S26" s="75"/>
      <c r="X26" s="75"/>
      <c r="Y26" s="76"/>
      <c r="Z26" s="77"/>
    </row>
    <row r="27" spans="2:26" ht="32.25" customHeight="1" x14ac:dyDescent="0.5">
      <c r="B27" s="297"/>
      <c r="C27" s="190"/>
      <c r="D27" s="469"/>
      <c r="E27" s="193"/>
      <c r="F27" s="144"/>
      <c r="G27" s="131"/>
      <c r="H27" s="760"/>
      <c r="I27" s="761"/>
      <c r="J27" s="179"/>
      <c r="K27" s="177">
        <f t="shared" si="3"/>
        <v>0</v>
      </c>
      <c r="L27" s="186"/>
      <c r="M27" s="194">
        <f t="shared" ref="M27:M46" si="4">IF(AND(H27=H26,L27-L26&lt;1.1,L27-L26&gt;0),L27-L26,0)</f>
        <v>0</v>
      </c>
      <c r="N27" s="183"/>
      <c r="O27" s="195" t="str">
        <f t="shared" ref="O27:O46" si="5">IF(K27=0,"-",K27/M27)</f>
        <v>-</v>
      </c>
      <c r="P27" s="738"/>
      <c r="Q27" s="739"/>
      <c r="R27" s="740"/>
      <c r="S27" s="9"/>
      <c r="X27" s="75"/>
      <c r="Y27" s="76"/>
      <c r="Z27" s="77"/>
    </row>
    <row r="28" spans="2:26" ht="32.25" customHeight="1" x14ac:dyDescent="0.5">
      <c r="B28" s="297"/>
      <c r="C28" s="190"/>
      <c r="D28" s="469"/>
      <c r="E28" s="193"/>
      <c r="F28" s="144"/>
      <c r="G28" s="131"/>
      <c r="H28" s="760"/>
      <c r="I28" s="761"/>
      <c r="J28" s="179"/>
      <c r="K28" s="177">
        <f t="shared" si="3"/>
        <v>0</v>
      </c>
      <c r="L28" s="186"/>
      <c r="M28" s="194">
        <f t="shared" si="4"/>
        <v>0</v>
      </c>
      <c r="N28" s="183"/>
      <c r="O28" s="195" t="str">
        <f t="shared" si="5"/>
        <v>-</v>
      </c>
      <c r="P28" s="738"/>
      <c r="Q28" s="739"/>
      <c r="R28" s="740"/>
      <c r="S28" s="9"/>
      <c r="X28" s="75"/>
      <c r="Y28" s="76"/>
      <c r="Z28" s="77"/>
    </row>
    <row r="29" spans="2:26" ht="32.25" customHeight="1" x14ac:dyDescent="0.5">
      <c r="B29" s="297"/>
      <c r="C29" s="190"/>
      <c r="D29" s="283"/>
      <c r="E29" s="197"/>
      <c r="F29" s="144"/>
      <c r="G29" s="131"/>
      <c r="H29" s="760"/>
      <c r="I29" s="761"/>
      <c r="J29" s="179"/>
      <c r="K29" s="177">
        <f t="shared" si="3"/>
        <v>0</v>
      </c>
      <c r="L29" s="186"/>
      <c r="M29" s="194">
        <f t="shared" si="4"/>
        <v>0</v>
      </c>
      <c r="N29" s="183"/>
      <c r="O29" s="195" t="str">
        <f t="shared" si="5"/>
        <v>-</v>
      </c>
      <c r="P29" s="738"/>
      <c r="Q29" s="739"/>
      <c r="R29" s="740"/>
      <c r="S29" s="9"/>
      <c r="X29" s="75"/>
      <c r="Y29" s="76"/>
      <c r="Z29" s="77"/>
    </row>
    <row r="30" spans="2:26" ht="32.25" customHeight="1" x14ac:dyDescent="0.5">
      <c r="B30" s="189"/>
      <c r="C30" s="190"/>
      <c r="D30" s="283"/>
      <c r="E30" s="197"/>
      <c r="F30" s="144"/>
      <c r="G30" s="131"/>
      <c r="H30" s="760"/>
      <c r="I30" s="761"/>
      <c r="J30" s="179"/>
      <c r="K30" s="177">
        <f t="shared" si="3"/>
        <v>0</v>
      </c>
      <c r="L30" s="186"/>
      <c r="M30" s="194">
        <f t="shared" si="4"/>
        <v>0</v>
      </c>
      <c r="N30" s="183"/>
      <c r="O30" s="195" t="str">
        <f t="shared" si="5"/>
        <v>-</v>
      </c>
      <c r="P30" s="738"/>
      <c r="Q30" s="739"/>
      <c r="R30" s="740"/>
      <c r="S30" s="9"/>
      <c r="X30" s="75"/>
      <c r="Y30" s="76"/>
      <c r="Z30" s="77"/>
    </row>
    <row r="31" spans="2:26" ht="32.25" customHeight="1" x14ac:dyDescent="0.5">
      <c r="B31" s="189"/>
      <c r="C31" s="190"/>
      <c r="D31" s="286"/>
      <c r="E31" s="197"/>
      <c r="F31" s="144"/>
      <c r="G31" s="286"/>
      <c r="H31" s="760"/>
      <c r="I31" s="761"/>
      <c r="J31" s="179"/>
      <c r="K31" s="177">
        <f t="shared" si="3"/>
        <v>0</v>
      </c>
      <c r="L31" s="186"/>
      <c r="M31" s="194">
        <f t="shared" si="4"/>
        <v>0</v>
      </c>
      <c r="N31" s="183"/>
      <c r="O31" s="195" t="str">
        <f t="shared" si="5"/>
        <v>-</v>
      </c>
      <c r="P31" s="738"/>
      <c r="Q31" s="739"/>
      <c r="R31" s="740"/>
      <c r="S31" s="9"/>
      <c r="X31" s="75"/>
      <c r="Y31" s="76"/>
      <c r="Z31" s="77"/>
    </row>
    <row r="32" spans="2:26" s="46" customFormat="1" ht="32.25" customHeight="1" x14ac:dyDescent="0.5">
      <c r="B32" s="189"/>
      <c r="C32" s="190"/>
      <c r="D32" s="286"/>
      <c r="E32" s="197"/>
      <c r="F32" s="144"/>
      <c r="G32" s="131"/>
      <c r="H32" s="760"/>
      <c r="I32" s="761"/>
      <c r="J32" s="179"/>
      <c r="K32" s="177">
        <f t="shared" si="3"/>
        <v>0</v>
      </c>
      <c r="L32" s="186"/>
      <c r="M32" s="194">
        <f t="shared" si="4"/>
        <v>0</v>
      </c>
      <c r="N32" s="183"/>
      <c r="O32" s="195" t="str">
        <f t="shared" si="5"/>
        <v>-</v>
      </c>
      <c r="P32" s="738"/>
      <c r="Q32" s="739"/>
      <c r="R32" s="740"/>
      <c r="S32" s="45"/>
      <c r="X32" s="75"/>
      <c r="Y32" s="76"/>
      <c r="Z32" s="77"/>
    </row>
    <row r="33" spans="2:26" ht="32.25" customHeight="1" x14ac:dyDescent="0.5">
      <c r="B33" s="189"/>
      <c r="C33" s="190"/>
      <c r="D33" s="286"/>
      <c r="E33" s="197"/>
      <c r="F33" s="144"/>
      <c r="G33" s="131"/>
      <c r="H33" s="760"/>
      <c r="I33" s="761"/>
      <c r="J33" s="179"/>
      <c r="K33" s="177">
        <f t="shared" si="3"/>
        <v>0</v>
      </c>
      <c r="L33" s="186"/>
      <c r="M33" s="194">
        <f t="shared" si="4"/>
        <v>0</v>
      </c>
      <c r="N33" s="183"/>
      <c r="O33" s="195" t="str">
        <f t="shared" si="5"/>
        <v>-</v>
      </c>
      <c r="P33" s="738"/>
      <c r="Q33" s="739"/>
      <c r="R33" s="740"/>
      <c r="S33" s="9"/>
      <c r="X33" s="75"/>
      <c r="Y33" s="76"/>
      <c r="Z33" s="77"/>
    </row>
    <row r="34" spans="2:26" ht="32.25" customHeight="1" x14ac:dyDescent="0.5">
      <c r="B34" s="189"/>
      <c r="C34" s="190"/>
      <c r="D34" s="131"/>
      <c r="E34" s="197"/>
      <c r="F34" s="144"/>
      <c r="G34" s="131"/>
      <c r="H34" s="760"/>
      <c r="I34" s="761"/>
      <c r="J34" s="179"/>
      <c r="K34" s="177">
        <f t="shared" si="3"/>
        <v>0</v>
      </c>
      <c r="L34" s="186"/>
      <c r="M34" s="194">
        <f t="shared" si="4"/>
        <v>0</v>
      </c>
      <c r="N34" s="183"/>
      <c r="O34" s="195" t="str">
        <f t="shared" si="5"/>
        <v>-</v>
      </c>
      <c r="P34" s="738"/>
      <c r="Q34" s="739"/>
      <c r="R34" s="740"/>
      <c r="S34" s="9"/>
      <c r="X34" s="75"/>
      <c r="Y34" s="76"/>
      <c r="Z34" s="77"/>
    </row>
    <row r="35" spans="2:26" ht="32.25" customHeight="1" x14ac:dyDescent="0.5">
      <c r="B35" s="189"/>
      <c r="C35" s="190"/>
      <c r="D35" s="131"/>
      <c r="E35" s="197"/>
      <c r="F35" s="144"/>
      <c r="G35" s="131"/>
      <c r="H35" s="760"/>
      <c r="I35" s="761"/>
      <c r="J35" s="179"/>
      <c r="K35" s="177">
        <f t="shared" si="3"/>
        <v>0</v>
      </c>
      <c r="L35" s="186"/>
      <c r="M35" s="194">
        <f t="shared" si="4"/>
        <v>0</v>
      </c>
      <c r="N35" s="183"/>
      <c r="O35" s="195" t="str">
        <f t="shared" si="5"/>
        <v>-</v>
      </c>
      <c r="P35" s="738"/>
      <c r="Q35" s="739"/>
      <c r="R35" s="740"/>
      <c r="S35" s="9"/>
      <c r="X35" s="75"/>
      <c r="Y35" s="76"/>
      <c r="Z35" s="77"/>
    </row>
    <row r="36" spans="2:26" ht="32.25" customHeight="1" x14ac:dyDescent="0.5">
      <c r="B36" s="189"/>
      <c r="C36" s="190"/>
      <c r="D36" s="131"/>
      <c r="E36" s="197"/>
      <c r="F36" s="144"/>
      <c r="G36" s="131"/>
      <c r="H36" s="760"/>
      <c r="I36" s="761"/>
      <c r="J36" s="179"/>
      <c r="K36" s="177">
        <f t="shared" si="3"/>
        <v>0</v>
      </c>
      <c r="L36" s="186"/>
      <c r="M36" s="194">
        <f t="shared" si="4"/>
        <v>0</v>
      </c>
      <c r="N36" s="183"/>
      <c r="O36" s="195" t="str">
        <f t="shared" si="5"/>
        <v>-</v>
      </c>
      <c r="P36" s="738"/>
      <c r="Q36" s="739"/>
      <c r="R36" s="740"/>
      <c r="S36" s="9"/>
      <c r="X36" s="75"/>
      <c r="Y36" s="76"/>
      <c r="Z36" s="77"/>
    </row>
    <row r="37" spans="2:26" ht="32.25" customHeight="1" x14ac:dyDescent="0.5">
      <c r="B37" s="189"/>
      <c r="C37" s="190"/>
      <c r="D37" s="131"/>
      <c r="E37" s="197"/>
      <c r="F37" s="144"/>
      <c r="G37" s="131"/>
      <c r="H37" s="760"/>
      <c r="I37" s="761"/>
      <c r="J37" s="179"/>
      <c r="K37" s="177">
        <f t="shared" si="3"/>
        <v>0</v>
      </c>
      <c r="L37" s="186"/>
      <c r="M37" s="194">
        <f t="shared" si="4"/>
        <v>0</v>
      </c>
      <c r="N37" s="183"/>
      <c r="O37" s="195" t="str">
        <f t="shared" si="5"/>
        <v>-</v>
      </c>
      <c r="P37" s="738"/>
      <c r="Q37" s="739"/>
      <c r="R37" s="740"/>
      <c r="S37" s="9"/>
      <c r="X37" s="75"/>
      <c r="Y37" s="76"/>
      <c r="Z37" s="77"/>
    </row>
    <row r="38" spans="2:26" ht="32.25" customHeight="1" x14ac:dyDescent="0.5">
      <c r="B38" s="189"/>
      <c r="C38" s="190"/>
      <c r="D38" s="131"/>
      <c r="E38" s="197"/>
      <c r="F38" s="144"/>
      <c r="G38" s="131"/>
      <c r="H38" s="760"/>
      <c r="I38" s="761"/>
      <c r="J38" s="179"/>
      <c r="K38" s="177">
        <f t="shared" si="3"/>
        <v>0</v>
      </c>
      <c r="L38" s="186"/>
      <c r="M38" s="194">
        <f t="shared" si="4"/>
        <v>0</v>
      </c>
      <c r="N38" s="183"/>
      <c r="O38" s="195" t="str">
        <f t="shared" si="5"/>
        <v>-</v>
      </c>
      <c r="P38" s="738"/>
      <c r="Q38" s="739"/>
      <c r="R38" s="740"/>
      <c r="S38" s="9"/>
      <c r="X38" s="75"/>
      <c r="Y38" s="76"/>
      <c r="Z38" s="77"/>
    </row>
    <row r="39" spans="2:26" ht="32.25" customHeight="1" x14ac:dyDescent="0.5">
      <c r="B39" s="189"/>
      <c r="C39" s="190"/>
      <c r="D39" s="131"/>
      <c r="E39" s="197"/>
      <c r="F39" s="144"/>
      <c r="G39" s="131"/>
      <c r="H39" s="760"/>
      <c r="I39" s="761"/>
      <c r="J39" s="179"/>
      <c r="K39" s="177">
        <f t="shared" si="3"/>
        <v>0</v>
      </c>
      <c r="L39" s="186"/>
      <c r="M39" s="194">
        <f t="shared" si="4"/>
        <v>0</v>
      </c>
      <c r="N39" s="183"/>
      <c r="O39" s="195" t="str">
        <f t="shared" si="5"/>
        <v>-</v>
      </c>
      <c r="P39" s="738"/>
      <c r="Q39" s="739"/>
      <c r="R39" s="740"/>
      <c r="S39" s="9"/>
      <c r="X39" s="75"/>
      <c r="Y39" s="76"/>
      <c r="Z39" s="77"/>
    </row>
    <row r="40" spans="2:26" ht="32.25" customHeight="1" x14ac:dyDescent="0.5">
      <c r="B40" s="189"/>
      <c r="C40" s="190"/>
      <c r="D40" s="131"/>
      <c r="E40" s="197"/>
      <c r="F40" s="144"/>
      <c r="G40" s="131"/>
      <c r="H40" s="760"/>
      <c r="I40" s="761"/>
      <c r="J40" s="179"/>
      <c r="K40" s="177">
        <f t="shared" si="3"/>
        <v>0</v>
      </c>
      <c r="L40" s="186"/>
      <c r="M40" s="194">
        <f t="shared" si="4"/>
        <v>0</v>
      </c>
      <c r="N40" s="183"/>
      <c r="O40" s="195" t="str">
        <f t="shared" si="5"/>
        <v>-</v>
      </c>
      <c r="P40" s="738"/>
      <c r="Q40" s="739"/>
      <c r="R40" s="740"/>
      <c r="S40" s="9"/>
      <c r="X40" s="75"/>
      <c r="Y40" s="76"/>
      <c r="Z40" s="77"/>
    </row>
    <row r="41" spans="2:26" ht="32.25" customHeight="1" x14ac:dyDescent="0.5">
      <c r="B41" s="230"/>
      <c r="C41" s="190"/>
      <c r="D41" s="237"/>
      <c r="E41" s="197"/>
      <c r="F41" s="144"/>
      <c r="G41" s="223"/>
      <c r="H41" s="763"/>
      <c r="I41" s="764"/>
      <c r="J41" s="184"/>
      <c r="K41" s="177">
        <f t="shared" si="3"/>
        <v>0</v>
      </c>
      <c r="L41" s="188"/>
      <c r="M41" s="194">
        <f t="shared" si="4"/>
        <v>0</v>
      </c>
      <c r="N41" s="185"/>
      <c r="O41" s="195" t="str">
        <f t="shared" si="5"/>
        <v>-</v>
      </c>
      <c r="P41" s="666"/>
      <c r="Q41" s="667"/>
      <c r="R41" s="668"/>
      <c r="S41" s="9"/>
      <c r="X41" s="75"/>
      <c r="Y41" s="76"/>
      <c r="Z41" s="77"/>
    </row>
    <row r="42" spans="2:26" ht="32.25" customHeight="1" x14ac:dyDescent="0.5">
      <c r="B42" s="222"/>
      <c r="C42" s="190"/>
      <c r="D42" s="131"/>
      <c r="E42" s="131"/>
      <c r="F42" s="144"/>
      <c r="G42" s="131"/>
      <c r="H42" s="628"/>
      <c r="I42" s="737"/>
      <c r="J42" s="179"/>
      <c r="K42" s="177">
        <f t="shared" si="3"/>
        <v>0</v>
      </c>
      <c r="L42" s="186"/>
      <c r="M42" s="194">
        <f t="shared" si="4"/>
        <v>0</v>
      </c>
      <c r="N42" s="183"/>
      <c r="O42" s="195" t="str">
        <f t="shared" si="5"/>
        <v>-</v>
      </c>
      <c r="P42" s="232"/>
      <c r="Q42" s="233"/>
      <c r="R42" s="234"/>
      <c r="S42" s="9"/>
      <c r="X42" s="75"/>
      <c r="Y42" s="76"/>
      <c r="Z42" s="77"/>
    </row>
    <row r="43" spans="2:26" ht="32.25" customHeight="1" x14ac:dyDescent="0.5">
      <c r="B43" s="222"/>
      <c r="C43" s="190"/>
      <c r="D43" s="131"/>
      <c r="E43" s="131"/>
      <c r="F43" s="144"/>
      <c r="G43" s="131"/>
      <c r="H43" s="628"/>
      <c r="I43" s="737"/>
      <c r="J43" s="179"/>
      <c r="K43" s="177">
        <f t="shared" si="3"/>
        <v>0</v>
      </c>
      <c r="L43" s="179"/>
      <c r="M43" s="194">
        <f t="shared" si="4"/>
        <v>0</v>
      </c>
      <c r="N43" s="183"/>
      <c r="O43" s="195" t="str">
        <f t="shared" si="5"/>
        <v>-</v>
      </c>
      <c r="P43" s="738"/>
      <c r="Q43" s="739"/>
      <c r="R43" s="740"/>
      <c r="S43" s="9"/>
      <c r="X43" s="75"/>
      <c r="Y43" s="76"/>
      <c r="Z43" s="77"/>
    </row>
    <row r="44" spans="2:26" ht="32.25" customHeight="1" x14ac:dyDescent="0.5">
      <c r="B44" s="222"/>
      <c r="C44" s="190"/>
      <c r="D44" s="131"/>
      <c r="E44" s="131"/>
      <c r="F44" s="144"/>
      <c r="G44" s="131"/>
      <c r="H44" s="628"/>
      <c r="I44" s="737"/>
      <c r="J44" s="179"/>
      <c r="K44" s="177">
        <f t="shared" si="3"/>
        <v>0</v>
      </c>
      <c r="L44" s="179"/>
      <c r="M44" s="194">
        <f t="shared" si="4"/>
        <v>0</v>
      </c>
      <c r="N44" s="183"/>
      <c r="O44" s="195" t="str">
        <f t="shared" si="5"/>
        <v>-</v>
      </c>
      <c r="P44" s="738"/>
      <c r="Q44" s="739"/>
      <c r="R44" s="740"/>
      <c r="S44" s="9"/>
      <c r="X44" s="75"/>
      <c r="Y44" s="76"/>
      <c r="Z44" s="77"/>
    </row>
    <row r="45" spans="2:26" ht="32.25" customHeight="1" x14ac:dyDescent="0.5">
      <c r="B45" s="222"/>
      <c r="C45" s="190"/>
      <c r="D45" s="131"/>
      <c r="E45" s="131"/>
      <c r="F45" s="144"/>
      <c r="G45" s="131"/>
      <c r="H45" s="628"/>
      <c r="I45" s="737"/>
      <c r="J45" s="179"/>
      <c r="K45" s="177">
        <f t="shared" si="3"/>
        <v>0</v>
      </c>
      <c r="L45" s="179"/>
      <c r="M45" s="194">
        <f t="shared" si="4"/>
        <v>0</v>
      </c>
      <c r="N45" s="183"/>
      <c r="O45" s="195" t="str">
        <f t="shared" si="5"/>
        <v>-</v>
      </c>
      <c r="P45" s="738"/>
      <c r="Q45" s="739"/>
      <c r="R45" s="740"/>
      <c r="S45" s="9"/>
      <c r="X45" s="75"/>
      <c r="Y45" s="76"/>
      <c r="Z45" s="77"/>
    </row>
    <row r="46" spans="2:26" ht="32.25" customHeight="1" thickBot="1" x14ac:dyDescent="0.55000000000000004">
      <c r="B46" s="225"/>
      <c r="C46" s="142"/>
      <c r="D46" s="210"/>
      <c r="E46" s="210"/>
      <c r="F46" s="389"/>
      <c r="G46" s="210"/>
      <c r="H46" s="557"/>
      <c r="I46" s="749"/>
      <c r="J46" s="181"/>
      <c r="K46" s="211">
        <f t="shared" si="3"/>
        <v>0</v>
      </c>
      <c r="L46" s="181"/>
      <c r="M46" s="212">
        <f t="shared" si="4"/>
        <v>0</v>
      </c>
      <c r="N46" s="213"/>
      <c r="O46" s="239" t="str">
        <f t="shared" si="5"/>
        <v>-</v>
      </c>
      <c r="P46" s="750"/>
      <c r="Q46" s="751"/>
      <c r="R46" s="752"/>
      <c r="S46" s="9"/>
      <c r="X46" s="75"/>
      <c r="Y46" s="76"/>
      <c r="Z46" s="77"/>
    </row>
    <row r="47" spans="2:26" ht="17.25" customHeight="1" thickBot="1" x14ac:dyDescent="0.25">
      <c r="H47" s="568"/>
      <c r="I47" s="568"/>
      <c r="X47" s="75"/>
      <c r="Y47" s="76"/>
      <c r="Z47" s="77"/>
    </row>
    <row r="48" spans="2:26" ht="30.4" customHeight="1" thickBot="1" x14ac:dyDescent="0.25">
      <c r="B48" s="692" t="s">
        <v>13</v>
      </c>
      <c r="C48" s="693"/>
      <c r="D48" s="258" t="s">
        <v>3</v>
      </c>
      <c r="E48" s="753" t="s">
        <v>15</v>
      </c>
      <c r="F48" s="753"/>
      <c r="G48" s="753" t="s">
        <v>7</v>
      </c>
      <c r="H48" s="753"/>
      <c r="I48" s="753"/>
      <c r="J48" s="259" t="s">
        <v>5</v>
      </c>
      <c r="K48" s="753" t="s">
        <v>6</v>
      </c>
      <c r="L48" s="754"/>
      <c r="M48" s="80"/>
      <c r="N48" s="80"/>
      <c r="P48" s="67" t="s">
        <v>15</v>
      </c>
      <c r="Q48" s="68" t="s">
        <v>16</v>
      </c>
      <c r="R48" s="69" t="s">
        <v>6</v>
      </c>
      <c r="S48" s="79"/>
      <c r="X48" s="75"/>
      <c r="Y48" s="76"/>
      <c r="Z48" s="77"/>
    </row>
    <row r="49" spans="2:26" ht="32.25" customHeight="1" x14ac:dyDescent="0.5">
      <c r="B49" s="564" t="s">
        <v>109</v>
      </c>
      <c r="C49" s="565"/>
      <c r="D49" s="138" t="s">
        <v>121</v>
      </c>
      <c r="E49" s="767">
        <f>SUMIFS('CRIBLAGE '!$K$17:$K$46,'CRIBLAGE '!$C$17:$C$46,'CRIBLAGE '!B49,'CRIBLAGE '!$F$17:$F$46,D49)</f>
        <v>0</v>
      </c>
      <c r="F49" s="767"/>
      <c r="G49" s="727">
        <f>SUMIFS('CRIBLAGE '!$D$74:$D$107,'CRIBLAGE '!$B$74:$B$107,'CRIBLAGE '!D49,'CRIBLAGE '!$C$74:$C$107,'CRIBLAGE '!B49)*E49</f>
        <v>0</v>
      </c>
      <c r="H49" s="727"/>
      <c r="I49" s="727"/>
      <c r="J49" s="139">
        <f>SUMIFS('CRIBLAGE '!$M$17:$M$46,'CRIBLAGE '!$C$17:$C$46,'CRIBLAGE '!B49,'CRIBLAGE '!$F$17:$F$46,D49)</f>
        <v>0</v>
      </c>
      <c r="K49" s="673" t="str">
        <f t="shared" ref="K49:K56" si="6">IF(E49=0,"-",E49/J49)</f>
        <v>-</v>
      </c>
      <c r="L49" s="674"/>
      <c r="M49" s="10"/>
      <c r="N49" s="59" t="s">
        <v>124</v>
      </c>
      <c r="O49" s="64">
        <v>1</v>
      </c>
      <c r="P49" s="168">
        <f>SUMIFS('CRIBLAGE '!$K$17:$K$46,'CRIBLAGE '!$N$17:$N$46,O49)</f>
        <v>0</v>
      </c>
      <c r="Q49" s="174">
        <f>SUMIFS('CRIBLAGE '!$M$17:$M$46,'CRIBLAGE '!$N$17:$N$46,O49)</f>
        <v>0</v>
      </c>
      <c r="R49" s="169" t="e">
        <f>P49/Q49</f>
        <v>#DIV/0!</v>
      </c>
      <c r="S49" s="11"/>
      <c r="X49" s="75"/>
      <c r="Y49" s="76"/>
      <c r="Z49" s="77"/>
    </row>
    <row r="50" spans="2:26" ht="32.25" customHeight="1" x14ac:dyDescent="0.5">
      <c r="B50" s="564"/>
      <c r="C50" s="565"/>
      <c r="D50" s="138"/>
      <c r="E50" s="675">
        <f>SUMIFS('CRIBLAGE '!$K$17:$K$46,'CRIBLAGE '!$C$17:$C$46,'CRIBLAGE '!B50,'CRIBLAGE '!$F$17:$F$46,D50)</f>
        <v>0</v>
      </c>
      <c r="F50" s="675"/>
      <c r="G50" s="725">
        <f>SUMIFS('CRIBLAGE '!$D$74:$D$107,'CRIBLAGE '!$B$74:$B$107,'CRIBLAGE '!D50,'CRIBLAGE '!$C$74:$C$107,'CRIBLAGE '!B50)*E50</f>
        <v>0</v>
      </c>
      <c r="H50" s="725"/>
      <c r="I50" s="725"/>
      <c r="J50" s="139">
        <f>SUMIFS('CRIBLAGE '!$M$17:$M$46,'CRIBLAGE '!$C$17:$C$46,'CRIBLAGE '!B50,'CRIBLAGE '!$F$17:$F$46,D50)</f>
        <v>0</v>
      </c>
      <c r="K50" s="676" t="str">
        <f t="shared" si="6"/>
        <v>-</v>
      </c>
      <c r="L50" s="724"/>
      <c r="M50" s="10"/>
      <c r="N50" s="60" t="s">
        <v>124</v>
      </c>
      <c r="O50" s="65">
        <v>2</v>
      </c>
      <c r="P50" s="170">
        <f>SUMIFS('CRIBLAGE '!$K$17:$K$46,'CRIBLAGE '!$N$17:$N$46,O50)</f>
        <v>0</v>
      </c>
      <c r="Q50" s="175">
        <f>SUMIFS('CRIBLAGE '!$M$17:$M$46,'CRIBLAGE '!$N$17:$N$46,O50)</f>
        <v>0</v>
      </c>
      <c r="R50" s="171" t="e">
        <f>P50/Q50</f>
        <v>#DIV/0!</v>
      </c>
      <c r="S50" s="11"/>
      <c r="X50" s="75"/>
      <c r="Y50" s="76"/>
      <c r="Z50" s="77"/>
    </row>
    <row r="51" spans="2:26" ht="32.25" customHeight="1" thickBot="1" x14ac:dyDescent="0.55000000000000004">
      <c r="B51" s="564"/>
      <c r="C51" s="565"/>
      <c r="D51" s="138"/>
      <c r="E51" s="675">
        <f>SUMIFS('CRIBLAGE '!$K$17:$K$46,'CRIBLAGE '!$C$17:$C$46,'CRIBLAGE '!B51,'CRIBLAGE '!$F$17:$F$46,D51)</f>
        <v>0</v>
      </c>
      <c r="F51" s="675"/>
      <c r="G51" s="725">
        <f>SUMIFS('CRIBLAGE '!$D$74:$D$107,'CRIBLAGE '!$B$74:$B$107,'CRIBLAGE '!D51,'CRIBLAGE '!$C$74:$C$107,'CRIBLAGE '!B51)*E51</f>
        <v>0</v>
      </c>
      <c r="H51" s="725"/>
      <c r="I51" s="725"/>
      <c r="J51" s="139">
        <f>SUMIFS('CRIBLAGE '!$M$17:$M$46,'CRIBLAGE '!$C$17:$C$46,'CRIBLAGE '!B51,'CRIBLAGE '!$F$17:$F$46,D51)</f>
        <v>0</v>
      </c>
      <c r="K51" s="676" t="str">
        <f t="shared" si="6"/>
        <v>-</v>
      </c>
      <c r="L51" s="724"/>
      <c r="M51" s="10"/>
      <c r="N51" s="61" t="s">
        <v>124</v>
      </c>
      <c r="O51" s="66">
        <v>3</v>
      </c>
      <c r="P51" s="172">
        <f>SUMIFS('CRIBLAGE '!$K$17:$K$46,'CRIBLAGE '!$N$17:$N$46,O51)</f>
        <v>0</v>
      </c>
      <c r="Q51" s="176">
        <f>SUMIFS('CRIBLAGE '!$M$17:$M$46,'CRIBLAGE '!$N$17:$N$46,O51)</f>
        <v>0</v>
      </c>
      <c r="R51" s="173" t="e">
        <f>P51/Q51</f>
        <v>#DIV/0!</v>
      </c>
      <c r="S51" s="11"/>
    </row>
    <row r="52" spans="2:26" ht="32.25" customHeight="1" x14ac:dyDescent="0.5">
      <c r="B52" s="564"/>
      <c r="C52" s="565"/>
      <c r="D52" s="138"/>
      <c r="E52" s="675">
        <f>SUMIFS('CRIBLAGE '!$K$17:$K$46,'CRIBLAGE '!$C$17:$C$46,'CRIBLAGE '!B52,'CRIBLAGE '!$F$17:$F$46,D52)</f>
        <v>0</v>
      </c>
      <c r="F52" s="675"/>
      <c r="G52" s="725">
        <f>SUMIFS('CRIBLAGE '!$D$74:$D$107,'CRIBLAGE '!$B$74:$B$107,'CRIBLAGE '!D52,'CRIBLAGE '!$C$74:$C$107,'CRIBLAGE '!B52)*E52</f>
        <v>0</v>
      </c>
      <c r="H52" s="725"/>
      <c r="I52" s="725"/>
      <c r="J52" s="139">
        <f>SUMIFS('CRIBLAGE '!$M$17:$M$46,'CRIBLAGE '!$C$17:$C$46,'CRIBLAGE '!B52,'CRIBLAGE '!$F$17:$F$46,D52)</f>
        <v>0</v>
      </c>
      <c r="K52" s="676" t="str">
        <f t="shared" si="6"/>
        <v>-</v>
      </c>
      <c r="L52" s="724"/>
      <c r="M52" s="10"/>
      <c r="N52" s="10"/>
      <c r="O52" s="605"/>
      <c r="P52" s="605"/>
      <c r="Q52" s="605"/>
      <c r="R52" s="605"/>
      <c r="S52" s="11"/>
    </row>
    <row r="53" spans="2:26" ht="32.25" customHeight="1" x14ac:dyDescent="0.5">
      <c r="B53" s="564"/>
      <c r="C53" s="565"/>
      <c r="D53" s="138"/>
      <c r="E53" s="675">
        <f>SUMIFS('CRIBLAGE '!$K$17:$K$46,'CRIBLAGE '!$C$17:$C$46,'CRIBLAGE '!B53,'CRIBLAGE '!$F$17:$F$46,D53)</f>
        <v>0</v>
      </c>
      <c r="F53" s="675"/>
      <c r="G53" s="725">
        <f>SUMIFS('CRIBLAGE '!$D$74:$D$107,'CRIBLAGE '!$B$74:$B$107,'CRIBLAGE '!D53,'CRIBLAGE '!$C$74:$C$107,'CRIBLAGE '!B53)*E53</f>
        <v>0</v>
      </c>
      <c r="H53" s="725"/>
      <c r="I53" s="725"/>
      <c r="J53" s="139">
        <f>SUMIFS('CRIBLAGE '!$M$17:$M$46,'CRIBLAGE '!$C$17:$C$46,'CRIBLAGE '!B53,'CRIBLAGE '!$F$17:$F$46,D53)</f>
        <v>0</v>
      </c>
      <c r="K53" s="676" t="str">
        <f t="shared" si="6"/>
        <v>-</v>
      </c>
      <c r="L53" s="724"/>
      <c r="M53" s="10"/>
      <c r="N53" s="10"/>
      <c r="O53" s="11"/>
      <c r="P53" s="11"/>
      <c r="Q53" s="11"/>
      <c r="R53" s="11"/>
      <c r="S53" s="11"/>
    </row>
    <row r="54" spans="2:26" ht="32.25" customHeight="1" x14ac:dyDescent="0.5">
      <c r="B54" s="564"/>
      <c r="C54" s="565"/>
      <c r="D54" s="138"/>
      <c r="E54" s="675">
        <f>SUMIFS('CRIBLAGE '!$K$17:$K$46,'CRIBLAGE '!$C$17:$C$46,'CRIBLAGE '!B54,'CRIBLAGE '!$F$17:$F$46,D54)</f>
        <v>0</v>
      </c>
      <c r="F54" s="675"/>
      <c r="G54" s="725">
        <f>SUMIFS('CRIBLAGE '!$D$74:$D$107,'CRIBLAGE '!$B$74:$B$107,'CRIBLAGE '!D54,'CRIBLAGE '!$C$74:$C$107,'CRIBLAGE '!B54)*E54</f>
        <v>0</v>
      </c>
      <c r="H54" s="725"/>
      <c r="I54" s="725"/>
      <c r="J54" s="139">
        <f>SUMIFS('CRIBLAGE '!$M$17:$M$46,'CRIBLAGE '!$C$17:$C$46,'CRIBLAGE '!B54,'CRIBLAGE '!$F$17:$F$46,D54)</f>
        <v>0</v>
      </c>
      <c r="K54" s="676" t="str">
        <f t="shared" si="6"/>
        <v>-</v>
      </c>
      <c r="L54" s="724"/>
      <c r="M54" s="10"/>
      <c r="N54" s="10"/>
      <c r="O54" s="11"/>
      <c r="P54" s="11"/>
      <c r="Q54" s="11"/>
      <c r="R54" s="11"/>
      <c r="S54" s="11"/>
    </row>
    <row r="55" spans="2:26" ht="32.25" customHeight="1" x14ac:dyDescent="0.5">
      <c r="B55" s="564"/>
      <c r="C55" s="565"/>
      <c r="D55" s="138"/>
      <c r="E55" s="675">
        <f>SUMIFS('CRIBLAGE '!$K$17:$K$46,'CRIBLAGE '!$C$17:$C$46,'CRIBLAGE '!B55,'CRIBLAGE '!$F$17:$F$46,D55)</f>
        <v>0</v>
      </c>
      <c r="F55" s="675"/>
      <c r="G55" s="725">
        <f>SUMIFS('CRIBLAGE '!$D$74:$D$107,'CRIBLAGE '!$B$74:$B$107,'CRIBLAGE '!D55,'CRIBLAGE '!$C$74:$C$107,'CRIBLAGE '!B55)*E55</f>
        <v>0</v>
      </c>
      <c r="H55" s="725"/>
      <c r="I55" s="725"/>
      <c r="J55" s="139">
        <f>SUMIFS('CRIBLAGE '!$M$17:$M$46,'CRIBLAGE '!$C$17:$C$46,'CRIBLAGE '!B55,'CRIBLAGE '!$F$17:$F$46,D55)</f>
        <v>0</v>
      </c>
      <c r="K55" s="676" t="str">
        <f t="shared" si="6"/>
        <v>-</v>
      </c>
      <c r="L55" s="724"/>
      <c r="M55" s="10"/>
      <c r="N55" s="10"/>
      <c r="O55" s="11"/>
      <c r="P55" s="11"/>
      <c r="Q55" s="11"/>
      <c r="R55" s="11"/>
      <c r="S55" s="11"/>
    </row>
    <row r="56" spans="2:26" ht="32.25" customHeight="1" thickBot="1" x14ac:dyDescent="0.55000000000000004">
      <c r="B56" s="564"/>
      <c r="C56" s="565"/>
      <c r="D56" s="140"/>
      <c r="E56" s="728">
        <f>SUMIFS('CRIBLAGE '!$K$17:$K$46,'CRIBLAGE '!$C$17:$C$46,'CRIBLAGE '!B56,'CRIBLAGE '!$F$17:$F$46,D56)</f>
        <v>0</v>
      </c>
      <c r="F56" s="728"/>
      <c r="G56" s="729">
        <f>SUMIFS('CRIBLAGE '!$D$74:$D$107,'CRIBLAGE '!$B$74:$B$107,'CRIBLAGE '!D56,'CRIBLAGE '!$C$74:$C$107,'CRIBLAGE '!B56)*E56</f>
        <v>0</v>
      </c>
      <c r="H56" s="729"/>
      <c r="I56" s="729"/>
      <c r="J56" s="141">
        <f>SUMIFS('CRIBLAGE '!$M$17:$M$46,'CRIBLAGE '!$C$17:$C$46,'CRIBLAGE '!B56,'CRIBLAGE '!$F$17:$F$46,D56)</f>
        <v>0</v>
      </c>
      <c r="K56" s="696" t="str">
        <f t="shared" si="6"/>
        <v>-</v>
      </c>
      <c r="L56" s="730"/>
      <c r="P56" s="9"/>
      <c r="Q56" s="9"/>
      <c r="R56" s="9"/>
      <c r="S56" s="11"/>
    </row>
    <row r="57" spans="2:26" ht="43.5" customHeight="1" x14ac:dyDescent="0.2"/>
    <row r="58" spans="2:26" ht="13.5" thickBot="1" x14ac:dyDescent="0.25"/>
    <row r="59" spans="2:26" ht="33.6" customHeight="1" thickBot="1" x14ac:dyDescent="0.25">
      <c r="B59" s="768" t="s">
        <v>3</v>
      </c>
      <c r="C59" s="769"/>
      <c r="D59" s="158"/>
      <c r="E59" s="770" t="s">
        <v>15</v>
      </c>
      <c r="F59" s="770"/>
      <c r="G59" s="770" t="s">
        <v>7</v>
      </c>
      <c r="H59" s="770"/>
      <c r="I59" s="770"/>
      <c r="J59" s="157" t="s">
        <v>5</v>
      </c>
      <c r="K59" s="770" t="s">
        <v>6</v>
      </c>
      <c r="L59" s="770"/>
    </row>
    <row r="60" spans="2:26" ht="32.25" customHeight="1" thickBot="1" x14ac:dyDescent="0.25">
      <c r="B60" s="765" t="s">
        <v>121</v>
      </c>
      <c r="C60" s="766"/>
      <c r="D60" s="160"/>
      <c r="E60" s="614">
        <f>SUMIFS('CRIBLAGE '!$E$49:$E$56,'CRIBLAGE '!$D$49:$D$56,D60)</f>
        <v>0</v>
      </c>
      <c r="F60" s="614"/>
      <c r="G60" s="615">
        <f>SUMIFS('CRIBLAGE '!$G$49:$G$56,'CRIBLAGE '!$D$49:$D$56,D60)</f>
        <v>0</v>
      </c>
      <c r="H60" s="615"/>
      <c r="I60" s="615"/>
      <c r="J60" s="156">
        <f>SUMIFS('CRIBLAGE '!$J$49:$J$56,'CRIBLAGE '!$D$49:$D$56,D60)</f>
        <v>0</v>
      </c>
      <c r="K60" s="615" t="str">
        <f>IF(E60=0,"-",E60/J60)</f>
        <v>-</v>
      </c>
      <c r="L60" s="615"/>
      <c r="M60" s="10"/>
      <c r="N60" s="10"/>
      <c r="O60" s="62"/>
      <c r="P60" s="63"/>
      <c r="Q60" s="63"/>
      <c r="R60" s="63"/>
      <c r="S60" s="11"/>
    </row>
    <row r="62" spans="2:26" x14ac:dyDescent="0.2">
      <c r="Q62" s="48"/>
      <c r="R62" s="49"/>
    </row>
    <row r="63" spans="2:26" x14ac:dyDescent="0.2">
      <c r="Q63" s="48"/>
      <c r="R63" s="49"/>
    </row>
    <row r="64" spans="2:26" x14ac:dyDescent="0.2">
      <c r="Q64" s="50"/>
      <c r="R64" s="49"/>
    </row>
    <row r="65" spans="2:18" x14ac:dyDescent="0.2">
      <c r="Q65" s="48"/>
      <c r="R65" s="49"/>
    </row>
    <row r="66" spans="2:18" x14ac:dyDescent="0.2">
      <c r="Q66" s="48"/>
      <c r="R66" s="49"/>
    </row>
    <row r="67" spans="2:18" x14ac:dyDescent="0.2">
      <c r="Q67" s="48"/>
      <c r="R67" s="49"/>
    </row>
    <row r="68" spans="2:18" x14ac:dyDescent="0.2">
      <c r="Q68" s="48"/>
      <c r="R68" s="51"/>
    </row>
    <row r="70" spans="2:18" ht="15.75" x14ac:dyDescent="0.2">
      <c r="D70" s="47"/>
      <c r="E70" s="47"/>
      <c r="F70" s="47"/>
      <c r="G70" s="47"/>
      <c r="H70" s="47"/>
      <c r="I70" s="47"/>
      <c r="J70" s="47"/>
      <c r="K70" s="47"/>
    </row>
    <row r="71" spans="2:18" ht="15.75" x14ac:dyDescent="0.2">
      <c r="D71" s="47"/>
      <c r="E71" s="47"/>
      <c r="F71" s="47"/>
      <c r="G71" s="47"/>
      <c r="H71" s="47"/>
      <c r="I71" s="47"/>
      <c r="J71" s="47"/>
      <c r="K71" s="47"/>
    </row>
    <row r="72" spans="2:18" ht="15.75" x14ac:dyDescent="0.2">
      <c r="D72" s="47"/>
      <c r="E72" s="47"/>
      <c r="F72" s="47"/>
      <c r="G72" s="47"/>
      <c r="H72" s="47"/>
      <c r="I72" s="47"/>
      <c r="J72" s="47"/>
      <c r="K72" s="47"/>
    </row>
    <row r="73" spans="2:18" ht="15.75" x14ac:dyDescent="0.2">
      <c r="B73" s="54" t="s">
        <v>126</v>
      </c>
      <c r="C73" s="54" t="s">
        <v>13</v>
      </c>
      <c r="D73" s="54" t="s">
        <v>114</v>
      </c>
      <c r="E73" s="47"/>
      <c r="F73" s="47"/>
      <c r="G73" s="47"/>
      <c r="H73" s="47"/>
      <c r="I73" s="47"/>
      <c r="J73" s="47"/>
      <c r="K73" s="47"/>
    </row>
    <row r="74" spans="2:18" ht="18" hidden="1" x14ac:dyDescent="0.2">
      <c r="B74" s="71" t="s">
        <v>116</v>
      </c>
      <c r="C74" s="52" t="s">
        <v>34</v>
      </c>
      <c r="D74" s="53">
        <v>0.62</v>
      </c>
      <c r="E74" s="47"/>
      <c r="F74" s="47"/>
      <c r="G74" s="47"/>
      <c r="H74" s="47"/>
      <c r="I74" s="47"/>
      <c r="J74" s="47"/>
      <c r="K74" s="47"/>
    </row>
    <row r="75" spans="2:18" ht="18" hidden="1" x14ac:dyDescent="0.2">
      <c r="B75" s="71" t="s">
        <v>116</v>
      </c>
      <c r="C75" s="52" t="s">
        <v>35</v>
      </c>
      <c r="D75" s="53">
        <v>0.57999999999999996</v>
      </c>
    </row>
    <row r="76" spans="2:18" ht="18" hidden="1" x14ac:dyDescent="0.2">
      <c r="B76" s="71" t="s">
        <v>116</v>
      </c>
      <c r="C76" s="52" t="s">
        <v>26</v>
      </c>
      <c r="D76" s="53">
        <v>0.8</v>
      </c>
    </row>
    <row r="77" spans="2:18" ht="18" hidden="1" x14ac:dyDescent="0.2">
      <c r="B77" s="71" t="s">
        <v>116</v>
      </c>
      <c r="C77" s="52" t="s">
        <v>30</v>
      </c>
      <c r="D77" s="53">
        <v>0.79</v>
      </c>
    </row>
    <row r="78" spans="2:18" ht="18" hidden="1" x14ac:dyDescent="0.2">
      <c r="B78" s="71" t="s">
        <v>116</v>
      </c>
      <c r="C78" s="52" t="s">
        <v>33</v>
      </c>
      <c r="D78" s="53">
        <v>0.78</v>
      </c>
    </row>
    <row r="79" spans="2:18" ht="18" hidden="1" x14ac:dyDescent="0.2">
      <c r="B79" s="71" t="s">
        <v>116</v>
      </c>
      <c r="C79" s="52" t="s">
        <v>36</v>
      </c>
      <c r="D79" s="53">
        <v>0.55000000000000004</v>
      </c>
    </row>
    <row r="80" spans="2:18" ht="18" hidden="1" x14ac:dyDescent="0.2">
      <c r="B80" s="71" t="s">
        <v>116</v>
      </c>
      <c r="C80" s="52" t="s">
        <v>22</v>
      </c>
      <c r="D80" s="53">
        <v>0.82</v>
      </c>
    </row>
    <row r="81" spans="2:4" ht="18" x14ac:dyDescent="0.2">
      <c r="B81" s="71" t="s">
        <v>121</v>
      </c>
      <c r="C81" s="52" t="s">
        <v>109</v>
      </c>
      <c r="D81" s="53">
        <v>0.56999999999999995</v>
      </c>
    </row>
    <row r="82" spans="2:4" ht="18" hidden="1" x14ac:dyDescent="0.2">
      <c r="B82" s="71" t="s">
        <v>118</v>
      </c>
      <c r="C82" s="52" t="s">
        <v>110</v>
      </c>
      <c r="D82" s="53">
        <v>0.82</v>
      </c>
    </row>
    <row r="83" spans="2:4" ht="18" hidden="1" x14ac:dyDescent="0.2">
      <c r="B83" s="71" t="s">
        <v>118</v>
      </c>
      <c r="C83" s="52" t="s">
        <v>543</v>
      </c>
      <c r="D83" s="53">
        <v>0.82</v>
      </c>
    </row>
    <row r="84" spans="2:4" ht="18" hidden="1" x14ac:dyDescent="0.2">
      <c r="B84" s="71" t="s">
        <v>118</v>
      </c>
      <c r="C84" s="52" t="s">
        <v>111</v>
      </c>
      <c r="D84" s="53">
        <v>0.82</v>
      </c>
    </row>
    <row r="85" spans="2:4" ht="18" hidden="1" x14ac:dyDescent="0.2">
      <c r="B85" s="71" t="s">
        <v>118</v>
      </c>
      <c r="C85" s="52" t="s">
        <v>128</v>
      </c>
      <c r="D85" s="53">
        <v>0.82</v>
      </c>
    </row>
    <row r="86" spans="2:4" ht="18" hidden="1" x14ac:dyDescent="0.2">
      <c r="B86" s="71" t="s">
        <v>118</v>
      </c>
      <c r="C86" s="52" t="s">
        <v>112</v>
      </c>
      <c r="D86" s="53">
        <v>0.84</v>
      </c>
    </row>
    <row r="87" spans="2:4" ht="18" hidden="1" x14ac:dyDescent="0.2">
      <c r="B87" s="71" t="s">
        <v>118</v>
      </c>
      <c r="C87" s="52" t="s">
        <v>113</v>
      </c>
      <c r="D87" s="53">
        <v>0.85</v>
      </c>
    </row>
    <row r="88" spans="2:4" ht="18" hidden="1" x14ac:dyDescent="0.2">
      <c r="B88" s="71" t="s">
        <v>118</v>
      </c>
      <c r="C88" s="52" t="s">
        <v>127</v>
      </c>
      <c r="D88" s="53">
        <v>0.84</v>
      </c>
    </row>
    <row r="89" spans="2:4" ht="18" hidden="1" x14ac:dyDescent="0.2">
      <c r="B89" s="71" t="s">
        <v>118</v>
      </c>
      <c r="C89" s="52" t="s">
        <v>129</v>
      </c>
      <c r="D89" s="53">
        <v>0.84</v>
      </c>
    </row>
    <row r="90" spans="2:4" ht="18" hidden="1" x14ac:dyDescent="0.2">
      <c r="B90" s="71" t="s">
        <v>118</v>
      </c>
      <c r="C90" s="52" t="s">
        <v>35</v>
      </c>
      <c r="D90" s="53">
        <v>0.75</v>
      </c>
    </row>
    <row r="91" spans="2:4" ht="18" hidden="1" x14ac:dyDescent="0.2">
      <c r="B91" s="71" t="s">
        <v>118</v>
      </c>
      <c r="C91" s="52" t="s">
        <v>34</v>
      </c>
      <c r="D91" s="53">
        <v>0.76</v>
      </c>
    </row>
    <row r="92" spans="2:4" ht="18" hidden="1" x14ac:dyDescent="0.2">
      <c r="B92" s="71" t="s">
        <v>118</v>
      </c>
      <c r="C92" s="52" t="s">
        <v>36</v>
      </c>
      <c r="D92" s="53">
        <v>0.71</v>
      </c>
    </row>
    <row r="93" spans="2:4" ht="18" hidden="1" x14ac:dyDescent="0.2">
      <c r="B93" s="72" t="s">
        <v>118</v>
      </c>
      <c r="C93" s="73" t="s">
        <v>544</v>
      </c>
      <c r="D93" s="74">
        <v>0.8</v>
      </c>
    </row>
    <row r="94" spans="2:4" ht="18" hidden="1" x14ac:dyDescent="0.2">
      <c r="B94" s="72" t="s">
        <v>118</v>
      </c>
      <c r="C94" s="73" t="s">
        <v>26</v>
      </c>
      <c r="D94" s="74">
        <v>0.8</v>
      </c>
    </row>
    <row r="95" spans="2:4" ht="18" hidden="1" x14ac:dyDescent="0.2">
      <c r="B95" s="72" t="s">
        <v>118</v>
      </c>
      <c r="C95" s="73" t="s">
        <v>30</v>
      </c>
      <c r="D95" s="74">
        <v>0.79</v>
      </c>
    </row>
    <row r="96" spans="2:4" ht="18" hidden="1" x14ac:dyDescent="0.2">
      <c r="B96" s="72" t="s">
        <v>118</v>
      </c>
      <c r="C96" s="73" t="s">
        <v>33</v>
      </c>
      <c r="D96" s="74">
        <v>0.78</v>
      </c>
    </row>
    <row r="97" spans="2:4" ht="18" hidden="1" x14ac:dyDescent="0.2">
      <c r="B97" s="72" t="s">
        <v>117</v>
      </c>
      <c r="C97" s="73" t="s">
        <v>34</v>
      </c>
      <c r="D97" s="74">
        <v>0.67</v>
      </c>
    </row>
    <row r="98" spans="2:4" ht="18" hidden="1" x14ac:dyDescent="0.2">
      <c r="B98" s="72" t="s">
        <v>117</v>
      </c>
      <c r="C98" s="73" t="s">
        <v>35</v>
      </c>
      <c r="D98" s="74">
        <v>0.56000000000000005</v>
      </c>
    </row>
    <row r="99" spans="2:4" ht="18" hidden="1" x14ac:dyDescent="0.2">
      <c r="B99" s="72" t="s">
        <v>117</v>
      </c>
      <c r="C99" s="73" t="s">
        <v>30</v>
      </c>
      <c r="D99" s="74">
        <v>0.71</v>
      </c>
    </row>
    <row r="100" spans="2:4" ht="18" hidden="1" x14ac:dyDescent="0.2">
      <c r="B100" s="72" t="s">
        <v>117</v>
      </c>
      <c r="C100" s="73" t="s">
        <v>33</v>
      </c>
      <c r="D100" s="74">
        <v>0.69</v>
      </c>
    </row>
    <row r="101" spans="2:4" ht="18" hidden="1" x14ac:dyDescent="0.2">
      <c r="B101" s="72" t="s">
        <v>117</v>
      </c>
      <c r="C101" s="73" t="s">
        <v>36</v>
      </c>
      <c r="D101" s="74">
        <v>0.34</v>
      </c>
    </row>
    <row r="102" spans="2:4" ht="18" hidden="1" x14ac:dyDescent="0.2">
      <c r="B102" s="72" t="s">
        <v>119</v>
      </c>
      <c r="C102" s="73" t="s">
        <v>34</v>
      </c>
      <c r="D102" s="74">
        <v>0.62</v>
      </c>
    </row>
    <row r="103" spans="2:4" ht="18" hidden="1" x14ac:dyDescent="0.2">
      <c r="B103" s="72" t="s">
        <v>119</v>
      </c>
      <c r="C103" s="73" t="s">
        <v>35</v>
      </c>
      <c r="D103" s="74">
        <v>0.57999999999999996</v>
      </c>
    </row>
    <row r="104" spans="2:4" ht="18" hidden="1" x14ac:dyDescent="0.2">
      <c r="B104" s="72" t="s">
        <v>119</v>
      </c>
      <c r="C104" s="73" t="s">
        <v>26</v>
      </c>
      <c r="D104" s="74">
        <v>0.69</v>
      </c>
    </row>
    <row r="105" spans="2:4" ht="18" hidden="1" x14ac:dyDescent="0.2">
      <c r="B105" s="72" t="s">
        <v>119</v>
      </c>
      <c r="C105" s="73" t="s">
        <v>30</v>
      </c>
      <c r="D105" s="74">
        <v>0.71</v>
      </c>
    </row>
    <row r="106" spans="2:4" ht="18" hidden="1" x14ac:dyDescent="0.2">
      <c r="B106" s="72" t="s">
        <v>119</v>
      </c>
      <c r="C106" s="73" t="s">
        <v>33</v>
      </c>
      <c r="D106" s="74">
        <v>0.69</v>
      </c>
    </row>
    <row r="107" spans="2:4" ht="18" hidden="1" x14ac:dyDescent="0.2">
      <c r="B107" s="72" t="s">
        <v>119</v>
      </c>
      <c r="C107" s="73" t="s">
        <v>36</v>
      </c>
      <c r="D107" s="74">
        <v>0.55000000000000004</v>
      </c>
    </row>
  </sheetData>
  <protectedRanges>
    <protectedRange algorithmName="SHA-512" hashValue="0C0fN8YjnwnnzueCRTE/sg1ojWlVX6ZAT2Ihdm70VdS09cXD5MTe0lslzHU1B3VNzFUWV0dgC8yNja08awZVMw==" saltValue="pKPHA+yF3ooAOVPN26RWzA==" spinCount="100000" sqref="P18:R46 Q15 B41:B45 L19:L46 D29:F30 D34:E45 F34:F46 G34:J45 N18:N46 D31:J33 B49:D56 G18:I18 H17:I17 F17:F28 G19:J30" name="Plage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0" name="Plage1_3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B30 C29:C30 B34:B40 C34:C45 B31:C33 C18:E28" name="Plage1_1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P17:R17" name="Plage1_2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B18:B29" name="Plage1_2_1_1_1_2_2_1_1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N17" name="Plage1_4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B17" name="Plage1_2_1_1_1_2_2_1_1_2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G17" name="Plage1_5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C17:D17" name="Plage1_5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E17" name="Plage1_1_1_1_1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L18 J18" name="Plage1_7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L17 J17" name="Plage1_8" securityDescriptor="O:WDG:WDD:(A;;CC;;;S-1-5-21-3126896699-2736327119-1644971827-159763)"/>
  </protectedRanges>
  <mergeCells count="121">
    <mergeCell ref="B51:C51"/>
    <mergeCell ref="E51:F51"/>
    <mergeCell ref="G51:I51"/>
    <mergeCell ref="K51:L51"/>
    <mergeCell ref="B49:C49"/>
    <mergeCell ref="E49:F49"/>
    <mergeCell ref="G49:I49"/>
    <mergeCell ref="B59:C59"/>
    <mergeCell ref="E59:F59"/>
    <mergeCell ref="G59:I59"/>
    <mergeCell ref="K59:L59"/>
    <mergeCell ref="K49:L49"/>
    <mergeCell ref="B50:C50"/>
    <mergeCell ref="E50:F50"/>
    <mergeCell ref="G50:I50"/>
    <mergeCell ref="K50:L50"/>
    <mergeCell ref="B60:C60"/>
    <mergeCell ref="E60:F60"/>
    <mergeCell ref="G60:I60"/>
    <mergeCell ref="K60:L60"/>
    <mergeCell ref="B55:C55"/>
    <mergeCell ref="E55:F55"/>
    <mergeCell ref="G55:I55"/>
    <mergeCell ref="K55:L55"/>
    <mergeCell ref="B56:C56"/>
    <mergeCell ref="E56:F56"/>
    <mergeCell ref="G56:I56"/>
    <mergeCell ref="K56:L56"/>
    <mergeCell ref="O52:R52"/>
    <mergeCell ref="B53:C53"/>
    <mergeCell ref="E53:F53"/>
    <mergeCell ref="G53:I53"/>
    <mergeCell ref="K53:L53"/>
    <mergeCell ref="B54:C54"/>
    <mergeCell ref="E54:F54"/>
    <mergeCell ref="G54:I54"/>
    <mergeCell ref="K54:L54"/>
    <mergeCell ref="B52:C52"/>
    <mergeCell ref="E52:F52"/>
    <mergeCell ref="G52:I52"/>
    <mergeCell ref="K52:L52"/>
    <mergeCell ref="H46:I46"/>
    <mergeCell ref="P46:R46"/>
    <mergeCell ref="H47:I47"/>
    <mergeCell ref="B48:C48"/>
    <mergeCell ref="E48:F48"/>
    <mergeCell ref="G48:I48"/>
    <mergeCell ref="K48:L48"/>
    <mergeCell ref="H43:I43"/>
    <mergeCell ref="P43:R43"/>
    <mergeCell ref="H44:I44"/>
    <mergeCell ref="P44:R44"/>
    <mergeCell ref="H45:I45"/>
    <mergeCell ref="P45:R45"/>
    <mergeCell ref="H39:I39"/>
    <mergeCell ref="P39:R39"/>
    <mergeCell ref="H40:I40"/>
    <mergeCell ref="P40:R40"/>
    <mergeCell ref="H41:I41"/>
    <mergeCell ref="P41:R41"/>
    <mergeCell ref="H42:I42"/>
    <mergeCell ref="H36:I36"/>
    <mergeCell ref="P36:R36"/>
    <mergeCell ref="H37:I37"/>
    <mergeCell ref="P37:R37"/>
    <mergeCell ref="H38:I38"/>
    <mergeCell ref="P38:R38"/>
    <mergeCell ref="H33:I33"/>
    <mergeCell ref="P33:R33"/>
    <mergeCell ref="H34:I34"/>
    <mergeCell ref="P34:R34"/>
    <mergeCell ref="H35:I35"/>
    <mergeCell ref="P35:R35"/>
    <mergeCell ref="H30:I30"/>
    <mergeCell ref="P30:R30"/>
    <mergeCell ref="H31:I31"/>
    <mergeCell ref="P31:R31"/>
    <mergeCell ref="H32:I32"/>
    <mergeCell ref="P32:R32"/>
    <mergeCell ref="H27:I27"/>
    <mergeCell ref="P27:R27"/>
    <mergeCell ref="H28:I28"/>
    <mergeCell ref="P28:R28"/>
    <mergeCell ref="H29:I29"/>
    <mergeCell ref="P29:R29"/>
    <mergeCell ref="P17:R17"/>
    <mergeCell ref="Q6:R6"/>
    <mergeCell ref="H24:I24"/>
    <mergeCell ref="P24:R24"/>
    <mergeCell ref="H25:I25"/>
    <mergeCell ref="P25:R25"/>
    <mergeCell ref="H26:I26"/>
    <mergeCell ref="P26:R26"/>
    <mergeCell ref="H22:I22"/>
    <mergeCell ref="P22:R22"/>
    <mergeCell ref="H23:I23"/>
    <mergeCell ref="P23:R23"/>
    <mergeCell ref="B8:C9"/>
    <mergeCell ref="E8:R8"/>
    <mergeCell ref="E9:R9"/>
    <mergeCell ref="B10:C10"/>
    <mergeCell ref="F10:Q10"/>
    <mergeCell ref="H21:I21"/>
    <mergeCell ref="P21:R21"/>
    <mergeCell ref="C2:D3"/>
    <mergeCell ref="C4:D5"/>
    <mergeCell ref="F6:G6"/>
    <mergeCell ref="I6:J6"/>
    <mergeCell ref="K6:L6"/>
    <mergeCell ref="M6:O6"/>
    <mergeCell ref="B13:R14"/>
    <mergeCell ref="Q15:R15"/>
    <mergeCell ref="H16:I16"/>
    <mergeCell ref="P16:R16"/>
    <mergeCell ref="H18:I18"/>
    <mergeCell ref="P18:R18"/>
    <mergeCell ref="H19:I19"/>
    <mergeCell ref="P19:R19"/>
    <mergeCell ref="H20:I20"/>
    <mergeCell ref="P20:R20"/>
    <mergeCell ref="H17:I17"/>
  </mergeCells>
  <dataValidations count="3">
    <dataValidation type="list" allowBlank="1" showInputMessage="1" showErrorMessage="1" sqref="B60:C60">
      <formula1>$A$2:$A$15</formula1>
    </dataValidation>
    <dataValidation showInputMessage="1" showErrorMessage="1" sqref="B17:B46"/>
    <dataValidation type="list" allowBlank="1" showInputMessage="1" showErrorMessage="1" sqref="D60">
      <formula1>$A$2:$A$10</formula1>
    </dataValidation>
  </dataValidations>
  <printOptions horizontalCentered="1" verticalCentered="1"/>
  <pageMargins left="0" right="0.19685039370078741" top="0" bottom="0" header="0" footer="0"/>
  <pageSetup paperSize="9" scale="36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26" operator="equal" id="{6E76AA42-4613-4C29-A6EE-EC41A426BD56}">
            <xm:f>QUALITE!$A$18</xm:f>
            <x14:dxf>
              <font>
                <color rgb="FFFF0000"/>
              </font>
            </x14:dxf>
          </x14:cfRule>
          <x14:cfRule type="cellIs" priority="327" operator="equal" id="{56A1417D-6391-4792-A111-78142E851B3B}">
            <xm:f>QUALITE!$A$17</xm:f>
            <x14:dxf>
              <font>
                <color rgb="FF00B0F0"/>
              </font>
            </x14:dxf>
          </x14:cfRule>
          <x14:cfRule type="cellIs" priority="328" operator="equal" id="{C87CB34D-C420-4BC5-9AA9-28C120DA62AB}">
            <xm:f>QUALITE!$A$16</xm:f>
            <x14:dxf>
              <font>
                <color theme="2" tint="-0.499984740745262"/>
              </font>
            </x14:dxf>
          </x14:cfRule>
          <x14:cfRule type="cellIs" priority="329" operator="equal" id="{324923C8-E411-4DFF-87C4-0E78E479DC36}">
            <xm:f>QUALITE!$A$15</xm:f>
            <x14:dxf>
              <font>
                <color theme="2" tint="-0.499984740745262"/>
              </font>
            </x14:dxf>
          </x14:cfRule>
          <x14:cfRule type="cellIs" priority="330" operator="equal" id="{65FDE6BE-9866-4BF8-ABEC-66E89E7BE141}">
            <xm:f>QUALITE!$A$14</xm:f>
            <x14:dxf>
              <font>
                <color rgb="FFFF0000"/>
              </font>
            </x14:dxf>
          </x14:cfRule>
          <x14:cfRule type="cellIs" priority="331" operator="equal" id="{E55DCD9C-484E-4C14-98B5-C7C1DDB6FEF7}">
            <xm:f>QUALITE!$A$13</xm:f>
            <x14:dxf>
              <font>
                <color rgb="FFFF0000"/>
              </font>
            </x14:dxf>
          </x14:cfRule>
          <x14:cfRule type="cellIs" priority="332" operator="equal" id="{130BC28B-B729-44E6-BC6C-F7F5F21C9C96}">
            <xm:f>QUALITE!$A$12</xm:f>
            <x14:dxf>
              <font>
                <color rgb="FF00B050"/>
              </font>
            </x14:dxf>
          </x14:cfRule>
          <x14:cfRule type="cellIs" priority="333" operator="equal" id="{F5D50510-DD08-4C19-8B77-169B8D6C1695}">
            <xm:f>QUALITE!$A$11</xm:f>
            <x14:dxf>
              <font>
                <color rgb="FF0070C0"/>
              </font>
            </x14:dxf>
          </x14:cfRule>
          <x14:cfRule type="cellIs" priority="334" operator="equal" id="{133B62E7-03DD-42CF-9D60-891269F08FA0}">
            <xm:f>QUALITE!$A$10</xm:f>
            <x14:dxf>
              <font>
                <color rgb="FF00B0F0"/>
              </font>
            </x14:dxf>
          </x14:cfRule>
          <x14:cfRule type="cellIs" priority="335" operator="equal" id="{7C0F648A-D964-4AFE-8537-4F5DE8DF78D9}">
            <xm:f>QUALITE!$A$9</xm:f>
            <x14:dxf>
              <font>
                <color auto="1"/>
              </font>
            </x14:dxf>
          </x14:cfRule>
          <x14:cfRule type="cellIs" priority="336" operator="equal" id="{A86D0891-2A12-4543-86FE-523AC8353A9E}">
            <xm:f>QUALITE!$A$8</xm:f>
            <x14:dxf>
              <font>
                <color rgb="FFC00000"/>
              </font>
            </x14:dxf>
          </x14:cfRule>
          <x14:cfRule type="cellIs" priority="337" operator="equal" id="{6DE86EE6-A6AE-4922-BA67-E85DEB4B8B65}">
            <xm:f>QUALITE!$A$7</xm:f>
            <x14:dxf>
              <font>
                <color rgb="FFFFC000"/>
              </font>
            </x14:dxf>
          </x14:cfRule>
          <x14:cfRule type="cellIs" priority="338" operator="equal" id="{BF4ADF28-F82C-4B12-B806-37F6BD8EED09}">
            <xm:f>QUALITE!$A$6</xm:f>
            <x14:dxf>
              <font>
                <color rgb="FF00B050"/>
              </font>
            </x14:dxf>
          </x14:cfRule>
          <x14:cfRule type="cellIs" priority="339" operator="equal" id="{7A34CF43-480A-464A-BD42-C1FCF007516B}">
            <xm:f>QUALITE!$A$5</xm:f>
            <x14:dxf>
              <font>
                <color rgb="FFFF0000"/>
              </font>
            </x14:dxf>
          </x14:cfRule>
          <x14:cfRule type="cellIs" priority="340" operator="equal" id="{6934C1CA-1E49-486A-A0F9-29D52DBE6B36}">
            <xm:f>QUALITE!$A$4</xm:f>
            <x14:dxf>
              <font>
                <color rgb="FFFF0000"/>
              </font>
            </x14:dxf>
          </x14:cfRule>
          <x14:cfRule type="cellIs" priority="341" operator="equal" id="{9DE86FF0-CD78-4ABE-A0E5-BE0080CA2EAB}">
            <xm:f>QUALITE!$A$3</xm:f>
            <x14:dxf>
              <font>
                <color rgb="FF0070C0"/>
              </font>
            </x14:dxf>
          </x14:cfRule>
          <x14:cfRule type="cellIs" priority="342" operator="equal" id="{545B268D-23E9-4525-B795-9BD7E8D46FAD}">
            <xm:f>QUALITE!$A$2</xm:f>
            <x14:dxf>
              <font>
                <color rgb="FF00B0F0"/>
              </font>
            </x14:dxf>
          </x14:cfRule>
          <xm:sqref>B49:B56</xm:sqref>
        </x14:conditionalFormatting>
        <x14:conditionalFormatting xmlns:xm="http://schemas.microsoft.com/office/excel/2006/main">
          <x14:cfRule type="cellIs" priority="309" operator="equal" id="{3AE8D81C-1B84-473B-8487-E3EB44FEB4D7}">
            <xm:f>QUALITE!$A$18</xm:f>
            <x14:dxf>
              <font>
                <color rgb="FFFF0000"/>
              </font>
            </x14:dxf>
          </x14:cfRule>
          <x14:cfRule type="cellIs" priority="310" operator="equal" id="{E2D11131-55A1-4FC1-B0E6-C32F266D1CD0}">
            <xm:f>QUALITE!$A$17</xm:f>
            <x14:dxf>
              <font>
                <color rgb="FF00B0F0"/>
              </font>
            </x14:dxf>
          </x14:cfRule>
          <x14:cfRule type="cellIs" priority="311" operator="equal" id="{4A6E12C7-C2BB-4FAF-A419-4ED149702113}">
            <xm:f>QUALITE!$A$16</xm:f>
            <x14:dxf>
              <font>
                <color theme="2" tint="-0.499984740745262"/>
              </font>
            </x14:dxf>
          </x14:cfRule>
          <x14:cfRule type="cellIs" priority="312" operator="equal" id="{9E0AAE5B-2D9A-4B36-A673-739FAA6B4D2C}">
            <xm:f>QUALITE!$A$15</xm:f>
            <x14:dxf>
              <font>
                <color theme="2" tint="-0.499984740745262"/>
              </font>
            </x14:dxf>
          </x14:cfRule>
          <x14:cfRule type="cellIs" priority="313" operator="equal" id="{1DBD32EC-2FC7-491B-A936-F69C263A41DD}">
            <xm:f>QUALITE!$A$14</xm:f>
            <x14:dxf>
              <font>
                <color rgb="FFFF0000"/>
              </font>
            </x14:dxf>
          </x14:cfRule>
          <x14:cfRule type="cellIs" priority="314" operator="equal" id="{F5DA2C1A-5E86-4EFC-9E8C-C80F8B46FCED}">
            <xm:f>QUALITE!$A$13</xm:f>
            <x14:dxf>
              <font>
                <color rgb="FFFF0000"/>
              </font>
            </x14:dxf>
          </x14:cfRule>
          <x14:cfRule type="cellIs" priority="315" operator="equal" id="{73C6ED0F-31F2-4FF0-B600-D86B210D01B5}">
            <xm:f>QUALITE!$A$12</xm:f>
            <x14:dxf>
              <font>
                <color rgb="FF00B050"/>
              </font>
            </x14:dxf>
          </x14:cfRule>
          <x14:cfRule type="cellIs" priority="316" operator="equal" id="{70AE9FC3-6435-41AB-8ACA-ECB05E6906AE}">
            <xm:f>QUALITE!$A$11</xm:f>
            <x14:dxf>
              <font>
                <color rgb="FF0070C0"/>
              </font>
            </x14:dxf>
          </x14:cfRule>
          <x14:cfRule type="cellIs" priority="317" operator="equal" id="{72AFB8CE-4FBE-4AB2-9CB4-675C5F4E1623}">
            <xm:f>QUALITE!$A$10</xm:f>
            <x14:dxf>
              <font>
                <color rgb="FF00B0F0"/>
              </font>
            </x14:dxf>
          </x14:cfRule>
          <x14:cfRule type="cellIs" priority="318" operator="equal" id="{69489049-666C-4AC0-B75A-DFD51F7AAC83}">
            <xm:f>QUALITE!$A$9</xm:f>
            <x14:dxf>
              <font>
                <color theme="2" tint="-0.499984740745262"/>
              </font>
            </x14:dxf>
          </x14:cfRule>
          <x14:cfRule type="cellIs" priority="319" operator="equal" id="{605CDF99-EA71-4E38-9C9C-955959D35516}">
            <xm:f>QUALITE!$A$8</xm:f>
            <x14:dxf>
              <font>
                <color rgb="FFC00000"/>
              </font>
            </x14:dxf>
          </x14:cfRule>
          <x14:cfRule type="cellIs" priority="320" operator="equal" id="{ADAF50A8-7CFC-49A0-B1F3-9F8D969A8821}">
            <xm:f>QUALITE!$A$7</xm:f>
            <x14:dxf>
              <font>
                <color rgb="FFFFC000"/>
              </font>
            </x14:dxf>
          </x14:cfRule>
          <x14:cfRule type="cellIs" priority="321" operator="equal" id="{7C953E25-FF40-42B9-8D52-3A1AA53E5649}">
            <xm:f>QUALITE!$A$6</xm:f>
            <x14:dxf>
              <font>
                <color rgb="FF00B050"/>
              </font>
            </x14:dxf>
          </x14:cfRule>
          <x14:cfRule type="cellIs" priority="322" operator="equal" id="{BDD715D8-3346-4EFC-B54F-F9206F89AEB0}">
            <xm:f>QUALITE!$A$5</xm:f>
            <x14:dxf>
              <font>
                <color rgb="FFFF0000"/>
              </font>
            </x14:dxf>
          </x14:cfRule>
          <x14:cfRule type="cellIs" priority="323" operator="equal" id="{3EBD662C-D0F1-4C7B-A739-3924B003BA98}">
            <xm:f>QUALITE!$A$4</xm:f>
            <x14:dxf>
              <font>
                <color rgb="FFFF0000"/>
              </font>
            </x14:dxf>
          </x14:cfRule>
          <x14:cfRule type="cellIs" priority="324" operator="equal" id="{24764AFE-66E9-4FE6-A81B-A63122E22DA6}">
            <xm:f>QUALITE!$A$3</xm:f>
            <x14:dxf>
              <font>
                <color rgb="FF0070C0"/>
              </font>
            </x14:dxf>
          </x14:cfRule>
          <x14:cfRule type="cellIs" priority="325" operator="equal" id="{BFB5D36E-F46B-4F1A-91C2-1E4BEDC2A0BD}">
            <xm:f>QUALITE!$A$2</xm:f>
            <x14:dxf>
              <font>
                <color rgb="FF00B0F0"/>
              </font>
            </x14:dxf>
          </x14:cfRule>
          <xm:sqref>C46</xm:sqref>
        </x14:conditionalFormatting>
        <x14:conditionalFormatting xmlns:xm="http://schemas.microsoft.com/office/excel/2006/main">
          <x14:cfRule type="cellIs" priority="292" operator="equal" id="{A29C640F-526D-44EE-9C2E-86FE5459708F}">
            <xm:f>QUALITE!$A$18</xm:f>
            <x14:dxf>
              <font>
                <color rgb="FFFF0000"/>
              </font>
            </x14:dxf>
          </x14:cfRule>
          <x14:cfRule type="cellIs" priority="293" operator="equal" id="{B3132CC8-A056-4D50-AA13-ED6078E542A9}">
            <xm:f>QUALITE!$A$17</xm:f>
            <x14:dxf>
              <font>
                <color rgb="FF00B0F0"/>
              </font>
            </x14:dxf>
          </x14:cfRule>
          <x14:cfRule type="cellIs" priority="294" operator="equal" id="{6C3FBC68-0364-4B70-959A-F09905B4F3CD}">
            <xm:f>QUALITE!$A$16</xm:f>
            <x14:dxf>
              <font>
                <color theme="2" tint="-0.499984740745262"/>
              </font>
            </x14:dxf>
          </x14:cfRule>
          <x14:cfRule type="cellIs" priority="295" operator="equal" id="{6CA6436B-EABF-4669-84AF-E890D9EEAB90}">
            <xm:f>QUALITE!$A$15</xm:f>
            <x14:dxf>
              <font>
                <color theme="2" tint="-0.499984740745262"/>
              </font>
            </x14:dxf>
          </x14:cfRule>
          <x14:cfRule type="cellIs" priority="296" operator="equal" id="{DCBEB0DE-7F60-416F-A188-ECF4DBD6D72C}">
            <xm:f>QUALITE!$A$14</xm:f>
            <x14:dxf>
              <font>
                <color rgb="FFFF0000"/>
              </font>
            </x14:dxf>
          </x14:cfRule>
          <x14:cfRule type="cellIs" priority="297" operator="equal" id="{11CAF7ED-63CD-4686-BE10-DEBA1258BB57}">
            <xm:f>QUALITE!$A$13</xm:f>
            <x14:dxf>
              <font>
                <color rgb="FFFF0000"/>
              </font>
            </x14:dxf>
          </x14:cfRule>
          <x14:cfRule type="cellIs" priority="298" operator="equal" id="{D0C427BD-3C1D-4BAB-9EA2-34F36775F936}">
            <xm:f>QUALITE!$A$12</xm:f>
            <x14:dxf>
              <font>
                <color rgb="FF00B050"/>
              </font>
            </x14:dxf>
          </x14:cfRule>
          <x14:cfRule type="cellIs" priority="299" operator="equal" id="{01DFE2AC-9BD2-423B-96FD-2DF3376F76DA}">
            <xm:f>QUALITE!$A$11</xm:f>
            <x14:dxf>
              <font>
                <color rgb="FF0070C0"/>
              </font>
            </x14:dxf>
          </x14:cfRule>
          <x14:cfRule type="cellIs" priority="300" operator="equal" id="{7847C9E2-CD2E-4C8F-B751-96C98D14599E}">
            <xm:f>QUALITE!$A$10</xm:f>
            <x14:dxf>
              <font>
                <color rgb="FF00B0F0"/>
              </font>
            </x14:dxf>
          </x14:cfRule>
          <x14:cfRule type="cellIs" priority="301" operator="equal" id="{3B40DE1B-DB9C-4162-B330-C841AB1FE807}">
            <xm:f>QUALITE!$A$9</xm:f>
            <x14:dxf>
              <font>
                <color theme="2" tint="-0.499984740745262"/>
              </font>
            </x14:dxf>
          </x14:cfRule>
          <x14:cfRule type="cellIs" priority="302" operator="equal" id="{CD759228-12E3-49DC-AC6F-C9A0DF9C4253}">
            <xm:f>QUALITE!$A$8</xm:f>
            <x14:dxf>
              <font>
                <color rgb="FFC00000"/>
              </font>
            </x14:dxf>
          </x14:cfRule>
          <x14:cfRule type="cellIs" priority="303" operator="equal" id="{B572AFB6-193A-4242-9415-42D4BE6A1A7C}">
            <xm:f>QUALITE!$A$7</xm:f>
            <x14:dxf>
              <font>
                <color rgb="FFFFC000"/>
              </font>
            </x14:dxf>
          </x14:cfRule>
          <x14:cfRule type="cellIs" priority="304" operator="equal" id="{96096FBD-656E-48DE-8257-EE367BA33D65}">
            <xm:f>QUALITE!$A$6</xm:f>
            <x14:dxf>
              <font>
                <color rgb="FF00B050"/>
              </font>
            </x14:dxf>
          </x14:cfRule>
          <x14:cfRule type="cellIs" priority="305" operator="equal" id="{327000C3-7443-43F4-9515-61D7CC36827C}">
            <xm:f>QUALITE!$A$5</xm:f>
            <x14:dxf>
              <font>
                <color rgb="FFFF0000"/>
              </font>
            </x14:dxf>
          </x14:cfRule>
          <x14:cfRule type="cellIs" priority="306" operator="equal" id="{03E7E1C8-82D3-4F69-8907-D430CD712C10}">
            <xm:f>QUALITE!$A$4</xm:f>
            <x14:dxf>
              <font>
                <color rgb="FFFF0000"/>
              </font>
            </x14:dxf>
          </x14:cfRule>
          <x14:cfRule type="cellIs" priority="307" operator="equal" id="{71E1015C-4145-436A-AACA-BB12BAA5AB5D}">
            <xm:f>QUALITE!$A$3</xm:f>
            <x14:dxf>
              <font>
                <color rgb="FF0070C0"/>
              </font>
            </x14:dxf>
          </x14:cfRule>
          <x14:cfRule type="cellIs" priority="308" operator="equal" id="{1C9EE3B4-1F2D-46AF-AB9D-9D677DB9BDA1}">
            <xm:f>QUALITE!$A$2</xm:f>
            <x14:dxf>
              <font>
                <color rgb="FF00B0F0"/>
              </font>
            </x14:dxf>
          </x14:cfRule>
          <xm:sqref>C18:C45</xm:sqref>
        </x14:conditionalFormatting>
        <x14:conditionalFormatting xmlns:xm="http://schemas.microsoft.com/office/excel/2006/main">
          <x14:cfRule type="cellIs" priority="1" operator="equal" id="{109B97B8-1663-40B7-A916-ACA5C66145D5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2" operator="equal" id="{1363FB1C-8FDA-45F0-BAC9-2D0070321B8E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14:cfRule type="cellIs" priority="3" operator="equal" id="{53C100DB-38A4-45E7-BDF5-496E8985D74C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4" operator="equal" id="{EFFC6385-8DE9-48C2-930C-7F8714CE20EE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5" operator="equal" id="{35184D72-9354-4B38-B5B8-79CAE8CEFA93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6" operator="equal" id="{776413DD-3323-42BE-A7EE-AE44FC31B017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7" operator="equal" id="{FB47DE7D-FCB2-4324-885C-E849DAF8886B}">
            <xm:f>'\Users\SDC.ParcWafi\Desktop\Mars\[Rapport  journalier PW 29-03-2023.xlsm]QUALITE'!#REF!</xm:f>
            <x14:dxf>
              <font>
                <color rgb="FF00B050"/>
              </font>
            </x14:dxf>
          </x14:cfRule>
          <x14:cfRule type="cellIs" priority="8" operator="equal" id="{4AECC917-3CBA-4313-9DBC-D119ED02F255}">
            <xm:f>'\Users\SDC.ParcWafi\Desktop\Mars\[Rapport  journalier PW 29-03-2023.xlsm]QUALITE'!#REF!</xm:f>
            <x14:dxf>
              <font>
                <color rgb="FF0070C0"/>
              </font>
            </x14:dxf>
          </x14:cfRule>
          <x14:cfRule type="cellIs" priority="9" operator="equal" id="{F6A97A30-2F60-4BE1-9323-926128A1E08C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14:cfRule type="cellIs" priority="10" operator="equal" id="{FC4000B2-09CB-42D7-A721-42F7AE1409E9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11" operator="equal" id="{C6A5EF80-96A7-4405-8D1C-B65B9B30752A}">
            <xm:f>'\Users\SDC.ParcWafi\Desktop\Mars\[Rapport  journalier PW 29-03-2023.xlsm]QUALITE'!#REF!</xm:f>
            <x14:dxf>
              <font>
                <color rgb="FFC00000"/>
              </font>
            </x14:dxf>
          </x14:cfRule>
          <x14:cfRule type="cellIs" priority="12" operator="equal" id="{A62A7CE6-2E98-41EE-B65C-7BA340E29322}">
            <xm:f>'\Users\SDC.ParcWafi\Desktop\Mars\[Rapport  journalier PW 29-03-2023.xlsm]QUALITE'!#REF!</xm:f>
            <x14:dxf>
              <font>
                <color rgb="FFFFC000"/>
              </font>
            </x14:dxf>
          </x14:cfRule>
          <x14:cfRule type="cellIs" priority="13" operator="equal" id="{D8249076-7A43-4C54-80E4-DDB4D2FFFAAF}">
            <xm:f>'\Users\SDC.ParcWafi\Desktop\Mars\[Rapport  journalier PW 29-03-2023.xlsm]QUALITE'!#REF!</xm:f>
            <x14:dxf>
              <font>
                <color rgb="FF00B050"/>
              </font>
            </x14:dxf>
          </x14:cfRule>
          <x14:cfRule type="cellIs" priority="14" operator="equal" id="{C1A94E26-093F-4537-8F2C-C7CB644321A7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15" operator="equal" id="{586DF8E9-B655-41D8-9F96-6E2B880672BF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16" operator="equal" id="{5E7C15D5-AE0A-4B98-BDFF-212CF58BBF24}">
            <xm:f>'\Users\SDC.ParcWafi\Desktop\Mars\[Rapport  journalier PW 29-03-2023.xlsm]QUALITE'!#REF!</xm:f>
            <x14:dxf>
              <font>
                <color rgb="FF0070C0"/>
              </font>
            </x14:dxf>
          </x14:cfRule>
          <x14:cfRule type="cellIs" priority="17" operator="equal" id="{6735A5D3-2E9B-4068-AEED-46C0894D898C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m:sqref>C17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destination!$A$10</xm:f>
          </x14:formula1>
          <xm:sqref>D49:D56 F17:F46</xm:sqref>
        </x14:dataValidation>
        <x14:dataValidation type="list" allowBlank="1" showInputMessage="1" showErrorMessage="1">
          <x14:formula1>
            <xm:f>Parametre!$C$3:$C$10</xm:f>
          </x14:formula1>
          <xm:sqref>H46:I46</xm:sqref>
        </x14:dataValidation>
        <x14:dataValidation type="list" allowBlank="1" showInputMessage="1" showErrorMessage="1">
          <x14:formula1>
            <xm:f>Parametre!$I$4</xm:f>
          </x14:formula1>
          <xm:sqref>H17:I45</xm:sqref>
        </x14:dataValidation>
        <x14:dataValidation type="list" allowBlank="1" showInputMessage="1" showErrorMessage="1">
          <x14:formula1>
            <xm:f>QUALITE!$E$2:$E$3</xm:f>
          </x14:formula1>
          <xm:sqref>C18:C46 B49:C56</xm:sqref>
        </x14:dataValidation>
        <x14:dataValidation type="list" allowBlank="1" showInputMessage="1" showErrorMessage="1">
          <x14:formula1>
            <xm:f>'C:\Users\SDC.ParcWafi\Desktop\Mars\[Rapport  journalier PW 29-03-2023.xlsm]QUALITE'!#REF!</xm:f>
          </x14:formula1>
          <xm:sqref>C17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R65"/>
  <sheetViews>
    <sheetView showGridLines="0" view="pageBreakPreview" topLeftCell="A10" zoomScale="85" zoomScaleNormal="70" zoomScaleSheetLayoutView="85" workbookViewId="0">
      <selection activeCell="G26" sqref="G26"/>
    </sheetView>
  </sheetViews>
  <sheetFormatPr defaultColWidth="11.25" defaultRowHeight="12.75" x14ac:dyDescent="0.2"/>
  <cols>
    <col min="1" max="1" width="5.75" style="4" customWidth="1"/>
    <col min="2" max="2" width="24.87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5" t="s">
        <v>780</v>
      </c>
    </row>
    <row r="2" spans="1:18" ht="34.5" customHeight="1" thickBot="1" x14ac:dyDescent="0.3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1"/>
      <c r="D3" s="571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2"/>
      <c r="D5" s="572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3"/>
      <c r="G6" s="574"/>
      <c r="H6" s="27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89"/>
      <c r="C9" s="590"/>
      <c r="D9" s="38" t="s">
        <v>0</v>
      </c>
      <c r="E9" s="773" t="s">
        <v>101</v>
      </c>
      <c r="F9" s="774"/>
      <c r="G9" s="774"/>
      <c r="H9" s="774"/>
      <c r="I9" s="775"/>
    </row>
    <row r="10" spans="1:18" ht="38.25" customHeight="1" thickBot="1" x14ac:dyDescent="0.25">
      <c r="A10" s="5"/>
      <c r="B10" s="591"/>
      <c r="C10" s="592"/>
      <c r="D10" s="38" t="s">
        <v>8</v>
      </c>
      <c r="E10" s="778" t="s">
        <v>100</v>
      </c>
      <c r="F10" s="779"/>
      <c r="G10" s="779"/>
      <c r="H10" s="779"/>
      <c r="I10" s="780"/>
      <c r="R10" s="4" t="s">
        <v>806</v>
      </c>
    </row>
    <row r="11" spans="1:18" ht="45" customHeight="1" thickBot="1" x14ac:dyDescent="0.25">
      <c r="A11" s="5"/>
      <c r="B11" s="776" t="s">
        <v>99</v>
      </c>
      <c r="C11" s="777"/>
      <c r="D11" s="38" t="s">
        <v>9</v>
      </c>
      <c r="E11" s="500">
        <v>5</v>
      </c>
      <c r="F11" s="778" t="s">
        <v>125</v>
      </c>
      <c r="G11" s="779"/>
      <c r="H11" s="780"/>
      <c r="I11" s="37">
        <v>45000</v>
      </c>
    </row>
    <row r="12" spans="1:18" ht="26.25" customHeight="1" x14ac:dyDescent="0.45">
      <c r="A12" s="5"/>
      <c r="B12" s="32" t="s">
        <v>530</v>
      </c>
      <c r="C12" s="30"/>
      <c r="D12" s="31"/>
    </row>
    <row r="13" spans="1:18" ht="5.25" customHeight="1" x14ac:dyDescent="0.2"/>
    <row r="14" spans="1:18" ht="24" customHeight="1" x14ac:dyDescent="0.2">
      <c r="B14" s="772" t="s">
        <v>90</v>
      </c>
      <c r="C14" s="772"/>
      <c r="D14" s="772"/>
      <c r="E14" s="772"/>
      <c r="F14" s="772"/>
      <c r="G14" s="772"/>
      <c r="H14" s="772"/>
      <c r="I14" s="772"/>
    </row>
    <row r="15" spans="1:18" ht="21" customHeight="1" x14ac:dyDescent="0.2">
      <c r="A15" s="6"/>
      <c r="B15" s="772"/>
      <c r="C15" s="772"/>
      <c r="D15" s="772"/>
      <c r="E15" s="772"/>
      <c r="F15" s="772"/>
      <c r="G15" s="772"/>
      <c r="H15" s="772"/>
      <c r="I15" s="772"/>
    </row>
    <row r="16" spans="1:18" ht="33.75" customHeight="1" thickBot="1" x14ac:dyDescent="0.5">
      <c r="A16" s="7"/>
      <c r="B16" s="167" t="s">
        <v>92</v>
      </c>
      <c r="E16" s="36"/>
      <c r="H16" s="35" t="s">
        <v>44</v>
      </c>
      <c r="I16" s="33">
        <v>45038</v>
      </c>
    </row>
    <row r="17" spans="1:9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18" t="s">
        <v>61</v>
      </c>
      <c r="I17" s="618"/>
    </row>
    <row r="18" spans="1:9" ht="36.75" customHeight="1" x14ac:dyDescent="0.2">
      <c r="A18" s="9"/>
      <c r="B18" s="150" t="s">
        <v>725</v>
      </c>
      <c r="C18" s="145" t="s">
        <v>692</v>
      </c>
      <c r="D18" s="145" t="s">
        <v>712</v>
      </c>
      <c r="E18" s="146">
        <v>3.3333333333333333E-2</v>
      </c>
      <c r="F18" s="146">
        <v>4.9999999999999996E-2</v>
      </c>
      <c r="G18" s="147">
        <f t="shared" ref="G18" si="0">IF(AND(F18-E18&gt;0),F18-E18,"")</f>
        <v>1.6666666666666663E-2</v>
      </c>
      <c r="H18" s="771" t="s">
        <v>792</v>
      </c>
      <c r="I18" s="771"/>
    </row>
    <row r="19" spans="1:9" ht="36.75" customHeight="1" x14ac:dyDescent="0.2">
      <c r="A19" s="9"/>
      <c r="B19" s="150" t="s">
        <v>733</v>
      </c>
      <c r="C19" s="252" t="s">
        <v>736</v>
      </c>
      <c r="D19" s="145" t="s">
        <v>723</v>
      </c>
      <c r="E19" s="146">
        <v>6.6666666666666666E-2</v>
      </c>
      <c r="F19" s="146">
        <v>7.9166666666666663E-2</v>
      </c>
      <c r="G19" s="147">
        <f t="shared" ref="G19:G23" si="1">IF(AND(F19-E19&gt;0),F19-E19,"")</f>
        <v>1.2499999999999997E-2</v>
      </c>
      <c r="H19" s="771" t="s">
        <v>748</v>
      </c>
      <c r="I19" s="771"/>
    </row>
    <row r="20" spans="1:9" ht="36.75" customHeight="1" x14ac:dyDescent="0.2">
      <c r="A20" s="9"/>
      <c r="B20" s="150" t="s">
        <v>725</v>
      </c>
      <c r="C20" s="252" t="s">
        <v>734</v>
      </c>
      <c r="D20" s="145" t="s">
        <v>716</v>
      </c>
      <c r="E20" s="146">
        <v>0.1875</v>
      </c>
      <c r="F20" s="146">
        <v>0.21249999999999999</v>
      </c>
      <c r="G20" s="147">
        <f t="shared" si="1"/>
        <v>2.4999999999999994E-2</v>
      </c>
      <c r="H20" s="771" t="s">
        <v>251</v>
      </c>
      <c r="I20" s="771"/>
    </row>
    <row r="21" spans="1:9" ht="36.75" customHeight="1" x14ac:dyDescent="0.2">
      <c r="A21" s="9"/>
      <c r="B21" s="150" t="s">
        <v>733</v>
      </c>
      <c r="C21" s="252" t="s">
        <v>696</v>
      </c>
      <c r="D21" s="145" t="s">
        <v>723</v>
      </c>
      <c r="E21" s="146">
        <v>0.3666666666666667</v>
      </c>
      <c r="F21" s="146">
        <v>0.51666666666666672</v>
      </c>
      <c r="G21" s="147">
        <f t="shared" si="1"/>
        <v>0.15000000000000002</v>
      </c>
      <c r="H21" s="771" t="s">
        <v>146</v>
      </c>
      <c r="I21" s="771"/>
    </row>
    <row r="22" spans="1:9" ht="36.75" customHeight="1" x14ac:dyDescent="0.2">
      <c r="A22" s="9"/>
      <c r="B22" s="150" t="s">
        <v>725</v>
      </c>
      <c r="C22" s="252" t="s">
        <v>734</v>
      </c>
      <c r="D22" s="145" t="s">
        <v>712</v>
      </c>
      <c r="E22" s="146">
        <v>0.70833333333333337</v>
      </c>
      <c r="F22" s="146">
        <v>0.72499999999999998</v>
      </c>
      <c r="G22" s="147">
        <f t="shared" si="1"/>
        <v>1.6666666666666607E-2</v>
      </c>
      <c r="H22" s="771" t="s">
        <v>233</v>
      </c>
      <c r="I22" s="771"/>
    </row>
    <row r="23" spans="1:9" ht="36.75" customHeight="1" x14ac:dyDescent="0.2">
      <c r="A23" s="9"/>
      <c r="B23" s="150"/>
      <c r="C23" s="252"/>
      <c r="D23" s="145"/>
      <c r="E23" s="146"/>
      <c r="F23" s="146"/>
      <c r="G23" s="147" t="str">
        <f t="shared" si="1"/>
        <v/>
      </c>
      <c r="H23" s="771"/>
      <c r="I23" s="771"/>
    </row>
    <row r="24" spans="1:9" ht="36.75" customHeight="1" x14ac:dyDescent="0.2">
      <c r="A24" s="9"/>
      <c r="B24" s="150"/>
      <c r="C24" s="252"/>
      <c r="D24" s="145"/>
      <c r="E24" s="146"/>
      <c r="F24" s="146"/>
      <c r="G24" s="147" t="str">
        <f t="shared" ref="G24:G45" si="2">IF(AND(F24-E24&gt;0),F24-E24,"")</f>
        <v/>
      </c>
      <c r="H24" s="771"/>
      <c r="I24" s="771"/>
    </row>
    <row r="25" spans="1:9" ht="36.75" customHeight="1" x14ac:dyDescent="0.2">
      <c r="A25" s="9"/>
      <c r="B25" s="150"/>
      <c r="C25" s="252"/>
      <c r="D25" s="145"/>
      <c r="E25" s="146"/>
      <c r="F25" s="146"/>
      <c r="G25" s="147" t="str">
        <f t="shared" si="2"/>
        <v/>
      </c>
      <c r="H25" s="771"/>
      <c r="I25" s="771"/>
    </row>
    <row r="26" spans="1:9" ht="36.75" customHeight="1" x14ac:dyDescent="0.2">
      <c r="A26" s="9"/>
      <c r="B26" s="150"/>
      <c r="C26" s="252"/>
      <c r="D26" s="145"/>
      <c r="E26" s="146"/>
      <c r="F26" s="146"/>
      <c r="G26" s="147" t="str">
        <f t="shared" si="2"/>
        <v/>
      </c>
      <c r="H26" s="771"/>
      <c r="I26" s="771"/>
    </row>
    <row r="27" spans="1:9" ht="36.75" customHeight="1" x14ac:dyDescent="0.2">
      <c r="A27" s="9"/>
      <c r="B27" s="150"/>
      <c r="C27" s="252"/>
      <c r="D27" s="145"/>
      <c r="E27" s="146"/>
      <c r="F27" s="146"/>
      <c r="G27" s="147" t="str">
        <f t="shared" si="2"/>
        <v/>
      </c>
      <c r="H27" s="771"/>
      <c r="I27" s="771"/>
    </row>
    <row r="28" spans="1:9" ht="36.75" customHeight="1" x14ac:dyDescent="0.2">
      <c r="A28" s="9"/>
      <c r="B28" s="150"/>
      <c r="C28" s="252"/>
      <c r="D28" s="145"/>
      <c r="E28" s="146"/>
      <c r="F28" s="146"/>
      <c r="G28" s="147" t="str">
        <f t="shared" si="2"/>
        <v/>
      </c>
      <c r="H28" s="771"/>
      <c r="I28" s="771"/>
    </row>
    <row r="29" spans="1:9" ht="36.75" customHeight="1" x14ac:dyDescent="0.2">
      <c r="A29" s="9"/>
      <c r="B29" s="150"/>
      <c r="C29" s="242"/>
      <c r="D29" s="145"/>
      <c r="E29" s="146"/>
      <c r="F29" s="146"/>
      <c r="G29" s="147" t="str">
        <f t="shared" si="2"/>
        <v/>
      </c>
      <c r="H29" s="771"/>
      <c r="I29" s="771"/>
    </row>
    <row r="30" spans="1:9" ht="36.75" customHeight="1" x14ac:dyDescent="0.2">
      <c r="A30" s="9"/>
      <c r="B30" s="150"/>
      <c r="C30" s="252"/>
      <c r="D30" s="145"/>
      <c r="E30" s="146"/>
      <c r="F30" s="146"/>
      <c r="G30" s="147" t="str">
        <f t="shared" si="2"/>
        <v/>
      </c>
      <c r="H30" s="771"/>
      <c r="I30" s="771"/>
    </row>
    <row r="31" spans="1:9" ht="36.75" customHeight="1" x14ac:dyDescent="0.2">
      <c r="A31" s="9"/>
      <c r="B31" s="150"/>
      <c r="C31" s="242"/>
      <c r="D31" s="145"/>
      <c r="E31" s="146"/>
      <c r="F31" s="146"/>
      <c r="G31" s="147" t="str">
        <f t="shared" si="2"/>
        <v/>
      </c>
      <c r="H31" s="771"/>
      <c r="I31" s="771"/>
    </row>
    <row r="32" spans="1:9" ht="36.75" customHeight="1" x14ac:dyDescent="0.2">
      <c r="A32" s="9"/>
      <c r="B32" s="150"/>
      <c r="C32" s="242"/>
      <c r="D32" s="145"/>
      <c r="E32" s="146"/>
      <c r="F32" s="146"/>
      <c r="G32" s="147" t="str">
        <f t="shared" si="2"/>
        <v/>
      </c>
      <c r="H32" s="771"/>
      <c r="I32" s="771"/>
    </row>
    <row r="33" spans="1:9" ht="36.75" customHeight="1" x14ac:dyDescent="0.2">
      <c r="A33" s="9"/>
      <c r="B33" s="150"/>
      <c r="C33" s="242"/>
      <c r="D33" s="145"/>
      <c r="E33" s="146"/>
      <c r="F33" s="146"/>
      <c r="G33" s="147" t="str">
        <f t="shared" si="2"/>
        <v/>
      </c>
      <c r="H33" s="771"/>
      <c r="I33" s="771"/>
    </row>
    <row r="34" spans="1:9" ht="36.75" customHeight="1" x14ac:dyDescent="0.2">
      <c r="A34" s="9"/>
      <c r="B34" s="150"/>
      <c r="C34" s="242"/>
      <c r="D34" s="145"/>
      <c r="E34" s="146"/>
      <c r="F34" s="146"/>
      <c r="G34" s="147" t="str">
        <f t="shared" si="2"/>
        <v/>
      </c>
      <c r="H34" s="771"/>
      <c r="I34" s="771"/>
    </row>
    <row r="35" spans="1:9" ht="36.75" customHeight="1" x14ac:dyDescent="0.2">
      <c r="A35" s="9"/>
      <c r="B35" s="150"/>
      <c r="C35" s="242"/>
      <c r="D35" s="145"/>
      <c r="E35" s="146"/>
      <c r="F35" s="146"/>
      <c r="G35" s="147" t="str">
        <f t="shared" si="2"/>
        <v/>
      </c>
      <c r="H35" s="771"/>
      <c r="I35" s="771"/>
    </row>
    <row r="36" spans="1:9" ht="36.75" customHeight="1" x14ac:dyDescent="0.2">
      <c r="A36" s="9"/>
      <c r="B36" s="150"/>
      <c r="C36" s="252"/>
      <c r="D36" s="145"/>
      <c r="E36" s="146"/>
      <c r="F36" s="146"/>
      <c r="G36" s="147" t="str">
        <f t="shared" si="2"/>
        <v/>
      </c>
      <c r="H36" s="771"/>
      <c r="I36" s="771"/>
    </row>
    <row r="37" spans="1:9" ht="36.75" customHeight="1" x14ac:dyDescent="0.2">
      <c r="A37" s="9"/>
      <c r="B37" s="150"/>
      <c r="C37" s="242"/>
      <c r="D37" s="145"/>
      <c r="E37" s="146"/>
      <c r="F37" s="146"/>
      <c r="G37" s="147" t="str">
        <f t="shared" si="2"/>
        <v/>
      </c>
      <c r="H37" s="771"/>
      <c r="I37" s="771"/>
    </row>
    <row r="38" spans="1:9" ht="36.75" customHeight="1" x14ac:dyDescent="0.2">
      <c r="A38" s="9"/>
      <c r="B38" s="150"/>
      <c r="C38" s="242"/>
      <c r="D38" s="145"/>
      <c r="E38" s="146"/>
      <c r="F38" s="146"/>
      <c r="G38" s="147" t="str">
        <f t="shared" si="2"/>
        <v/>
      </c>
      <c r="H38" s="771"/>
      <c r="I38" s="771"/>
    </row>
    <row r="39" spans="1:9" ht="36.75" customHeight="1" x14ac:dyDescent="0.2">
      <c r="A39" s="9"/>
      <c r="B39" s="150"/>
      <c r="C39" s="242"/>
      <c r="D39" s="145"/>
      <c r="E39" s="146"/>
      <c r="F39" s="146"/>
      <c r="G39" s="147" t="str">
        <f t="shared" si="2"/>
        <v/>
      </c>
      <c r="H39" s="771"/>
      <c r="I39" s="771"/>
    </row>
    <row r="40" spans="1:9" ht="36.75" customHeight="1" x14ac:dyDescent="0.2">
      <c r="A40" s="9"/>
      <c r="B40" s="150"/>
      <c r="C40" s="242"/>
      <c r="D40" s="145"/>
      <c r="E40" s="146"/>
      <c r="F40" s="146"/>
      <c r="G40" s="147" t="str">
        <f t="shared" si="2"/>
        <v/>
      </c>
      <c r="H40" s="771"/>
      <c r="I40" s="771"/>
    </row>
    <row r="41" spans="1:9" ht="36.75" customHeight="1" x14ac:dyDescent="0.2">
      <c r="A41" s="9"/>
      <c r="B41" s="150"/>
      <c r="C41" s="242"/>
      <c r="D41" s="145"/>
      <c r="E41" s="146"/>
      <c r="F41" s="146"/>
      <c r="G41" s="147" t="str">
        <f t="shared" si="2"/>
        <v/>
      </c>
      <c r="H41" s="771"/>
      <c r="I41" s="771"/>
    </row>
    <row r="42" spans="1:9" ht="36.75" customHeight="1" x14ac:dyDescent="0.2">
      <c r="A42" s="9"/>
      <c r="B42" s="150"/>
      <c r="C42" s="242"/>
      <c r="D42" s="145"/>
      <c r="E42" s="146"/>
      <c r="F42" s="146"/>
      <c r="G42" s="147" t="str">
        <f t="shared" si="2"/>
        <v/>
      </c>
      <c r="H42" s="771"/>
      <c r="I42" s="771"/>
    </row>
    <row r="43" spans="1:9" ht="36.75" customHeight="1" x14ac:dyDescent="0.2">
      <c r="A43" s="9"/>
      <c r="B43" s="150"/>
      <c r="C43" s="242"/>
      <c r="D43" s="145"/>
      <c r="E43" s="146"/>
      <c r="F43" s="146"/>
      <c r="G43" s="147" t="str">
        <f t="shared" si="2"/>
        <v/>
      </c>
      <c r="H43" s="771"/>
      <c r="I43" s="771"/>
    </row>
    <row r="44" spans="1:9" ht="36.75" customHeight="1" x14ac:dyDescent="0.2">
      <c r="A44" s="9"/>
      <c r="B44" s="150"/>
      <c r="C44" s="242"/>
      <c r="D44" s="145"/>
      <c r="E44" s="146"/>
      <c r="F44" s="146"/>
      <c r="G44" s="147" t="str">
        <f t="shared" si="2"/>
        <v/>
      </c>
      <c r="H44" s="771"/>
      <c r="I44" s="771"/>
    </row>
    <row r="45" spans="1:9" ht="36.75" customHeight="1" x14ac:dyDescent="0.2">
      <c r="A45" s="9"/>
      <c r="B45" s="150"/>
      <c r="C45" s="242"/>
      <c r="D45" s="145"/>
      <c r="E45" s="146"/>
      <c r="F45" s="146"/>
      <c r="G45" s="147" t="str">
        <f t="shared" si="2"/>
        <v/>
      </c>
      <c r="H45" s="771"/>
      <c r="I45" s="771"/>
    </row>
    <row r="46" spans="1:9" ht="36.75" customHeight="1" x14ac:dyDescent="0.2">
      <c r="A46" s="9"/>
      <c r="B46" s="150"/>
      <c r="C46" s="242"/>
      <c r="D46" s="145"/>
      <c r="E46" s="146"/>
      <c r="F46" s="146"/>
      <c r="G46" s="147" t="str">
        <f t="shared" ref="G46" si="3">IF(AND(F46-E46&gt;0),F46-E46,"")</f>
        <v/>
      </c>
      <c r="H46" s="771"/>
      <c r="I46" s="771"/>
    </row>
    <row r="47" spans="1:9" ht="36.75" customHeight="1" thickBot="1" x14ac:dyDescent="0.25">
      <c r="A47" s="9"/>
      <c r="B47" s="151"/>
      <c r="C47" s="243"/>
      <c r="D47" s="148"/>
      <c r="E47" s="149"/>
      <c r="F47" s="149"/>
      <c r="G47" s="356" t="str">
        <f t="shared" ref="G47" si="4">IF(AND(F47-E47&gt;0),F47-E47,"")</f>
        <v/>
      </c>
      <c r="H47" s="771"/>
      <c r="I47" s="771"/>
    </row>
    <row r="48" spans="1:9" ht="17.25" customHeight="1" thickBot="1" x14ac:dyDescent="0.55000000000000004">
      <c r="B48" s="87"/>
      <c r="C48" s="87"/>
      <c r="D48" s="87"/>
      <c r="E48" s="87"/>
      <c r="F48" s="87"/>
      <c r="G48" s="87"/>
      <c r="H48" s="87"/>
      <c r="I48" s="87"/>
    </row>
    <row r="49" spans="1:9" ht="30" customHeight="1" thickBot="1" x14ac:dyDescent="0.25">
      <c r="A49" s="18"/>
      <c r="B49" s="783" t="s">
        <v>62</v>
      </c>
      <c r="C49" s="109" t="s">
        <v>712</v>
      </c>
      <c r="D49" s="109" t="s">
        <v>714</v>
      </c>
      <c r="E49" s="109" t="s">
        <v>713</v>
      </c>
      <c r="F49" s="109" t="s">
        <v>715</v>
      </c>
      <c r="G49" s="109" t="s">
        <v>716</v>
      </c>
      <c r="H49" s="109" t="s">
        <v>717</v>
      </c>
    </row>
    <row r="50" spans="1:9" ht="91.5" customHeight="1" thickBot="1" x14ac:dyDescent="0.25">
      <c r="A50" s="11"/>
      <c r="B50" s="783"/>
      <c r="C50" s="43" t="s">
        <v>63</v>
      </c>
      <c r="D50" s="43" t="s">
        <v>64</v>
      </c>
      <c r="E50" s="43" t="s">
        <v>65</v>
      </c>
      <c r="F50" s="43" t="s">
        <v>66</v>
      </c>
      <c r="G50" s="43" t="s">
        <v>67</v>
      </c>
      <c r="H50" s="43" t="s">
        <v>68</v>
      </c>
    </row>
    <row r="51" spans="1:9" ht="30" thickBot="1" x14ac:dyDescent="0.25">
      <c r="A51" s="11"/>
      <c r="B51" s="783"/>
      <c r="C51" s="104">
        <f>SUMIFS('Arrêt RPT1'!$G$18:$G$47,'Arrêt RPT1'!$D$18:$D$47,C49)</f>
        <v>3.333333333333327E-2</v>
      </c>
      <c r="D51" s="104">
        <f>SUMIFS('Arrêt RPT1'!$G$18:$G$47,'Arrêt RPT1'!$D$18:$D$47,D49)</f>
        <v>0</v>
      </c>
      <c r="E51" s="104">
        <f>SUMIFS('Arrêt RPT1'!$G$18:$G$47,'Arrêt RPT1'!$D$18:$D$47,E49)</f>
        <v>0</v>
      </c>
      <c r="F51" s="104">
        <f>SUMIFS('Arrêt RPT1'!$G$18:$G$47,'Arrêt RPT1'!$D$18:$D$47,F49)</f>
        <v>0</v>
      </c>
      <c r="G51" s="104">
        <f>SUMIFS('Arrêt RPT1'!$G$18:$G$47,'Arrêt RPT1'!$D$18:$D$47,G49)</f>
        <v>2.4999999999999994E-2</v>
      </c>
      <c r="H51" s="104">
        <f>SUMIFS('Arrêt RPT1'!$G$18:$G$47,'Arrêt RPT1'!$D$18:$D$47,H49)</f>
        <v>0</v>
      </c>
    </row>
    <row r="52" spans="1:9" ht="26.1" customHeight="1" thickBot="1" x14ac:dyDescent="0.25">
      <c r="A52" s="11"/>
      <c r="B52" s="154" t="s">
        <v>746</v>
      </c>
      <c r="C52" s="153">
        <f>COUNTIF('Arrêt RPT1'!$D$18:$D$47,C49)</f>
        <v>2</v>
      </c>
      <c r="D52" s="153">
        <f>COUNTIF('Arrêt RPT1'!$D$18:$D$47,D49)</f>
        <v>0</v>
      </c>
      <c r="E52" s="153">
        <f>COUNTIF('Arrêt RPT1'!$D$18:$D$47,E49)</f>
        <v>0</v>
      </c>
      <c r="F52" s="153">
        <f>COUNTIF('Arrêt RPT1'!$D$18:$D$47,F49)</f>
        <v>0</v>
      </c>
      <c r="G52" s="153">
        <f>COUNTIF('Arrêt RPT1'!$D$18:$D$47,G49)</f>
        <v>1</v>
      </c>
      <c r="H52" s="153">
        <f>COUNTIF('Arrêt RPT1'!$D$18:$D$47,H49)</f>
        <v>0</v>
      </c>
    </row>
    <row r="53" spans="1:9" ht="9.75" customHeight="1" thickBot="1" x14ac:dyDescent="0.25">
      <c r="A53" s="11"/>
    </row>
    <row r="54" spans="1:9" ht="30" customHeight="1" thickBot="1" x14ac:dyDescent="0.25">
      <c r="A54" s="11"/>
      <c r="B54" s="782" t="s">
        <v>69</v>
      </c>
      <c r="C54" s="109" t="s">
        <v>718</v>
      </c>
      <c r="D54" s="109" t="s">
        <v>723</v>
      </c>
      <c r="E54" s="109" t="s">
        <v>722</v>
      </c>
      <c r="F54" s="109" t="s">
        <v>721</v>
      </c>
      <c r="G54" s="109" t="s">
        <v>720</v>
      </c>
      <c r="H54" s="13"/>
      <c r="I54" s="13"/>
    </row>
    <row r="55" spans="1:9" ht="43.5" customHeight="1" thickBot="1" x14ac:dyDescent="0.25">
      <c r="A55" s="11"/>
      <c r="B55" s="782"/>
      <c r="C55" s="784" t="s">
        <v>70</v>
      </c>
      <c r="D55" s="784" t="s">
        <v>71</v>
      </c>
      <c r="E55" s="784" t="s">
        <v>72</v>
      </c>
      <c r="F55" s="784" t="s">
        <v>73</v>
      </c>
      <c r="G55" s="784" t="s">
        <v>710</v>
      </c>
      <c r="H55" s="14"/>
      <c r="I55" s="14"/>
    </row>
    <row r="56" spans="1:9" ht="43.5" customHeight="1" thickBot="1" x14ac:dyDescent="0.25">
      <c r="A56" s="11"/>
      <c r="B56" s="782"/>
      <c r="C56" s="784"/>
      <c r="D56" s="784"/>
      <c r="E56" s="784"/>
      <c r="F56" s="784"/>
      <c r="G56" s="784"/>
      <c r="H56" s="15"/>
      <c r="I56" s="15"/>
    </row>
    <row r="57" spans="1:9" ht="30" thickBot="1" x14ac:dyDescent="0.25">
      <c r="A57" s="9"/>
      <c r="B57" s="782"/>
      <c r="C57" s="104">
        <f>SUMIFS('Arrêt RPT1'!$G$18:$G$47,'Arrêt RPT1'!$D$18:$D$47,C54)</f>
        <v>0</v>
      </c>
      <c r="D57" s="104">
        <f>SUMIFS('Arrêt RPT1'!$G$18:$G$47,'Arrêt RPT1'!$D$18:$D$47,D54)</f>
        <v>0.16250000000000003</v>
      </c>
      <c r="E57" s="104">
        <f>SUMIFS('Arrêt RPT1'!$G$18:$G$47,'Arrêt RPT1'!$D$18:$D$47,E54)</f>
        <v>0</v>
      </c>
      <c r="F57" s="104">
        <f>SUMIFS('Arrêt RPT1'!$G$18:$G$47,'Arrêt RPT1'!$D$18:$D$47,F54)</f>
        <v>0</v>
      </c>
      <c r="G57" s="104">
        <f>SUMIFS('Arrêt RPT1'!$G$18:$G$47,'Arrêt RPT1'!$D$18:$D$47,G54)</f>
        <v>0</v>
      </c>
      <c r="H57" s="16"/>
      <c r="I57" s="16"/>
    </row>
    <row r="58" spans="1:9" ht="26.1" customHeight="1" thickBot="1" x14ac:dyDescent="0.25">
      <c r="A58" s="9"/>
      <c r="B58" s="154" t="s">
        <v>746</v>
      </c>
      <c r="C58" s="153">
        <f>COUNTIF('Arrêt RPT1'!$D$18:$D$47,C54)</f>
        <v>0</v>
      </c>
      <c r="D58" s="153">
        <f>COUNTIF('Arrêt RPT1'!$D$18:$D$47,D54)</f>
        <v>2</v>
      </c>
      <c r="E58" s="153">
        <f>COUNTIF('Arrêt RPT1'!$D$18:$D$47,E54)</f>
        <v>0</v>
      </c>
      <c r="F58" s="153">
        <f>COUNTIF('Arrêt RPT1'!$D$18:$D$47,F54)</f>
        <v>0</v>
      </c>
      <c r="G58" s="153">
        <f>COUNTIF('Arrêt RPT1'!$D$18:$D$47,G54)</f>
        <v>0</v>
      </c>
      <c r="H58" s="16"/>
      <c r="I58" s="16"/>
    </row>
    <row r="59" spans="1:9" ht="13.5" customHeight="1" thickBot="1" x14ac:dyDescent="0.25">
      <c r="A59" s="9"/>
      <c r="C59" s="17"/>
      <c r="D59" s="17"/>
      <c r="E59" s="17"/>
      <c r="F59" s="17"/>
      <c r="G59" s="17"/>
      <c r="H59" s="17"/>
      <c r="I59" s="17"/>
    </row>
    <row r="60" spans="1:9" ht="43.5" customHeight="1" thickBot="1" x14ac:dyDescent="0.25">
      <c r="A60" s="9"/>
      <c r="B60" s="781" t="s">
        <v>74</v>
      </c>
      <c r="C60" s="43" t="s">
        <v>75</v>
      </c>
      <c r="D60" s="43" t="s">
        <v>93</v>
      </c>
      <c r="E60" s="43" t="s">
        <v>76</v>
      </c>
      <c r="F60" s="43" t="s">
        <v>94</v>
      </c>
      <c r="G60" s="43" t="s">
        <v>77</v>
      </c>
      <c r="H60" s="43" t="s">
        <v>91</v>
      </c>
    </row>
    <row r="61" spans="1:9" ht="30" customHeight="1" thickBot="1" x14ac:dyDescent="0.25">
      <c r="B61" s="781"/>
      <c r="C61" s="105">
        <f>+C51+D51+E51+F51+G51+H51+C57+D57+E57+F57+G57</f>
        <v>0.2208333333333333</v>
      </c>
      <c r="D61" s="105">
        <f>D63-D51-E51-F51-G51-H51+E63</f>
        <v>0.97499999999999998</v>
      </c>
      <c r="E61" s="105">
        <f>D63+E63-C61</f>
        <v>0.77916666666666667</v>
      </c>
      <c r="F61" s="106">
        <f>+D61/D63</f>
        <v>0.97567755385684496</v>
      </c>
      <c r="G61" s="106">
        <f>E61/D61</f>
        <v>0.79914529914529919</v>
      </c>
      <c r="H61" s="107">
        <f>E61/D63</f>
        <v>0.77970813064628219</v>
      </c>
    </row>
    <row r="63" spans="1:9" ht="19.5" hidden="1" x14ac:dyDescent="0.2">
      <c r="D63" s="78">
        <v>0.99930555555555556</v>
      </c>
      <c r="E63" s="78">
        <v>6.9444444444444447E-4</v>
      </c>
    </row>
    <row r="65" spans="4:4" x14ac:dyDescent="0.2">
      <c r="D65" s="100"/>
    </row>
  </sheetData>
  <mergeCells count="48">
    <mergeCell ref="H37:I37"/>
    <mergeCell ref="H18:I18"/>
    <mergeCell ref="C55:C56"/>
    <mergeCell ref="D55:D56"/>
    <mergeCell ref="E55:E56"/>
    <mergeCell ref="F55:F56"/>
    <mergeCell ref="G55:G56"/>
    <mergeCell ref="H38:I38"/>
    <mergeCell ref="H39:I39"/>
    <mergeCell ref="H34:I34"/>
    <mergeCell ref="H35:I35"/>
    <mergeCell ref="H36:I36"/>
    <mergeCell ref="H31:I31"/>
    <mergeCell ref="H32:I32"/>
    <mergeCell ref="H33:I33"/>
    <mergeCell ref="H28:I28"/>
    <mergeCell ref="H43:I43"/>
    <mergeCell ref="H44:I44"/>
    <mergeCell ref="H45:I45"/>
    <mergeCell ref="H40:I40"/>
    <mergeCell ref="H41:I41"/>
    <mergeCell ref="H42:I42"/>
    <mergeCell ref="B60:B61"/>
    <mergeCell ref="B54:B57"/>
    <mergeCell ref="H46:I46"/>
    <mergeCell ref="H47:I47"/>
    <mergeCell ref="B49:B51"/>
    <mergeCell ref="H20:I20"/>
    <mergeCell ref="B14:I15"/>
    <mergeCell ref="E9:I9"/>
    <mergeCell ref="H30:I30"/>
    <mergeCell ref="H24:I24"/>
    <mergeCell ref="H25:I25"/>
    <mergeCell ref="H27:I27"/>
    <mergeCell ref="H21:I21"/>
    <mergeCell ref="H22:I22"/>
    <mergeCell ref="H23:I23"/>
    <mergeCell ref="B9:C10"/>
    <mergeCell ref="B11:C11"/>
    <mergeCell ref="F11:H11"/>
    <mergeCell ref="E10:I10"/>
    <mergeCell ref="H29:I29"/>
    <mergeCell ref="H26:I26"/>
    <mergeCell ref="C2:D3"/>
    <mergeCell ref="C4:D5"/>
    <mergeCell ref="F6:G6"/>
    <mergeCell ref="H17:I17"/>
    <mergeCell ref="H19:I19"/>
  </mergeCells>
  <dataValidations count="2">
    <dataValidation type="list" allowBlank="1" showInputMessage="1" showErrorMessage="1" sqref="C18:C47">
      <formula1>INDIRECT(B18)</formula1>
    </dataValidation>
    <dataValidation type="list" allowBlank="1" showInputMessage="1" showErrorMessage="1" sqref="H18:I47">
      <formula1>INDIRECT(D18)</formula1>
    </dataValidation>
  </dataValidations>
  <printOptions horizontalCentered="1" verticalCentered="1"/>
  <pageMargins left="0" right="0.19685039370078741" top="0" bottom="0" header="0" footer="0"/>
  <pageSetup paperSize="9" scale="37" orientation="portrait" horizontalDpi="180" verticalDpi="180" r:id="rId1"/>
  <headerFooter alignWithMargins="0"/>
  <rowBreaks count="1" manualBreakCount="1">
    <brk id="61" max="8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C54:G54 C49:H49 D18:D47</xm:sqref>
        </x14:dataValidation>
        <x14:dataValidation type="list" allowBlank="1" showInputMessage="1" showErrorMessage="1">
          <x14:formula1>
            <xm:f>organges!$B$1:$J$1</xm:f>
          </x14:formula1>
          <xm:sqref>B18:B47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R63"/>
  <sheetViews>
    <sheetView showGridLines="0" view="pageBreakPreview" topLeftCell="A20" zoomScale="85" zoomScaleNormal="55" zoomScaleSheetLayoutView="85" workbookViewId="0">
      <selection activeCell="E35" sqref="E35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5"/>
    </row>
    <row r="2" spans="1:18" ht="34.5" customHeight="1" thickBot="1" x14ac:dyDescent="0.3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1"/>
      <c r="D3" s="571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2"/>
      <c r="D5" s="572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3"/>
      <c r="G6" s="574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89"/>
      <c r="C9" s="590"/>
      <c r="D9" s="38" t="s">
        <v>0</v>
      </c>
      <c r="E9" s="773" t="s">
        <v>101</v>
      </c>
      <c r="F9" s="774"/>
      <c r="G9" s="774"/>
      <c r="H9" s="774"/>
      <c r="I9" s="775"/>
    </row>
    <row r="10" spans="1:18" ht="38.25" customHeight="1" thickBot="1" x14ac:dyDescent="0.25">
      <c r="A10" s="5"/>
      <c r="B10" s="591"/>
      <c r="C10" s="592"/>
      <c r="D10" s="38" t="s">
        <v>8</v>
      </c>
      <c r="E10" s="778" t="s">
        <v>100</v>
      </c>
      <c r="F10" s="779"/>
      <c r="G10" s="779"/>
      <c r="H10" s="779"/>
      <c r="I10" s="780"/>
      <c r="R10" s="4" t="s">
        <v>806</v>
      </c>
    </row>
    <row r="11" spans="1:18" ht="45" customHeight="1" thickBot="1" x14ac:dyDescent="0.25">
      <c r="A11" s="5"/>
      <c r="B11" s="776" t="s">
        <v>745</v>
      </c>
      <c r="C11" s="777"/>
      <c r="D11" s="38" t="s">
        <v>9</v>
      </c>
      <c r="E11" s="500">
        <v>5</v>
      </c>
      <c r="F11" s="778" t="s">
        <v>125</v>
      </c>
      <c r="G11" s="779"/>
      <c r="H11" s="780"/>
      <c r="I11" s="37">
        <v>45000</v>
      </c>
    </row>
    <row r="12" spans="1:18" ht="26.25" customHeight="1" x14ac:dyDescent="0.45">
      <c r="A12" s="5"/>
      <c r="B12" s="32" t="s">
        <v>530</v>
      </c>
      <c r="C12" s="30"/>
      <c r="D12" s="31"/>
    </row>
    <row r="13" spans="1:18" ht="5.25" customHeight="1" x14ac:dyDescent="0.2"/>
    <row r="14" spans="1:18" ht="24" customHeight="1" x14ac:dyDescent="0.2">
      <c r="B14" s="772" t="s">
        <v>90</v>
      </c>
      <c r="C14" s="772"/>
      <c r="D14" s="772"/>
      <c r="E14" s="772"/>
      <c r="F14" s="772"/>
      <c r="G14" s="772"/>
      <c r="H14" s="772"/>
      <c r="I14" s="772"/>
    </row>
    <row r="15" spans="1:18" ht="21" customHeight="1" x14ac:dyDescent="0.2">
      <c r="A15" s="6"/>
      <c r="B15" s="772"/>
      <c r="C15" s="772"/>
      <c r="D15" s="772"/>
      <c r="E15" s="772"/>
      <c r="F15" s="772"/>
      <c r="G15" s="772"/>
      <c r="H15" s="772"/>
      <c r="I15" s="772"/>
    </row>
    <row r="16" spans="1:18" ht="33.75" customHeight="1" thickBot="1" x14ac:dyDescent="0.5">
      <c r="A16" s="7"/>
      <c r="B16" s="167" t="s">
        <v>525</v>
      </c>
      <c r="E16" s="36"/>
      <c r="H16" s="35" t="s">
        <v>44</v>
      </c>
      <c r="I16" s="55">
        <f>'Arrêt RPT1'!I16</f>
        <v>45038</v>
      </c>
    </row>
    <row r="17" spans="1:9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18" t="s">
        <v>61</v>
      </c>
      <c r="I17" s="618"/>
    </row>
    <row r="18" spans="1:9" ht="36.75" customHeight="1" x14ac:dyDescent="0.2">
      <c r="A18" s="9"/>
      <c r="B18" s="150"/>
      <c r="C18" s="145"/>
      <c r="D18" s="145" t="s">
        <v>723</v>
      </c>
      <c r="E18" s="146">
        <v>0</v>
      </c>
      <c r="F18" s="146">
        <v>1.6666666666666666E-2</v>
      </c>
      <c r="G18" s="147">
        <f t="shared" ref="G18:G28" si="0">IF(AND(F18-E18&gt;0),F18-E18,"")</f>
        <v>1.6666666666666666E-2</v>
      </c>
      <c r="H18" s="771" t="s">
        <v>487</v>
      </c>
      <c r="I18" s="771"/>
    </row>
    <row r="19" spans="1:9" ht="36.75" customHeight="1" x14ac:dyDescent="0.2">
      <c r="A19" s="9"/>
      <c r="B19" s="150"/>
      <c r="C19" s="145"/>
      <c r="D19" s="145" t="s">
        <v>712</v>
      </c>
      <c r="E19" s="146">
        <v>3.3333333333333333E-2</v>
      </c>
      <c r="F19" s="146">
        <v>4.9999999999999996E-2</v>
      </c>
      <c r="G19" s="147">
        <f t="shared" si="0"/>
        <v>1.6666666666666663E-2</v>
      </c>
      <c r="H19" s="771" t="s">
        <v>199</v>
      </c>
      <c r="I19" s="771"/>
    </row>
    <row r="20" spans="1:9" ht="36.75" customHeight="1" x14ac:dyDescent="0.2">
      <c r="A20" s="9"/>
      <c r="B20" s="150" t="s">
        <v>725</v>
      </c>
      <c r="C20" s="145"/>
      <c r="D20" s="145" t="s">
        <v>712</v>
      </c>
      <c r="E20" s="146">
        <v>4.9999999999999996E-2</v>
      </c>
      <c r="F20" s="146">
        <v>7.9166666666666663E-2</v>
      </c>
      <c r="G20" s="147">
        <f t="shared" si="0"/>
        <v>2.9166666666666667E-2</v>
      </c>
      <c r="H20" s="771" t="s">
        <v>168</v>
      </c>
      <c r="I20" s="771"/>
    </row>
    <row r="21" spans="1:9" ht="36.75" customHeight="1" x14ac:dyDescent="0.2">
      <c r="A21" s="9"/>
      <c r="B21" s="150" t="s">
        <v>732</v>
      </c>
      <c r="C21" s="145" t="s">
        <v>557</v>
      </c>
      <c r="D21" s="145" t="s">
        <v>715</v>
      </c>
      <c r="E21" s="146">
        <v>7.9166666666666663E-2</v>
      </c>
      <c r="F21" s="146">
        <v>9.1666666666666674E-2</v>
      </c>
      <c r="G21" s="147">
        <f t="shared" si="0"/>
        <v>1.2500000000000011E-2</v>
      </c>
      <c r="H21" s="771" t="s">
        <v>803</v>
      </c>
      <c r="I21" s="771"/>
    </row>
    <row r="22" spans="1:9" ht="36.75" customHeight="1" x14ac:dyDescent="0.2">
      <c r="A22" s="9"/>
      <c r="B22" s="150"/>
      <c r="C22" s="145"/>
      <c r="D22" s="145" t="s">
        <v>712</v>
      </c>
      <c r="E22" s="146">
        <v>9.1666666666666674E-2</v>
      </c>
      <c r="F22" s="146">
        <v>0.10833333333333334</v>
      </c>
      <c r="G22" s="147">
        <f t="shared" si="0"/>
        <v>1.6666666666666663E-2</v>
      </c>
      <c r="H22" s="771" t="s">
        <v>168</v>
      </c>
      <c r="I22" s="771"/>
    </row>
    <row r="23" spans="1:9" ht="36.75" customHeight="1" x14ac:dyDescent="0.2">
      <c r="A23" s="9"/>
      <c r="B23" s="150" t="s">
        <v>732</v>
      </c>
      <c r="C23" s="145" t="s">
        <v>557</v>
      </c>
      <c r="D23" s="145" t="s">
        <v>715</v>
      </c>
      <c r="E23" s="146">
        <v>0.10833333333333334</v>
      </c>
      <c r="F23" s="146">
        <v>0.11666666666666665</v>
      </c>
      <c r="G23" s="147">
        <f t="shared" si="0"/>
        <v>8.3333333333333176E-3</v>
      </c>
      <c r="H23" s="771" t="s">
        <v>763</v>
      </c>
      <c r="I23" s="771"/>
    </row>
    <row r="24" spans="1:9" ht="36.75" customHeight="1" x14ac:dyDescent="0.2">
      <c r="A24" s="9"/>
      <c r="B24" s="150" t="s">
        <v>732</v>
      </c>
      <c r="C24" s="252" t="s">
        <v>563</v>
      </c>
      <c r="D24" s="145" t="s">
        <v>713</v>
      </c>
      <c r="E24" s="146">
        <v>0.11666666666666665</v>
      </c>
      <c r="F24" s="146">
        <v>0.125</v>
      </c>
      <c r="G24" s="147">
        <f t="shared" si="0"/>
        <v>8.3333333333333454E-3</v>
      </c>
      <c r="H24" s="771" t="s">
        <v>759</v>
      </c>
      <c r="I24" s="771"/>
    </row>
    <row r="25" spans="1:9" ht="36.75" customHeight="1" x14ac:dyDescent="0.2">
      <c r="A25" s="9"/>
      <c r="B25" s="150" t="s">
        <v>732</v>
      </c>
      <c r="C25" s="252" t="s">
        <v>555</v>
      </c>
      <c r="D25" s="145" t="s">
        <v>713</v>
      </c>
      <c r="E25" s="146">
        <v>0.14166666666666666</v>
      </c>
      <c r="F25" s="146">
        <v>0.15</v>
      </c>
      <c r="G25" s="147">
        <f t="shared" si="0"/>
        <v>8.3333333333333315E-3</v>
      </c>
      <c r="H25" s="771" t="s">
        <v>255</v>
      </c>
      <c r="I25" s="771"/>
    </row>
    <row r="26" spans="1:9" ht="36.75" customHeight="1" x14ac:dyDescent="0.2">
      <c r="A26" s="9"/>
      <c r="B26" s="150" t="s">
        <v>732</v>
      </c>
      <c r="C26" s="145" t="s">
        <v>557</v>
      </c>
      <c r="D26" s="145" t="s">
        <v>716</v>
      </c>
      <c r="E26" s="146">
        <v>0.15833333333333333</v>
      </c>
      <c r="F26" s="146">
        <v>0.19166666666666665</v>
      </c>
      <c r="G26" s="512">
        <f t="shared" si="0"/>
        <v>3.3333333333333326E-2</v>
      </c>
      <c r="H26" s="771" t="s">
        <v>804</v>
      </c>
      <c r="I26" s="771"/>
    </row>
    <row r="27" spans="1:9" ht="36.75" customHeight="1" x14ac:dyDescent="0.2">
      <c r="A27" s="9"/>
      <c r="B27" s="150" t="s">
        <v>732</v>
      </c>
      <c r="C27" s="252" t="s">
        <v>562</v>
      </c>
      <c r="D27" s="145" t="s">
        <v>715</v>
      </c>
      <c r="E27" s="146">
        <v>0.19999999999999998</v>
      </c>
      <c r="F27" s="146">
        <v>0.22083333333333333</v>
      </c>
      <c r="G27" s="147">
        <f t="shared" si="0"/>
        <v>2.0833333333333343E-2</v>
      </c>
      <c r="H27" s="785" t="s">
        <v>340</v>
      </c>
      <c r="I27" s="786"/>
    </row>
    <row r="28" spans="1:9" ht="36.75" customHeight="1" x14ac:dyDescent="0.2">
      <c r="A28" s="9"/>
      <c r="B28" s="150" t="s">
        <v>732</v>
      </c>
      <c r="C28" s="145" t="s">
        <v>557</v>
      </c>
      <c r="D28" s="145" t="s">
        <v>716</v>
      </c>
      <c r="E28" s="146">
        <v>0.22083333333333333</v>
      </c>
      <c r="F28" s="146">
        <v>0.29583333333333334</v>
      </c>
      <c r="G28" s="147">
        <f t="shared" si="0"/>
        <v>7.5000000000000011E-2</v>
      </c>
      <c r="H28" s="771" t="s">
        <v>804</v>
      </c>
      <c r="I28" s="771"/>
    </row>
    <row r="29" spans="1:9" ht="36.75" customHeight="1" x14ac:dyDescent="0.2">
      <c r="A29" s="9"/>
      <c r="B29" s="150" t="s">
        <v>732</v>
      </c>
      <c r="C29" s="145" t="s">
        <v>565</v>
      </c>
      <c r="D29" s="145" t="s">
        <v>712</v>
      </c>
      <c r="E29" s="146">
        <v>0.4375</v>
      </c>
      <c r="F29" s="146">
        <v>0.45833333333333331</v>
      </c>
      <c r="G29" s="147">
        <f t="shared" ref="G29" si="1">IF(AND(F29-E29&gt;0),F29-E29,"")</f>
        <v>2.0833333333333315E-2</v>
      </c>
      <c r="H29" s="771" t="s">
        <v>222</v>
      </c>
      <c r="I29" s="771"/>
    </row>
    <row r="30" spans="1:9" ht="36.75" customHeight="1" x14ac:dyDescent="0.2">
      <c r="A30" s="9"/>
      <c r="B30" s="150" t="s">
        <v>732</v>
      </c>
      <c r="C30" s="145" t="s">
        <v>555</v>
      </c>
      <c r="D30" s="145" t="s">
        <v>715</v>
      </c>
      <c r="E30" s="146">
        <v>0.53749999999999998</v>
      </c>
      <c r="F30" s="146">
        <v>0.54166666666666663</v>
      </c>
      <c r="G30" s="147">
        <f t="shared" ref="G30:G47" si="2">IF(AND(F30-E30&gt;0),F30-E30,"")</f>
        <v>4.1666666666666519E-3</v>
      </c>
      <c r="H30" s="771" t="s">
        <v>330</v>
      </c>
      <c r="I30" s="771"/>
    </row>
    <row r="31" spans="1:9" ht="36.75" customHeight="1" x14ac:dyDescent="0.2">
      <c r="A31" s="9"/>
      <c r="B31" s="150" t="s">
        <v>732</v>
      </c>
      <c r="C31" s="145" t="s">
        <v>531</v>
      </c>
      <c r="D31" s="145" t="s">
        <v>712</v>
      </c>
      <c r="E31" s="146">
        <v>0.6166666666666667</v>
      </c>
      <c r="F31" s="146">
        <v>0.625</v>
      </c>
      <c r="G31" s="147">
        <f t="shared" si="2"/>
        <v>8.3333333333333037E-3</v>
      </c>
      <c r="H31" s="771" t="s">
        <v>137</v>
      </c>
      <c r="I31" s="771"/>
    </row>
    <row r="32" spans="1:9" ht="36.75" customHeight="1" x14ac:dyDescent="0.2">
      <c r="A32" s="9"/>
      <c r="B32" s="150" t="s">
        <v>732</v>
      </c>
      <c r="C32" s="252" t="s">
        <v>563</v>
      </c>
      <c r="D32" s="145" t="s">
        <v>712</v>
      </c>
      <c r="E32" s="146">
        <v>0.77083333333333337</v>
      </c>
      <c r="F32" s="146">
        <v>0.78333333333333333</v>
      </c>
      <c r="G32" s="147">
        <f t="shared" si="2"/>
        <v>1.2499999999999956E-2</v>
      </c>
      <c r="H32" s="771" t="s">
        <v>214</v>
      </c>
      <c r="I32" s="771"/>
    </row>
    <row r="33" spans="1:9" ht="36.75" customHeight="1" x14ac:dyDescent="0.2">
      <c r="A33" s="9"/>
      <c r="B33" s="150" t="s">
        <v>732</v>
      </c>
      <c r="C33" s="145" t="s">
        <v>565</v>
      </c>
      <c r="D33" s="145" t="s">
        <v>712</v>
      </c>
      <c r="E33" s="146">
        <v>0.9291666666666667</v>
      </c>
      <c r="F33" s="146">
        <v>0.9375</v>
      </c>
      <c r="G33" s="147">
        <f t="shared" si="2"/>
        <v>8.3333333333333037E-3</v>
      </c>
      <c r="H33" s="771" t="s">
        <v>233</v>
      </c>
      <c r="I33" s="771"/>
    </row>
    <row r="34" spans="1:9" ht="36.75" customHeight="1" x14ac:dyDescent="0.2">
      <c r="A34" s="9"/>
      <c r="B34" s="150" t="s">
        <v>732</v>
      </c>
      <c r="C34" s="533" t="s">
        <v>558</v>
      </c>
      <c r="D34" s="145" t="s">
        <v>712</v>
      </c>
      <c r="E34" s="146">
        <v>0.9375</v>
      </c>
      <c r="F34" s="146">
        <v>0.97499999999999998</v>
      </c>
      <c r="G34" s="147">
        <f t="shared" si="2"/>
        <v>3.7499999999999978E-2</v>
      </c>
      <c r="H34" s="771" t="s">
        <v>751</v>
      </c>
      <c r="I34" s="771"/>
    </row>
    <row r="35" spans="1:9" ht="36.75" customHeight="1" x14ac:dyDescent="0.2">
      <c r="A35" s="9"/>
      <c r="B35" s="150"/>
      <c r="C35" s="145"/>
      <c r="D35" s="145"/>
      <c r="E35" s="146"/>
      <c r="F35" s="146"/>
      <c r="G35" s="147" t="str">
        <f t="shared" si="2"/>
        <v/>
      </c>
      <c r="H35" s="771"/>
      <c r="I35" s="771"/>
    </row>
    <row r="36" spans="1:9" ht="36.75" customHeight="1" x14ac:dyDescent="0.2">
      <c r="A36" s="9"/>
      <c r="B36" s="150"/>
      <c r="C36" s="145"/>
      <c r="D36" s="145"/>
      <c r="E36" s="146"/>
      <c r="F36" s="146"/>
      <c r="G36" s="147" t="str">
        <f t="shared" si="2"/>
        <v/>
      </c>
      <c r="H36" s="771"/>
      <c r="I36" s="771"/>
    </row>
    <row r="37" spans="1:9" ht="36.75" customHeight="1" x14ac:dyDescent="0.2">
      <c r="A37" s="9"/>
      <c r="B37" s="150"/>
      <c r="C37" s="145"/>
      <c r="D37" s="145"/>
      <c r="E37" s="146"/>
      <c r="F37" s="146"/>
      <c r="G37" s="147" t="str">
        <f t="shared" si="2"/>
        <v/>
      </c>
      <c r="H37" s="771"/>
      <c r="I37" s="771"/>
    </row>
    <row r="38" spans="1:9" ht="36.75" customHeight="1" x14ac:dyDescent="0.2">
      <c r="A38" s="9"/>
      <c r="B38" s="150"/>
      <c r="C38" s="145"/>
      <c r="D38" s="145"/>
      <c r="E38" s="146"/>
      <c r="F38" s="146"/>
      <c r="G38" s="147" t="str">
        <f t="shared" si="2"/>
        <v/>
      </c>
      <c r="H38" s="771"/>
      <c r="I38" s="771"/>
    </row>
    <row r="39" spans="1:9" ht="36.75" customHeight="1" x14ac:dyDescent="0.2">
      <c r="A39" s="9"/>
      <c r="B39" s="150"/>
      <c r="C39" s="145"/>
      <c r="D39" s="145"/>
      <c r="E39" s="146"/>
      <c r="F39" s="146"/>
      <c r="G39" s="147" t="str">
        <f t="shared" si="2"/>
        <v/>
      </c>
      <c r="H39" s="771"/>
      <c r="I39" s="771"/>
    </row>
    <row r="40" spans="1:9" ht="36.75" customHeight="1" x14ac:dyDescent="0.2">
      <c r="A40" s="9"/>
      <c r="B40" s="150"/>
      <c r="C40" s="145"/>
      <c r="D40" s="145"/>
      <c r="E40" s="146"/>
      <c r="F40" s="146"/>
      <c r="G40" s="147" t="str">
        <f t="shared" si="2"/>
        <v/>
      </c>
      <c r="H40" s="771"/>
      <c r="I40" s="771"/>
    </row>
    <row r="41" spans="1:9" ht="36.75" customHeight="1" x14ac:dyDescent="0.2">
      <c r="A41" s="9"/>
      <c r="B41" s="150"/>
      <c r="C41" s="145"/>
      <c r="D41" s="145"/>
      <c r="E41" s="146"/>
      <c r="F41" s="146"/>
      <c r="G41" s="147" t="str">
        <f t="shared" si="2"/>
        <v/>
      </c>
      <c r="H41" s="771"/>
      <c r="I41" s="771"/>
    </row>
    <row r="42" spans="1:9" ht="36.75" customHeight="1" x14ac:dyDescent="0.2">
      <c r="A42" s="9"/>
      <c r="B42" s="150"/>
      <c r="C42" s="145"/>
      <c r="D42" s="145"/>
      <c r="E42" s="146"/>
      <c r="F42" s="146"/>
      <c r="G42" s="147" t="str">
        <f t="shared" si="2"/>
        <v/>
      </c>
      <c r="H42" s="771"/>
      <c r="I42" s="771"/>
    </row>
    <row r="43" spans="1:9" ht="36.75" customHeight="1" x14ac:dyDescent="0.2">
      <c r="A43" s="9"/>
      <c r="B43" s="150"/>
      <c r="C43" s="145"/>
      <c r="D43" s="145"/>
      <c r="E43" s="146"/>
      <c r="F43" s="146"/>
      <c r="G43" s="147" t="str">
        <f t="shared" si="2"/>
        <v/>
      </c>
      <c r="H43" s="771"/>
      <c r="I43" s="771"/>
    </row>
    <row r="44" spans="1:9" ht="36.75" customHeight="1" x14ac:dyDescent="0.2">
      <c r="A44" s="9"/>
      <c r="B44" s="150"/>
      <c r="C44" s="145"/>
      <c r="D44" s="145"/>
      <c r="E44" s="146"/>
      <c r="F44" s="146"/>
      <c r="G44" s="147" t="str">
        <f t="shared" si="2"/>
        <v/>
      </c>
      <c r="H44" s="771"/>
      <c r="I44" s="771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2"/>
        <v/>
      </c>
      <c r="H45" s="771"/>
      <c r="I45" s="771"/>
    </row>
    <row r="46" spans="1:9" ht="36.75" customHeight="1" x14ac:dyDescent="0.2">
      <c r="A46" s="9"/>
      <c r="B46" s="150"/>
      <c r="C46" s="145"/>
      <c r="D46" s="145"/>
      <c r="E46" s="146"/>
      <c r="F46" s="146"/>
      <c r="G46" s="147" t="str">
        <f t="shared" si="2"/>
        <v/>
      </c>
      <c r="H46" s="771"/>
      <c r="I46" s="771"/>
    </row>
    <row r="47" spans="1:9" ht="36.75" customHeight="1" thickBot="1" x14ac:dyDescent="0.25">
      <c r="A47" s="9"/>
      <c r="B47" s="151"/>
      <c r="C47" s="119"/>
      <c r="D47" s="119"/>
      <c r="E47" s="120"/>
      <c r="F47" s="120"/>
      <c r="G47" s="356" t="str">
        <f t="shared" si="2"/>
        <v/>
      </c>
      <c r="H47" s="787"/>
      <c r="I47" s="787"/>
    </row>
    <row r="48" spans="1:9" ht="17.25" customHeight="1" thickBot="1" x14ac:dyDescent="0.25"/>
    <row r="49" spans="1:9" ht="30" customHeight="1" thickBot="1" x14ac:dyDescent="0.25">
      <c r="A49" s="99"/>
      <c r="B49" s="783" t="s">
        <v>62</v>
      </c>
      <c r="C49" s="110" t="s">
        <v>712</v>
      </c>
      <c r="D49" s="110" t="s">
        <v>714</v>
      </c>
      <c r="E49" s="110" t="s">
        <v>713</v>
      </c>
      <c r="F49" s="110" t="s">
        <v>715</v>
      </c>
      <c r="G49" s="110" t="s">
        <v>716</v>
      </c>
      <c r="H49" s="110" t="s">
        <v>717</v>
      </c>
    </row>
    <row r="50" spans="1:9" ht="94.5" customHeight="1" thickBot="1" x14ac:dyDescent="0.25">
      <c r="A50" s="11"/>
      <c r="B50" s="783"/>
      <c r="C50" s="43" t="s">
        <v>63</v>
      </c>
      <c r="D50" s="43" t="s">
        <v>64</v>
      </c>
      <c r="E50" s="43" t="s">
        <v>65</v>
      </c>
      <c r="F50" s="43" t="s">
        <v>66</v>
      </c>
      <c r="G50" s="43" t="s">
        <v>67</v>
      </c>
      <c r="H50" s="43" t="s">
        <v>68</v>
      </c>
    </row>
    <row r="51" spans="1:9" ht="26.1" customHeight="1" thickBot="1" x14ac:dyDescent="0.25">
      <c r="A51" s="11"/>
      <c r="B51" s="783"/>
      <c r="C51" s="104">
        <f>SUMIFS('Arrêt RPT2'!$G$18:$G$47,'Arrêt RPT2'!$D$18:$D$47,C49)</f>
        <v>0.14999999999999986</v>
      </c>
      <c r="D51" s="104">
        <f>SUMIFS('Arrêt RPT2'!$G$18:$G$47,'Arrêt RPT2'!$D$18:$D$47,D49)</f>
        <v>0</v>
      </c>
      <c r="E51" s="104">
        <f>SUMIFS('Arrêt RPT2'!$G$18:$G$47,'Arrêt RPT2'!$D$18:$D$47,E49)</f>
        <v>1.6666666666666677E-2</v>
      </c>
      <c r="F51" s="104">
        <f>SUMIFS('Arrêt RPT2'!$G$18:$G$47,'Arrêt RPT2'!$D$18:$D$47,F49)</f>
        <v>4.5833333333333323E-2</v>
      </c>
      <c r="G51" s="104">
        <f>SUMIFS('Arrêt RPT2'!$G$18:$G$47,'Arrêt RPT2'!$D$18:$D$47,G49)</f>
        <v>0.10833333333333334</v>
      </c>
      <c r="H51" s="104">
        <f>SUMIFS('Arrêt RPT2'!$G$18:$G$47,'Arrêt RPT2'!$D$18:$D$47,H49)</f>
        <v>0</v>
      </c>
    </row>
    <row r="52" spans="1:9" ht="26.1" customHeight="1" thickBot="1" x14ac:dyDescent="0.25">
      <c r="A52" s="11"/>
      <c r="B52" s="154" t="s">
        <v>746</v>
      </c>
      <c r="C52" s="153">
        <f>COUNTIF('Arrêt RPT2'!$D$18:$D$47,C49)</f>
        <v>8</v>
      </c>
      <c r="D52" s="153">
        <f>COUNTIF('Arrêt RPT2'!$D$18:$D$47,D49)</f>
        <v>0</v>
      </c>
      <c r="E52" s="153">
        <f>COUNTIF('Arrêt RPT2'!$D$18:$D$47,E49)</f>
        <v>2</v>
      </c>
      <c r="F52" s="153">
        <f>COUNTIF('Arrêt RPT2'!$D$18:$D$47,F49)</f>
        <v>4</v>
      </c>
      <c r="G52" s="153">
        <f>COUNTIF('Arrêt RPT2'!$D$18:$D$47,G49)</f>
        <v>2</v>
      </c>
      <c r="H52" s="153">
        <f>COUNTIF('Arrêt RPT2'!$D$18:$D$47,H49)</f>
        <v>0</v>
      </c>
    </row>
    <row r="53" spans="1:9" ht="23.25" customHeight="1" thickBot="1" x14ac:dyDescent="0.25">
      <c r="A53" s="11"/>
      <c r="B53" s="12"/>
    </row>
    <row r="54" spans="1:9" ht="30" customHeight="1" thickBot="1" x14ac:dyDescent="0.25">
      <c r="A54" s="11"/>
      <c r="B54" s="782" t="s">
        <v>69</v>
      </c>
      <c r="C54" s="110" t="s">
        <v>718</v>
      </c>
      <c r="D54" s="110" t="s">
        <v>723</v>
      </c>
      <c r="E54" s="110" t="s">
        <v>722</v>
      </c>
      <c r="F54" s="110" t="s">
        <v>721</v>
      </c>
      <c r="G54" s="110" t="s">
        <v>720</v>
      </c>
      <c r="H54" s="13"/>
      <c r="I54" s="13"/>
    </row>
    <row r="55" spans="1:9" ht="43.5" customHeight="1" thickBot="1" x14ac:dyDescent="0.25">
      <c r="A55" s="11"/>
      <c r="B55" s="782"/>
      <c r="C55" s="784" t="s">
        <v>70</v>
      </c>
      <c r="D55" s="784" t="s">
        <v>71</v>
      </c>
      <c r="E55" s="784" t="s">
        <v>72</v>
      </c>
      <c r="F55" s="784" t="s">
        <v>73</v>
      </c>
      <c r="G55" s="784" t="s">
        <v>710</v>
      </c>
      <c r="H55" s="14"/>
      <c r="I55" s="14"/>
    </row>
    <row r="56" spans="1:9" ht="43.5" customHeight="1" thickBot="1" x14ac:dyDescent="0.25">
      <c r="A56" s="11"/>
      <c r="B56" s="782"/>
      <c r="C56" s="784"/>
      <c r="D56" s="784"/>
      <c r="E56" s="784"/>
      <c r="F56" s="784"/>
      <c r="G56" s="784"/>
      <c r="H56" s="15"/>
      <c r="I56" s="15"/>
    </row>
    <row r="57" spans="1:9" ht="26.1" customHeight="1" thickBot="1" x14ac:dyDescent="0.25">
      <c r="A57" s="9"/>
      <c r="B57" s="782"/>
      <c r="C57" s="104">
        <f>SUMIFS('Arrêt RPT2'!$G$18:$G$47,'Arrêt RPT2'!$D$18:$D$47,C54)</f>
        <v>0</v>
      </c>
      <c r="D57" s="104">
        <f>SUMIFS('Arrêt RPT2'!$G$18:$G$47,'Arrêt RPT2'!$D$18:$D$47,D54)</f>
        <v>1.6666666666666666E-2</v>
      </c>
      <c r="E57" s="104">
        <f>SUMIFS('Arrêt RPT2'!$G$18:$G$47,'Arrêt RPT2'!$D$18:$D$47,E54)</f>
        <v>0</v>
      </c>
      <c r="F57" s="104">
        <f>SUMIFS('Arrêt RPT2'!$G$18:$G$47,'Arrêt RPT2'!$D$18:$D$47,F54)</f>
        <v>0</v>
      </c>
      <c r="G57" s="104">
        <f>SUMIFS('Arrêt RPT2'!$G$18:$G$47,'Arrêt RPT2'!$D$18:$D$47,G54)</f>
        <v>0</v>
      </c>
      <c r="H57" s="16"/>
      <c r="I57" s="16"/>
    </row>
    <row r="58" spans="1:9" ht="26.1" customHeight="1" thickBot="1" x14ac:dyDescent="0.25">
      <c r="A58" s="9"/>
      <c r="B58" s="154" t="s">
        <v>746</v>
      </c>
      <c r="C58" s="153">
        <f>COUNTIF('Arrêt RPT2'!$D$18:$D$47,C54)</f>
        <v>0</v>
      </c>
      <c r="D58" s="153">
        <f>COUNTIF('Arrêt RPT2'!$D$18:$D$47,D54)</f>
        <v>1</v>
      </c>
      <c r="E58" s="153">
        <f>COUNTIF('Arrêt RPT2'!$D$18:$D$47,E54)</f>
        <v>0</v>
      </c>
      <c r="F58" s="153">
        <f>COUNTIF('Arrêt RPT2'!$D$18:$D$47,F54)</f>
        <v>0</v>
      </c>
      <c r="G58" s="153">
        <f>COUNTIF('Arrêt RPT2'!$D$18:$D$47,G54)</f>
        <v>0</v>
      </c>
      <c r="H58" s="16"/>
      <c r="I58" s="16"/>
    </row>
    <row r="59" spans="1:9" ht="18.75" customHeight="1" thickBot="1" x14ac:dyDescent="0.25">
      <c r="A59" s="9"/>
      <c r="C59" s="17"/>
      <c r="D59" s="17"/>
      <c r="E59" s="17"/>
      <c r="F59" s="17"/>
      <c r="G59" s="17"/>
      <c r="H59" s="17"/>
      <c r="I59" s="17"/>
    </row>
    <row r="60" spans="1:9" ht="43.5" customHeight="1" thickBot="1" x14ac:dyDescent="0.25">
      <c r="A60" s="9"/>
      <c r="B60" s="781" t="s">
        <v>74</v>
      </c>
      <c r="C60" s="43" t="s">
        <v>75</v>
      </c>
      <c r="D60" s="43" t="s">
        <v>93</v>
      </c>
      <c r="E60" s="43" t="s">
        <v>76</v>
      </c>
      <c r="F60" s="43" t="s">
        <v>94</v>
      </c>
      <c r="G60" s="43" t="s">
        <v>77</v>
      </c>
      <c r="H60" s="43" t="s">
        <v>91</v>
      </c>
    </row>
    <row r="61" spans="1:9" ht="43.5" customHeight="1" thickBot="1" x14ac:dyDescent="0.25">
      <c r="B61" s="781"/>
      <c r="C61" s="105">
        <f>+C51+D51+E51+F51+G51+H51+C57+D57+E57+F57+G57</f>
        <v>0.33749999999999986</v>
      </c>
      <c r="D61" s="105">
        <f>D63-D51-E51-F51-G51-H51+E63</f>
        <v>0.82916666666666672</v>
      </c>
      <c r="E61" s="105">
        <f>D63+E63-C61</f>
        <v>0.66250000000000009</v>
      </c>
      <c r="F61" s="106">
        <f>+D61/D63</f>
        <v>0.82974287699791527</v>
      </c>
      <c r="G61" s="106">
        <f>E61/D61</f>
        <v>0.79899497487437188</v>
      </c>
      <c r="H61" s="107">
        <f>E61/D63</f>
        <v>0.66296038915913835</v>
      </c>
    </row>
    <row r="63" spans="1:9" s="108" customFormat="1" ht="29.25" hidden="1" x14ac:dyDescent="0.35">
      <c r="D63" s="85">
        <v>0.99930555555555556</v>
      </c>
      <c r="E63" s="85">
        <v>6.9444444444444447E-4</v>
      </c>
    </row>
  </sheetData>
  <mergeCells count="48">
    <mergeCell ref="B60:B61"/>
    <mergeCell ref="H45:I45"/>
    <mergeCell ref="H46:I46"/>
    <mergeCell ref="H47:I47"/>
    <mergeCell ref="B49:B51"/>
    <mergeCell ref="B54:B57"/>
    <mergeCell ref="C55:C56"/>
    <mergeCell ref="D55:D56"/>
    <mergeCell ref="E55:E56"/>
    <mergeCell ref="F55:F56"/>
    <mergeCell ref="G55:G56"/>
    <mergeCell ref="H44:I44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43:I43"/>
    <mergeCell ref="H32:I32"/>
    <mergeCell ref="H20:I20"/>
    <mergeCell ref="H21:I21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22:I22"/>
    <mergeCell ref="H19:I19"/>
    <mergeCell ref="C2:D3"/>
    <mergeCell ref="C4:D5"/>
    <mergeCell ref="F6:G6"/>
    <mergeCell ref="B9:C10"/>
    <mergeCell ref="E9:I9"/>
    <mergeCell ref="E10:I10"/>
    <mergeCell ref="B11:C11"/>
    <mergeCell ref="F11:H11"/>
    <mergeCell ref="B14:I15"/>
    <mergeCell ref="H17:I17"/>
    <mergeCell ref="H18:I18"/>
  </mergeCells>
  <conditionalFormatting sqref="G18:G47">
    <cfRule type="cellIs" dxfId="0" priority="7" operator="equal">
      <formula>0.0333333333333333</formula>
    </cfRule>
  </conditionalFormatting>
  <dataValidations count="2">
    <dataValidation type="list" allowBlank="1" showInputMessage="1" showErrorMessage="1" sqref="H18:I47">
      <formula1>INDIRECT(D18)</formula1>
    </dataValidation>
    <dataValidation type="list" allowBlank="1" showInputMessage="1" showErrorMessage="1" sqref="C18:C47">
      <formula1>INDIRECT(B18)</formula1>
    </dataValidation>
  </dataValidations>
  <printOptions horizontalCentered="1" verticalCentered="1"/>
  <pageMargins left="0" right="0.19685039370078741" top="0" bottom="0" header="0" footer="0"/>
  <pageSetup paperSize="9" scale="37" orientation="portrait" horizontalDpi="180" verticalDpi="18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C54:G54 C49:H49 D18:D47</xm:sqref>
        </x14:dataValidation>
        <x14:dataValidation type="list" allowBlank="1" showInputMessage="1" showErrorMessage="1">
          <x14:formula1>
            <xm:f>organges!$B$1:$J$1</xm:f>
          </x14:formula1>
          <xm:sqref>B18:B47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R62"/>
  <sheetViews>
    <sheetView showGridLines="0" view="pageBreakPreview" topLeftCell="A46" zoomScale="85" zoomScaleNormal="40" zoomScaleSheetLayoutView="85" workbookViewId="0">
      <selection activeCell="H21" sqref="H21:I21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452">
        <v>17807</v>
      </c>
    </row>
    <row r="2" spans="1:18" ht="34.5" customHeight="1" thickBot="1" x14ac:dyDescent="0.3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1"/>
      <c r="D3" s="571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2"/>
      <c r="D5" s="572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3"/>
      <c r="G6" s="574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89"/>
      <c r="C9" s="590"/>
      <c r="D9" s="38" t="s">
        <v>0</v>
      </c>
      <c r="E9" s="773" t="s">
        <v>101</v>
      </c>
      <c r="F9" s="774"/>
      <c r="G9" s="774"/>
      <c r="H9" s="774"/>
      <c r="I9" s="775"/>
    </row>
    <row r="10" spans="1:18" ht="38.25" customHeight="1" thickBot="1" x14ac:dyDescent="0.25">
      <c r="A10" s="5"/>
      <c r="B10" s="591"/>
      <c r="C10" s="592"/>
      <c r="D10" s="38" t="s">
        <v>8</v>
      </c>
      <c r="E10" s="778" t="s">
        <v>100</v>
      </c>
      <c r="F10" s="779"/>
      <c r="G10" s="779"/>
      <c r="H10" s="779"/>
      <c r="I10" s="780"/>
      <c r="R10" s="4" t="s">
        <v>806</v>
      </c>
    </row>
    <row r="11" spans="1:18" ht="45" customHeight="1" thickBot="1" x14ac:dyDescent="0.25">
      <c r="A11" s="5"/>
      <c r="B11" s="776" t="s">
        <v>99</v>
      </c>
      <c r="C11" s="777"/>
      <c r="D11" s="38" t="s">
        <v>9</v>
      </c>
      <c r="E11" s="500">
        <v>5</v>
      </c>
      <c r="F11" s="778" t="s">
        <v>125</v>
      </c>
      <c r="G11" s="779"/>
      <c r="H11" s="780"/>
      <c r="I11" s="37">
        <v>45000</v>
      </c>
    </row>
    <row r="12" spans="1:18" ht="26.25" customHeight="1" x14ac:dyDescent="0.45">
      <c r="A12" s="5"/>
      <c r="B12" s="32" t="s">
        <v>530</v>
      </c>
      <c r="C12" s="30"/>
      <c r="D12" s="31"/>
    </row>
    <row r="13" spans="1:18" ht="5.25" customHeight="1" x14ac:dyDescent="0.2"/>
    <row r="14" spans="1:18" ht="24" customHeight="1" x14ac:dyDescent="0.2">
      <c r="B14" s="772" t="s">
        <v>90</v>
      </c>
      <c r="C14" s="772"/>
      <c r="D14" s="772"/>
      <c r="E14" s="772"/>
      <c r="F14" s="772"/>
      <c r="G14" s="772"/>
      <c r="H14" s="772"/>
      <c r="I14" s="772"/>
    </row>
    <row r="15" spans="1:18" ht="21" customHeight="1" x14ac:dyDescent="0.2">
      <c r="A15" s="6"/>
      <c r="B15" s="772"/>
      <c r="C15" s="772"/>
      <c r="D15" s="772"/>
      <c r="E15" s="772"/>
      <c r="F15" s="772"/>
      <c r="G15" s="772"/>
      <c r="H15" s="772"/>
      <c r="I15" s="772"/>
    </row>
    <row r="16" spans="1:18" ht="33.75" customHeight="1" thickBot="1" x14ac:dyDescent="0.5">
      <c r="A16" s="7"/>
      <c r="B16" s="167" t="s">
        <v>526</v>
      </c>
      <c r="E16" s="36"/>
      <c r="H16" s="35" t="s">
        <v>44</v>
      </c>
      <c r="I16" s="55">
        <f>'Arrêt RPT1'!I16</f>
        <v>45038</v>
      </c>
    </row>
    <row r="17" spans="1:9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18" t="s">
        <v>61</v>
      </c>
      <c r="I17" s="618"/>
    </row>
    <row r="18" spans="1:9" ht="36.75" customHeight="1" x14ac:dyDescent="0.2">
      <c r="A18" s="9"/>
      <c r="B18" s="150"/>
      <c r="C18" s="145"/>
      <c r="D18" s="145" t="s">
        <v>720</v>
      </c>
      <c r="E18" s="146">
        <v>3.3333333333333333E-2</v>
      </c>
      <c r="F18" s="146">
        <v>0.8125</v>
      </c>
      <c r="G18" s="147">
        <f t="shared" ref="G18" si="0">IF(AND(F18-E18&gt;0),F18-E18,"")</f>
        <v>0.77916666666666667</v>
      </c>
      <c r="H18" s="771" t="s">
        <v>159</v>
      </c>
      <c r="I18" s="786"/>
    </row>
    <row r="19" spans="1:9" ht="36.75" customHeight="1" x14ac:dyDescent="0.2">
      <c r="A19" s="9"/>
      <c r="B19" s="150"/>
      <c r="C19" s="145"/>
      <c r="D19" s="145" t="s">
        <v>712</v>
      </c>
      <c r="E19" s="146">
        <v>0.8125</v>
      </c>
      <c r="F19" s="146">
        <v>0.8208333333333333</v>
      </c>
      <c r="G19" s="147">
        <f t="shared" ref="G19:G27" si="1">IF(AND(F19-E19&gt;0),F19-E19,"")</f>
        <v>8.3333333333333037E-3</v>
      </c>
      <c r="H19" s="785" t="s">
        <v>140</v>
      </c>
      <c r="I19" s="786"/>
    </row>
    <row r="20" spans="1:9" ht="36.75" customHeight="1" x14ac:dyDescent="0.5">
      <c r="A20" s="86"/>
      <c r="B20" s="150" t="s">
        <v>729</v>
      </c>
      <c r="C20" s="145" t="s">
        <v>741</v>
      </c>
      <c r="D20" s="145" t="s">
        <v>718</v>
      </c>
      <c r="E20" s="146">
        <v>0.89583333333333337</v>
      </c>
      <c r="F20" s="146">
        <v>0.90416666666666667</v>
      </c>
      <c r="G20" s="147">
        <f t="shared" si="1"/>
        <v>8.3333333333333037E-3</v>
      </c>
      <c r="H20" s="771" t="s">
        <v>198</v>
      </c>
      <c r="I20" s="786"/>
    </row>
    <row r="21" spans="1:9" ht="36.75" customHeight="1" x14ac:dyDescent="0.5">
      <c r="A21" s="86"/>
      <c r="B21" s="150"/>
      <c r="C21" s="145"/>
      <c r="D21" s="145"/>
      <c r="E21" s="146"/>
      <c r="F21" s="146"/>
      <c r="G21" s="147" t="str">
        <f t="shared" si="1"/>
        <v/>
      </c>
      <c r="H21" s="785"/>
      <c r="I21" s="786"/>
    </row>
    <row r="22" spans="1:9" ht="36.75" customHeight="1" x14ac:dyDescent="0.5">
      <c r="A22" s="86"/>
      <c r="B22" s="150"/>
      <c r="C22" s="145"/>
      <c r="D22" s="145"/>
      <c r="E22" s="146"/>
      <c r="F22" s="146"/>
      <c r="G22" s="147" t="str">
        <f t="shared" si="1"/>
        <v/>
      </c>
      <c r="H22" s="771"/>
      <c r="I22" s="786"/>
    </row>
    <row r="23" spans="1:9" ht="36.75" customHeight="1" x14ac:dyDescent="0.5">
      <c r="A23" s="86"/>
      <c r="B23" s="150"/>
      <c r="C23" s="145"/>
      <c r="D23" s="145"/>
      <c r="E23" s="146"/>
      <c r="F23" s="146"/>
      <c r="G23" s="147" t="str">
        <f t="shared" si="1"/>
        <v/>
      </c>
      <c r="H23" s="771"/>
      <c r="I23" s="786"/>
    </row>
    <row r="24" spans="1:9" ht="36.75" customHeight="1" x14ac:dyDescent="0.5">
      <c r="A24" s="86"/>
      <c r="B24" s="150"/>
      <c r="C24" s="145"/>
      <c r="D24" s="145"/>
      <c r="E24" s="146"/>
      <c r="F24" s="146"/>
      <c r="G24" s="147" t="str">
        <f>IF(AND(F24-E24&gt;0),F24-E24,"")</f>
        <v/>
      </c>
      <c r="H24" s="785"/>
      <c r="I24" s="786"/>
    </row>
    <row r="25" spans="1:9" ht="36.75" customHeight="1" x14ac:dyDescent="0.5">
      <c r="A25" s="86"/>
      <c r="B25" s="150"/>
      <c r="C25" s="145"/>
      <c r="D25" s="145"/>
      <c r="E25" s="146"/>
      <c r="F25" s="146"/>
      <c r="G25" s="147" t="str">
        <f t="shared" si="1"/>
        <v/>
      </c>
      <c r="H25" s="771"/>
      <c r="I25" s="786"/>
    </row>
    <row r="26" spans="1:9" ht="36.75" customHeight="1" x14ac:dyDescent="0.5">
      <c r="A26" s="86"/>
      <c r="B26" s="150"/>
      <c r="C26" s="145"/>
      <c r="D26" s="145"/>
      <c r="E26" s="146"/>
      <c r="F26" s="146"/>
      <c r="G26" s="147" t="str">
        <f t="shared" si="1"/>
        <v/>
      </c>
      <c r="H26" s="771"/>
      <c r="I26" s="786"/>
    </row>
    <row r="27" spans="1:9" ht="36.75" customHeight="1" x14ac:dyDescent="0.5">
      <c r="A27" s="86"/>
      <c r="B27" s="150"/>
      <c r="C27" s="145"/>
      <c r="D27" s="145"/>
      <c r="E27" s="146"/>
      <c r="F27" s="146"/>
      <c r="G27" s="147" t="str">
        <f t="shared" si="1"/>
        <v/>
      </c>
      <c r="H27" s="771"/>
      <c r="I27" s="771"/>
    </row>
    <row r="28" spans="1:9" ht="36.75" customHeight="1" x14ac:dyDescent="0.5">
      <c r="A28" s="86"/>
      <c r="B28" s="150"/>
      <c r="C28" s="145"/>
      <c r="D28" s="145"/>
      <c r="E28" s="146"/>
      <c r="F28" s="146"/>
      <c r="G28" s="147" t="str">
        <f t="shared" ref="G28:G29" si="2">IF(AND(F28-E28&gt;0),F28-E28,"")</f>
        <v/>
      </c>
      <c r="H28" s="771"/>
      <c r="I28" s="771"/>
    </row>
    <row r="29" spans="1:9" ht="36.75" customHeight="1" x14ac:dyDescent="0.5">
      <c r="A29" s="86"/>
      <c r="B29" s="150"/>
      <c r="C29" s="145"/>
      <c r="D29" s="145"/>
      <c r="E29" s="146"/>
      <c r="F29" s="146"/>
      <c r="G29" s="147" t="str">
        <f t="shared" si="2"/>
        <v/>
      </c>
      <c r="H29" s="771"/>
      <c r="I29" s="771"/>
    </row>
    <row r="30" spans="1:9" ht="36.75" customHeight="1" x14ac:dyDescent="0.5">
      <c r="A30" s="86"/>
      <c r="B30" s="150"/>
      <c r="C30" s="145"/>
      <c r="D30" s="145"/>
      <c r="E30" s="146"/>
      <c r="F30" s="146"/>
      <c r="G30" s="147" t="str">
        <f t="shared" ref="G30:G43" si="3">IF(AND(F30-E30&gt;0),F30-E30,"")</f>
        <v/>
      </c>
      <c r="H30" s="771"/>
      <c r="I30" s="771"/>
    </row>
    <row r="31" spans="1:9" ht="36.75" customHeight="1" x14ac:dyDescent="0.5">
      <c r="A31" s="86"/>
      <c r="B31" s="150"/>
      <c r="C31" s="145"/>
      <c r="D31" s="145"/>
      <c r="E31" s="146"/>
      <c r="F31" s="146"/>
      <c r="G31" s="147" t="str">
        <f t="shared" si="3"/>
        <v/>
      </c>
      <c r="H31" s="771"/>
      <c r="I31" s="771"/>
    </row>
    <row r="32" spans="1:9" ht="36.75" customHeight="1" x14ac:dyDescent="0.5">
      <c r="A32" s="86"/>
      <c r="B32" s="150"/>
      <c r="C32" s="145"/>
      <c r="D32" s="145"/>
      <c r="E32" s="146"/>
      <c r="F32" s="146"/>
      <c r="G32" s="147" t="str">
        <f t="shared" si="3"/>
        <v/>
      </c>
      <c r="H32" s="771"/>
      <c r="I32" s="771"/>
    </row>
    <row r="33" spans="1:9" ht="36.75" customHeight="1" x14ac:dyDescent="0.5">
      <c r="A33" s="86"/>
      <c r="B33" s="150"/>
      <c r="C33" s="145"/>
      <c r="D33" s="145"/>
      <c r="E33" s="146"/>
      <c r="F33" s="146"/>
      <c r="G33" s="147" t="str">
        <f t="shared" si="3"/>
        <v/>
      </c>
      <c r="H33" s="771"/>
      <c r="I33" s="771"/>
    </row>
    <row r="34" spans="1:9" ht="36.75" customHeight="1" x14ac:dyDescent="0.5">
      <c r="A34" s="86"/>
      <c r="B34" s="150"/>
      <c r="C34" s="145"/>
      <c r="D34" s="145"/>
      <c r="E34" s="146"/>
      <c r="F34" s="146"/>
      <c r="G34" s="147" t="str">
        <f t="shared" si="3"/>
        <v/>
      </c>
      <c r="H34" s="771"/>
      <c r="I34" s="771"/>
    </row>
    <row r="35" spans="1:9" ht="36.75" customHeight="1" x14ac:dyDescent="0.5">
      <c r="A35" s="86"/>
      <c r="B35" s="150"/>
      <c r="C35" s="145"/>
      <c r="D35" s="145"/>
      <c r="E35" s="146"/>
      <c r="F35" s="146"/>
      <c r="G35" s="147" t="str">
        <f t="shared" si="3"/>
        <v/>
      </c>
      <c r="H35" s="771"/>
      <c r="I35" s="771"/>
    </row>
    <row r="36" spans="1:9" ht="36.75" customHeight="1" x14ac:dyDescent="0.5">
      <c r="A36" s="86"/>
      <c r="B36" s="150"/>
      <c r="C36" s="145"/>
      <c r="D36" s="145"/>
      <c r="E36" s="146"/>
      <c r="F36" s="146"/>
      <c r="G36" s="147" t="str">
        <f t="shared" si="3"/>
        <v/>
      </c>
      <c r="H36" s="771"/>
      <c r="I36" s="771"/>
    </row>
    <row r="37" spans="1:9" ht="36.75" customHeight="1" x14ac:dyDescent="0.5">
      <c r="A37" s="86"/>
      <c r="B37" s="150"/>
      <c r="C37" s="145"/>
      <c r="D37" s="145"/>
      <c r="E37" s="146"/>
      <c r="F37" s="146"/>
      <c r="G37" s="147" t="str">
        <f t="shared" si="3"/>
        <v/>
      </c>
      <c r="H37" s="771"/>
      <c r="I37" s="771"/>
    </row>
    <row r="38" spans="1:9" ht="36.75" customHeight="1" x14ac:dyDescent="0.5">
      <c r="A38" s="86"/>
      <c r="B38" s="150"/>
      <c r="C38" s="145"/>
      <c r="D38" s="145"/>
      <c r="E38" s="146"/>
      <c r="F38" s="146"/>
      <c r="G38" s="147" t="str">
        <f t="shared" si="3"/>
        <v/>
      </c>
      <c r="H38" s="771"/>
      <c r="I38" s="771"/>
    </row>
    <row r="39" spans="1:9" ht="36.75" customHeight="1" x14ac:dyDescent="0.5">
      <c r="A39" s="86"/>
      <c r="B39" s="150"/>
      <c r="C39" s="145"/>
      <c r="D39" s="145"/>
      <c r="E39" s="146"/>
      <c r="F39" s="146"/>
      <c r="G39" s="147" t="str">
        <f t="shared" si="3"/>
        <v/>
      </c>
      <c r="H39" s="771"/>
      <c r="I39" s="771"/>
    </row>
    <row r="40" spans="1:9" ht="36.75" customHeight="1" x14ac:dyDescent="0.5">
      <c r="A40" s="86"/>
      <c r="B40" s="150"/>
      <c r="C40" s="145"/>
      <c r="D40" s="145"/>
      <c r="E40" s="146"/>
      <c r="F40" s="146"/>
      <c r="G40" s="147" t="str">
        <f t="shared" si="3"/>
        <v/>
      </c>
      <c r="H40" s="771"/>
      <c r="I40" s="771"/>
    </row>
    <row r="41" spans="1:9" ht="36.75" customHeight="1" x14ac:dyDescent="0.5">
      <c r="A41" s="86"/>
      <c r="B41" s="150"/>
      <c r="C41" s="145"/>
      <c r="D41" s="145"/>
      <c r="E41" s="146"/>
      <c r="F41" s="146"/>
      <c r="G41" s="147" t="str">
        <f t="shared" si="3"/>
        <v/>
      </c>
      <c r="H41" s="771"/>
      <c r="I41" s="771"/>
    </row>
    <row r="42" spans="1:9" ht="36.75" customHeight="1" x14ac:dyDescent="0.5">
      <c r="A42" s="86"/>
      <c r="B42" s="150"/>
      <c r="C42" s="145"/>
      <c r="D42" s="145"/>
      <c r="E42" s="146"/>
      <c r="F42" s="146"/>
      <c r="G42" s="147" t="str">
        <f t="shared" si="3"/>
        <v/>
      </c>
      <c r="H42" s="771"/>
      <c r="I42" s="771"/>
    </row>
    <row r="43" spans="1:9" ht="36.75" customHeight="1" x14ac:dyDescent="0.5">
      <c r="A43" s="86"/>
      <c r="B43" s="150"/>
      <c r="C43" s="145"/>
      <c r="D43" s="145"/>
      <c r="E43" s="146"/>
      <c r="F43" s="146"/>
      <c r="G43" s="147" t="str">
        <f t="shared" si="3"/>
        <v/>
      </c>
      <c r="H43" s="771"/>
      <c r="I43" s="771"/>
    </row>
    <row r="44" spans="1:9" ht="36.75" customHeight="1" x14ac:dyDescent="0.5">
      <c r="A44" s="86"/>
      <c r="B44" s="150"/>
      <c r="C44" s="145"/>
      <c r="D44" s="145"/>
      <c r="E44" s="146"/>
      <c r="F44" s="146"/>
      <c r="G44" s="147" t="str">
        <f t="shared" ref="G44:G46" si="4">IF(AND(F44-E44&gt;0),F44-E44,"")</f>
        <v/>
      </c>
      <c r="H44" s="771"/>
      <c r="I44" s="771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4"/>
        <v/>
      </c>
      <c r="H45" s="771"/>
      <c r="I45" s="771"/>
    </row>
    <row r="46" spans="1:9" ht="36.75" customHeight="1" thickBot="1" x14ac:dyDescent="0.25">
      <c r="A46" s="9"/>
      <c r="B46" s="151"/>
      <c r="C46" s="148"/>
      <c r="D46" s="148"/>
      <c r="E46" s="149"/>
      <c r="F46" s="149"/>
      <c r="G46" s="356" t="str">
        <f t="shared" si="4"/>
        <v/>
      </c>
      <c r="H46" s="788"/>
      <c r="I46" s="788"/>
    </row>
    <row r="47" spans="1:9" ht="17.25" customHeight="1" thickBot="1" x14ac:dyDescent="0.25"/>
    <row r="48" spans="1:9" ht="30" customHeight="1" thickBot="1" x14ac:dyDescent="0.25">
      <c r="A48" s="58"/>
      <c r="B48" s="783" t="s">
        <v>62</v>
      </c>
      <c r="C48" s="110" t="s">
        <v>712</v>
      </c>
      <c r="D48" s="110" t="s">
        <v>714</v>
      </c>
      <c r="E48" s="110" t="s">
        <v>713</v>
      </c>
      <c r="F48" s="110" t="s">
        <v>715</v>
      </c>
      <c r="G48" s="110" t="s">
        <v>716</v>
      </c>
      <c r="H48" s="110" t="s">
        <v>717</v>
      </c>
    </row>
    <row r="49" spans="1:9" ht="83.25" customHeight="1" thickBot="1" x14ac:dyDescent="0.25">
      <c r="A49" s="11"/>
      <c r="B49" s="783"/>
      <c r="C49" s="43" t="s">
        <v>63</v>
      </c>
      <c r="D49" s="43" t="s">
        <v>64</v>
      </c>
      <c r="E49" s="43" t="s">
        <v>65</v>
      </c>
      <c r="F49" s="43" t="s">
        <v>66</v>
      </c>
      <c r="G49" s="43" t="s">
        <v>67</v>
      </c>
      <c r="H49" s="43" t="s">
        <v>68</v>
      </c>
    </row>
    <row r="50" spans="1:9" ht="26.1" customHeight="1" thickBot="1" x14ac:dyDescent="0.25">
      <c r="A50" s="11"/>
      <c r="B50" s="783"/>
      <c r="C50" s="104">
        <f>SUMIFS('Arrêt RP3'!$G$18:$G$46,'Arrêt RP3'!$D$18:$D$46,C48)</f>
        <v>8.3333333333333037E-3</v>
      </c>
      <c r="D50" s="104">
        <f>SUMIFS('Arrêt RP3'!$G$18:$G$46,'Arrêt RP3'!$D$18:$D$46,D48)</f>
        <v>0</v>
      </c>
      <c r="E50" s="104">
        <f>SUMIFS('Arrêt RP3'!$G$18:$G$46,'Arrêt RP3'!$D$18:$D$46,E48)</f>
        <v>0</v>
      </c>
      <c r="F50" s="104">
        <f>SUMIFS('Arrêt RP3'!$G$18:$G$46,'Arrêt RP3'!$D$18:$D$46,F48)</f>
        <v>0</v>
      </c>
      <c r="G50" s="104">
        <f>SUMIFS('Arrêt RP3'!$G$18:$G$46,'Arrêt RP3'!$D$18:$D$46,G48)</f>
        <v>0</v>
      </c>
      <c r="H50" s="104">
        <f>SUMIFS('Arrêt RP3'!$G$18:$G$46,'Arrêt RP3'!$D$18:$D$46,H48)</f>
        <v>0</v>
      </c>
    </row>
    <row r="51" spans="1:9" ht="26.1" customHeight="1" thickBot="1" x14ac:dyDescent="0.25">
      <c r="A51" s="11"/>
      <c r="B51" s="154" t="s">
        <v>746</v>
      </c>
      <c r="C51" s="153">
        <f>COUNTIF('Arrêt RP3'!$D$18:$D$46,C48)</f>
        <v>1</v>
      </c>
      <c r="D51" s="153">
        <f>COUNTIF('Arrêt RP3'!$D$18:$D$46,D48)</f>
        <v>0</v>
      </c>
      <c r="E51" s="153">
        <f>COUNTIF('Arrêt RP3'!$D$18:$D$46,E48)</f>
        <v>0</v>
      </c>
      <c r="F51" s="153">
        <f>COUNTIF('Arrêt RP3'!$D$18:$D$46,F48)</f>
        <v>0</v>
      </c>
      <c r="G51" s="153">
        <f>COUNTIF('Arrêt RP3'!$D$18:$D$46,G48)</f>
        <v>0</v>
      </c>
      <c r="H51" s="153">
        <f>COUNTIF('Arrêt RP3'!$D$18:$D$46,H48)</f>
        <v>0</v>
      </c>
    </row>
    <row r="52" spans="1:9" ht="23.25" customHeight="1" thickBot="1" x14ac:dyDescent="0.25">
      <c r="A52" s="11"/>
      <c r="B52" s="12"/>
    </row>
    <row r="53" spans="1:9" ht="30" customHeight="1" thickBot="1" x14ac:dyDescent="0.25">
      <c r="A53" s="11"/>
      <c r="B53" s="782" t="s">
        <v>69</v>
      </c>
      <c r="C53" s="110" t="s">
        <v>718</v>
      </c>
      <c r="D53" s="110" t="s">
        <v>723</v>
      </c>
      <c r="E53" s="110" t="s">
        <v>722</v>
      </c>
      <c r="F53" s="110" t="s">
        <v>721</v>
      </c>
      <c r="G53" s="110" t="s">
        <v>720</v>
      </c>
      <c r="H53" s="13"/>
      <c r="I53" s="13"/>
    </row>
    <row r="54" spans="1:9" ht="43.5" customHeight="1" thickBot="1" x14ac:dyDescent="0.25">
      <c r="A54" s="11"/>
      <c r="B54" s="782"/>
      <c r="C54" s="784" t="s">
        <v>70</v>
      </c>
      <c r="D54" s="784" t="s">
        <v>71</v>
      </c>
      <c r="E54" s="784" t="s">
        <v>72</v>
      </c>
      <c r="F54" s="784" t="s">
        <v>73</v>
      </c>
      <c r="G54" s="784" t="s">
        <v>710</v>
      </c>
      <c r="H54" s="14"/>
      <c r="I54" s="14"/>
    </row>
    <row r="55" spans="1:9" ht="43.5" customHeight="1" thickBot="1" x14ac:dyDescent="0.25">
      <c r="A55" s="11"/>
      <c r="B55" s="782"/>
      <c r="C55" s="784"/>
      <c r="D55" s="784"/>
      <c r="E55" s="784"/>
      <c r="F55" s="784"/>
      <c r="G55" s="784"/>
      <c r="H55" s="15"/>
      <c r="I55" s="15"/>
    </row>
    <row r="56" spans="1:9" ht="26.1" customHeight="1" thickBot="1" x14ac:dyDescent="0.25">
      <c r="A56" s="9"/>
      <c r="B56" s="782"/>
      <c r="C56" s="104">
        <f>SUMIFS('Arrêt RP3'!$G$18:$G$46,'Arrêt RP3'!$D$18:$D$46,C53)</f>
        <v>8.3333333333333037E-3</v>
      </c>
      <c r="D56" s="104">
        <f>SUMIFS('Arrêt RP3'!$G$18:$G$46,'Arrêt RP3'!$D$18:$D$46,D53)</f>
        <v>0</v>
      </c>
      <c r="E56" s="104">
        <f>SUMIFS('Arrêt RP3'!$G$18:$G$46,'Arrêt RP3'!$D$18:$D$46,E53)</f>
        <v>0</v>
      </c>
      <c r="F56" s="104">
        <f>SUMIFS('Arrêt RP3'!$G$18:$G$46,'Arrêt RP3'!$D$18:$D$46,F53)</f>
        <v>0</v>
      </c>
      <c r="G56" s="104">
        <f>SUMIFS('Arrêt RP3'!$G$18:$G$46,'Arrêt RP3'!$D$18:$D$46,G53)</f>
        <v>0.77916666666666667</v>
      </c>
      <c r="H56" s="16"/>
      <c r="I56" s="16"/>
    </row>
    <row r="57" spans="1:9" ht="26.1" customHeight="1" thickBot="1" x14ac:dyDescent="0.25">
      <c r="A57" s="9"/>
      <c r="B57" s="154" t="s">
        <v>746</v>
      </c>
      <c r="C57" s="153">
        <f>COUNTIF('Arrêt RP3'!$D$18:$D$46,C53)</f>
        <v>1</v>
      </c>
      <c r="D57" s="153">
        <f>COUNTIF('Arrêt RP3'!$D$18:$D$46,D53)</f>
        <v>0</v>
      </c>
      <c r="E57" s="153">
        <f>COUNTIF('Arrêt RP3'!$D$18:$D$46,E53)</f>
        <v>0</v>
      </c>
      <c r="F57" s="153">
        <f>COUNTIF('Arrêt RP3'!$D$18:$D$46,F53)</f>
        <v>0</v>
      </c>
      <c r="G57" s="153">
        <f>COUNTIF('Arrêt RP3'!$D$18:$D$46,G53)</f>
        <v>1</v>
      </c>
      <c r="H57" s="16"/>
      <c r="I57" s="16"/>
    </row>
    <row r="58" spans="1:9" ht="18.75" customHeight="1" thickBot="1" x14ac:dyDescent="0.25">
      <c r="A58" s="9"/>
      <c r="C58" s="17"/>
      <c r="D58" s="17"/>
      <c r="E58" s="17"/>
      <c r="F58" s="17"/>
      <c r="G58" s="17"/>
      <c r="H58" s="17"/>
      <c r="I58" s="17"/>
    </row>
    <row r="59" spans="1:9" ht="43.5" customHeight="1" thickBot="1" x14ac:dyDescent="0.25">
      <c r="A59" s="9"/>
      <c r="B59" s="781" t="s">
        <v>74</v>
      </c>
      <c r="C59" s="43" t="s">
        <v>75</v>
      </c>
      <c r="D59" s="43" t="s">
        <v>93</v>
      </c>
      <c r="E59" s="43" t="s">
        <v>76</v>
      </c>
      <c r="F59" s="43" t="s">
        <v>94</v>
      </c>
      <c r="G59" s="43" t="s">
        <v>77</v>
      </c>
      <c r="H59" s="43" t="s">
        <v>91</v>
      </c>
    </row>
    <row r="60" spans="1:9" ht="43.5" customHeight="1" thickBot="1" x14ac:dyDescent="0.25">
      <c r="B60" s="781"/>
      <c r="C60" s="105">
        <f>+C50+D50+E50+F50+G50+H50+C56+D56+E56+F56+G56</f>
        <v>0.79583333333333328</v>
      </c>
      <c r="D60" s="105">
        <f>D62-D50-E50-F50-G50-H50+E62</f>
        <v>1</v>
      </c>
      <c r="E60" s="105">
        <f>D62+E62-C60</f>
        <v>0.20416666666666672</v>
      </c>
      <c r="F60" s="106">
        <f>+D60/D62</f>
        <v>1.0006949270326615</v>
      </c>
      <c r="G60" s="106">
        <f>E60/D60</f>
        <v>0.20416666666666672</v>
      </c>
      <c r="H60" s="107">
        <f>E60/D62</f>
        <v>0.20430854760250178</v>
      </c>
    </row>
    <row r="62" spans="1:9" ht="19.5" hidden="1" x14ac:dyDescent="0.2">
      <c r="D62" s="78">
        <v>0.99930555555555556</v>
      </c>
      <c r="E62" s="78">
        <v>6.9444444444444447E-4</v>
      </c>
    </row>
  </sheetData>
  <mergeCells count="47">
    <mergeCell ref="B59:B60"/>
    <mergeCell ref="H44:I44"/>
    <mergeCell ref="H45:I45"/>
    <mergeCell ref="H46:I46"/>
    <mergeCell ref="B48:B50"/>
    <mergeCell ref="B53:B56"/>
    <mergeCell ref="C54:C55"/>
    <mergeCell ref="D54:D55"/>
    <mergeCell ref="E54:E55"/>
    <mergeCell ref="F54:F55"/>
    <mergeCell ref="G54:G55"/>
    <mergeCell ref="H43:I43"/>
    <mergeCell ref="H32:I32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31:I31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19:I19"/>
    <mergeCell ref="C2:D3"/>
    <mergeCell ref="C4:D5"/>
    <mergeCell ref="F6:G6"/>
    <mergeCell ref="B9:C10"/>
    <mergeCell ref="E9:I9"/>
    <mergeCell ref="E10:I10"/>
    <mergeCell ref="B11:C11"/>
    <mergeCell ref="F11:H11"/>
    <mergeCell ref="B14:I15"/>
    <mergeCell ref="H17:I17"/>
    <mergeCell ref="H18:I18"/>
  </mergeCells>
  <dataValidations count="2">
    <dataValidation type="list" allowBlank="1" showInputMessage="1" showErrorMessage="1" sqref="H18:I46">
      <formula1>INDIRECT(D18)</formula1>
    </dataValidation>
    <dataValidation type="list" allowBlank="1" showInputMessage="1" showErrorMessage="1" sqref="C18:C46">
      <formula1>INDIRECT(B18)</formula1>
    </dataValidation>
  </dataValidations>
  <printOptions horizontalCentered="1" verticalCentered="1"/>
  <pageMargins left="0" right="0.19685039370078741" top="0" bottom="0" header="0" footer="0"/>
  <pageSetup paperSize="9" scale="38" orientation="portrait" horizontalDpi="180" verticalDpi="18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C53:G53 C48:H48 D18:D46</xm:sqref>
        </x14:dataValidation>
        <x14:dataValidation type="list" allowBlank="1" showInputMessage="1" showErrorMessage="1">
          <x14:formula1>
            <xm:f>organges!$B$1:$J$1</xm:f>
          </x14:formula1>
          <xm:sqref>B18:B46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R64"/>
  <sheetViews>
    <sheetView showGridLines="0" view="pageBreakPreview" topLeftCell="A58" zoomScale="85" zoomScaleNormal="40" zoomScaleSheetLayoutView="85" workbookViewId="0">
      <selection activeCell="F25" sqref="F25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391">
        <v>0.37083333333333335</v>
      </c>
    </row>
    <row r="2" spans="1:18" ht="34.5" customHeight="1" thickBot="1" x14ac:dyDescent="0.3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1"/>
      <c r="D3" s="571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2"/>
      <c r="D5" s="572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3"/>
      <c r="G6" s="574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89"/>
      <c r="C9" s="590"/>
      <c r="D9" s="38" t="s">
        <v>0</v>
      </c>
      <c r="E9" s="773" t="s">
        <v>101</v>
      </c>
      <c r="F9" s="774"/>
      <c r="G9" s="774"/>
      <c r="H9" s="774"/>
      <c r="I9" s="775"/>
    </row>
    <row r="10" spans="1:18" ht="38.25" customHeight="1" thickBot="1" x14ac:dyDescent="0.25">
      <c r="A10" s="5"/>
      <c r="B10" s="591"/>
      <c r="C10" s="592"/>
      <c r="D10" s="38" t="s">
        <v>8</v>
      </c>
      <c r="E10" s="778" t="s">
        <v>100</v>
      </c>
      <c r="F10" s="779"/>
      <c r="G10" s="779"/>
      <c r="H10" s="779"/>
      <c r="I10" s="780"/>
      <c r="R10" s="4" t="s">
        <v>806</v>
      </c>
    </row>
    <row r="11" spans="1:18" ht="45" customHeight="1" thickBot="1" x14ac:dyDescent="0.25">
      <c r="A11" s="5"/>
      <c r="B11" s="776" t="s">
        <v>99</v>
      </c>
      <c r="C11" s="777"/>
      <c r="D11" s="38" t="s">
        <v>9</v>
      </c>
      <c r="E11" s="500">
        <v>5</v>
      </c>
      <c r="F11" s="778" t="s">
        <v>125</v>
      </c>
      <c r="G11" s="779"/>
      <c r="H11" s="780"/>
      <c r="I11" s="37">
        <v>45000</v>
      </c>
    </row>
    <row r="12" spans="1:18" ht="26.25" customHeight="1" x14ac:dyDescent="0.45">
      <c r="A12" s="5"/>
      <c r="B12" s="32" t="s">
        <v>530</v>
      </c>
      <c r="C12" s="30"/>
      <c r="D12" s="31"/>
    </row>
    <row r="13" spans="1:18" ht="5.25" customHeight="1" x14ac:dyDescent="0.2"/>
    <row r="14" spans="1:18" ht="24" customHeight="1" x14ac:dyDescent="0.2">
      <c r="B14" s="772" t="s">
        <v>90</v>
      </c>
      <c r="C14" s="772"/>
      <c r="D14" s="772"/>
      <c r="E14" s="772"/>
      <c r="F14" s="772"/>
      <c r="G14" s="772"/>
      <c r="H14" s="772"/>
      <c r="I14" s="772"/>
    </row>
    <row r="15" spans="1:18" ht="21" customHeight="1" x14ac:dyDescent="0.2">
      <c r="A15" s="6"/>
      <c r="B15" s="772"/>
      <c r="C15" s="772"/>
      <c r="D15" s="772"/>
      <c r="E15" s="772"/>
      <c r="F15" s="772"/>
      <c r="G15" s="772"/>
      <c r="H15" s="772"/>
      <c r="I15" s="772"/>
    </row>
    <row r="16" spans="1:18" ht="33.75" customHeight="1" thickBot="1" x14ac:dyDescent="0.5">
      <c r="A16" s="7"/>
      <c r="B16" s="167" t="s">
        <v>527</v>
      </c>
      <c r="E16" s="36"/>
      <c r="H16" s="35" t="s">
        <v>44</v>
      </c>
      <c r="I16" s="55">
        <f>'Arrêt RP3'!I16</f>
        <v>45038</v>
      </c>
    </row>
    <row r="17" spans="1:11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18" t="s">
        <v>61</v>
      </c>
      <c r="I17" s="618"/>
    </row>
    <row r="18" spans="1:11" ht="36.75" customHeight="1" x14ac:dyDescent="0.2">
      <c r="A18" s="9"/>
      <c r="B18" s="150"/>
      <c r="C18" s="145"/>
      <c r="D18" s="145" t="s">
        <v>720</v>
      </c>
      <c r="E18" s="146">
        <v>0</v>
      </c>
      <c r="F18" s="146">
        <v>3.3333333333333333E-2</v>
      </c>
      <c r="G18" s="147">
        <f t="shared" ref="G18:G28" si="0">IF(AND(F18-E18&gt;0),F18-E18,"")</f>
        <v>3.3333333333333333E-2</v>
      </c>
      <c r="H18" s="771" t="s">
        <v>159</v>
      </c>
      <c r="I18" s="786"/>
    </row>
    <row r="19" spans="1:11" ht="36.75" customHeight="1" x14ac:dyDescent="0.2">
      <c r="A19" s="9"/>
      <c r="B19" s="150"/>
      <c r="C19" s="145"/>
      <c r="D19" s="145" t="s">
        <v>712</v>
      </c>
      <c r="E19" s="146">
        <v>3.3333333333333333E-2</v>
      </c>
      <c r="F19" s="146">
        <v>4.5833333333333337E-2</v>
      </c>
      <c r="G19" s="147">
        <f t="shared" si="0"/>
        <v>1.2500000000000004E-2</v>
      </c>
      <c r="H19" s="771" t="s">
        <v>234</v>
      </c>
      <c r="I19" s="786"/>
    </row>
    <row r="20" spans="1:11" ht="36.75" customHeight="1" x14ac:dyDescent="0.2">
      <c r="A20" s="9"/>
      <c r="B20" s="150" t="s">
        <v>729</v>
      </c>
      <c r="C20" s="145"/>
      <c r="D20" s="145" t="s">
        <v>718</v>
      </c>
      <c r="E20" s="146">
        <v>5.4166666666666669E-2</v>
      </c>
      <c r="F20" s="146">
        <v>0.3</v>
      </c>
      <c r="G20" s="147">
        <f t="shared" si="0"/>
        <v>0.24583333333333332</v>
      </c>
      <c r="H20" s="771" t="s">
        <v>170</v>
      </c>
      <c r="I20" s="786"/>
    </row>
    <row r="21" spans="1:11" ht="36.75" customHeight="1" x14ac:dyDescent="0.2">
      <c r="A21" s="9"/>
      <c r="B21" s="150" t="s">
        <v>729</v>
      </c>
      <c r="C21" s="145" t="s">
        <v>741</v>
      </c>
      <c r="D21" s="145" t="s">
        <v>718</v>
      </c>
      <c r="E21" s="146">
        <v>0.39583333333333331</v>
      </c>
      <c r="F21" s="146">
        <v>0.40416666666666662</v>
      </c>
      <c r="G21" s="147">
        <f>IF(AND(F21-E21&gt;0),F21-E21,"")</f>
        <v>8.3333333333333037E-3</v>
      </c>
      <c r="H21" s="771" t="s">
        <v>198</v>
      </c>
      <c r="I21" s="786"/>
      <c r="J21" s="145"/>
      <c r="K21" s="4" t="s">
        <v>709</v>
      </c>
    </row>
    <row r="22" spans="1:11" ht="36.75" customHeight="1" x14ac:dyDescent="0.2">
      <c r="A22" s="9"/>
      <c r="B22" s="150"/>
      <c r="C22" s="145"/>
      <c r="D22" s="145" t="s">
        <v>718</v>
      </c>
      <c r="E22" s="146">
        <v>0.66249999999999998</v>
      </c>
      <c r="F22" s="146">
        <v>0.66666666666666663</v>
      </c>
      <c r="G22" s="147">
        <f>IF(AND(F22-E22&gt;0),F22-E22,"")</f>
        <v>4.1666666666666519E-3</v>
      </c>
      <c r="H22" s="771" t="s">
        <v>198</v>
      </c>
      <c r="I22" s="786"/>
    </row>
    <row r="23" spans="1:11" ht="36.75" customHeight="1" x14ac:dyDescent="0.2">
      <c r="A23" s="9"/>
      <c r="B23" s="150"/>
      <c r="C23" s="145"/>
      <c r="D23" s="145" t="s">
        <v>718</v>
      </c>
      <c r="E23" s="146">
        <v>0.78749999999999998</v>
      </c>
      <c r="F23" s="146">
        <v>0.79166666666666663</v>
      </c>
      <c r="G23" s="147">
        <f>IF(AND(F23-E23&gt;0),F23-E23,"")</f>
        <v>4.1666666666666519E-3</v>
      </c>
      <c r="H23" s="771" t="s">
        <v>198</v>
      </c>
      <c r="I23" s="786"/>
    </row>
    <row r="24" spans="1:11" ht="36.75" customHeight="1" x14ac:dyDescent="0.2">
      <c r="A24" s="9"/>
      <c r="B24" s="150"/>
      <c r="C24" s="145"/>
      <c r="D24" s="145" t="s">
        <v>720</v>
      </c>
      <c r="E24" s="146">
        <v>0.8125</v>
      </c>
      <c r="F24" s="146">
        <v>1</v>
      </c>
      <c r="G24" s="147">
        <f t="shared" ref="G24" si="1">IF(AND(F24-E24&gt;0),F24-E24,"")</f>
        <v>0.1875</v>
      </c>
      <c r="H24" s="771" t="s">
        <v>159</v>
      </c>
      <c r="I24" s="786"/>
    </row>
    <row r="25" spans="1:11" ht="36.75" customHeight="1" x14ac:dyDescent="0.2">
      <c r="A25" s="9"/>
      <c r="B25" s="150"/>
      <c r="C25" s="145"/>
      <c r="D25" s="145"/>
      <c r="E25" s="146"/>
      <c r="F25" s="146"/>
      <c r="G25" s="147" t="str">
        <f t="shared" ref="G25" si="2">IF(AND(F25-E25&gt;0),F25-E25,"")</f>
        <v/>
      </c>
      <c r="H25" s="771"/>
      <c r="I25" s="786"/>
    </row>
    <row r="26" spans="1:11" ht="36.75" customHeight="1" x14ac:dyDescent="0.2">
      <c r="A26" s="9"/>
      <c r="B26" s="150"/>
      <c r="C26" s="145"/>
      <c r="D26" s="145"/>
      <c r="E26" s="146"/>
      <c r="F26" s="146"/>
      <c r="G26" s="147" t="str">
        <f t="shared" si="0"/>
        <v/>
      </c>
      <c r="H26" s="771"/>
      <c r="I26" s="786"/>
    </row>
    <row r="27" spans="1:11" ht="36.75" customHeight="1" x14ac:dyDescent="0.2">
      <c r="A27" s="9"/>
      <c r="B27" s="150"/>
      <c r="C27" s="145"/>
      <c r="D27" s="145"/>
      <c r="E27" s="146"/>
      <c r="F27" s="146"/>
      <c r="G27" s="147" t="str">
        <f t="shared" si="0"/>
        <v/>
      </c>
      <c r="H27" s="771"/>
      <c r="I27" s="786"/>
    </row>
    <row r="28" spans="1:11" ht="36.75" customHeight="1" x14ac:dyDescent="0.2">
      <c r="A28" s="9"/>
      <c r="B28" s="150"/>
      <c r="C28" s="145"/>
      <c r="D28" s="145"/>
      <c r="E28" s="146"/>
      <c r="F28" s="146"/>
      <c r="G28" s="147" t="str">
        <f t="shared" si="0"/>
        <v/>
      </c>
      <c r="H28" s="771"/>
      <c r="I28" s="786"/>
    </row>
    <row r="29" spans="1:11" ht="36.75" customHeight="1" x14ac:dyDescent="0.2">
      <c r="A29" s="9"/>
      <c r="B29" s="150"/>
      <c r="C29" s="145"/>
      <c r="D29" s="145"/>
      <c r="E29" s="146"/>
      <c r="F29" s="146"/>
      <c r="G29" s="147" t="str">
        <f t="shared" ref="G29:G31" si="3">IF(AND(F29-E29&gt;0),F29-E29,"")</f>
        <v/>
      </c>
      <c r="H29" s="771"/>
      <c r="I29" s="786"/>
    </row>
    <row r="30" spans="1:11" ht="36.75" customHeight="1" x14ac:dyDescent="0.2">
      <c r="A30" s="9"/>
      <c r="B30" s="150"/>
      <c r="C30" s="145"/>
      <c r="D30" s="145"/>
      <c r="E30" s="146"/>
      <c r="F30" s="146"/>
      <c r="G30" s="147" t="str">
        <f t="shared" ref="G30" si="4">IF(AND(F30-E30&gt;0),F30-E30,"")</f>
        <v/>
      </c>
      <c r="H30" s="771"/>
      <c r="I30" s="786"/>
    </row>
    <row r="31" spans="1:11" ht="36.75" customHeight="1" x14ac:dyDescent="0.2">
      <c r="A31" s="9"/>
      <c r="B31" s="150"/>
      <c r="C31" s="145"/>
      <c r="D31" s="145"/>
      <c r="E31" s="146"/>
      <c r="F31" s="146"/>
      <c r="G31" s="147" t="str">
        <f t="shared" si="3"/>
        <v/>
      </c>
      <c r="H31" s="771"/>
      <c r="I31" s="771"/>
    </row>
    <row r="32" spans="1:11" ht="36.75" customHeight="1" x14ac:dyDescent="0.2">
      <c r="A32" s="9"/>
      <c r="B32" s="150"/>
      <c r="C32" s="145"/>
      <c r="D32" s="145"/>
      <c r="E32" s="146"/>
      <c r="F32" s="146"/>
      <c r="G32" s="147" t="str">
        <f t="shared" ref="G32:G42" si="5">IF(AND(F32-E32&gt;0),F32-E32,"")</f>
        <v/>
      </c>
      <c r="H32" s="771"/>
      <c r="I32" s="771"/>
    </row>
    <row r="33" spans="1:9" ht="36.75" customHeight="1" x14ac:dyDescent="0.2">
      <c r="A33" s="9"/>
      <c r="B33" s="150"/>
      <c r="C33" s="145"/>
      <c r="D33" s="145"/>
      <c r="E33" s="146"/>
      <c r="F33" s="146"/>
      <c r="G33" s="147" t="str">
        <f t="shared" si="5"/>
        <v/>
      </c>
      <c r="H33" s="771"/>
      <c r="I33" s="771"/>
    </row>
    <row r="34" spans="1:9" ht="36.75" customHeight="1" x14ac:dyDescent="0.2">
      <c r="A34" s="9"/>
      <c r="B34" s="150"/>
      <c r="C34" s="145"/>
      <c r="D34" s="145"/>
      <c r="E34" s="146"/>
      <c r="F34" s="146"/>
      <c r="G34" s="147" t="str">
        <f t="shared" si="5"/>
        <v/>
      </c>
      <c r="H34" s="771"/>
      <c r="I34" s="771"/>
    </row>
    <row r="35" spans="1:9" ht="36.75" customHeight="1" x14ac:dyDescent="0.2">
      <c r="A35" s="9"/>
      <c r="B35" s="150"/>
      <c r="C35" s="145"/>
      <c r="D35" s="145"/>
      <c r="E35" s="146"/>
      <c r="F35" s="146"/>
      <c r="G35" s="147" t="str">
        <f t="shared" si="5"/>
        <v/>
      </c>
      <c r="H35" s="771"/>
      <c r="I35" s="771"/>
    </row>
    <row r="36" spans="1:9" ht="36.75" customHeight="1" x14ac:dyDescent="0.2">
      <c r="A36" s="9"/>
      <c r="B36" s="150"/>
      <c r="C36" s="145"/>
      <c r="D36" s="145"/>
      <c r="E36" s="146"/>
      <c r="F36" s="146"/>
      <c r="G36" s="147" t="str">
        <f t="shared" si="5"/>
        <v/>
      </c>
      <c r="H36" s="771"/>
      <c r="I36" s="771"/>
    </row>
    <row r="37" spans="1:9" ht="36.75" customHeight="1" x14ac:dyDescent="0.2">
      <c r="A37" s="9"/>
      <c r="B37" s="150"/>
      <c r="C37" s="145"/>
      <c r="D37" s="145"/>
      <c r="E37" s="146"/>
      <c r="F37" s="146"/>
      <c r="G37" s="147" t="str">
        <f t="shared" si="5"/>
        <v/>
      </c>
      <c r="H37" s="771"/>
      <c r="I37" s="771"/>
    </row>
    <row r="38" spans="1:9" ht="36.75" customHeight="1" x14ac:dyDescent="0.2">
      <c r="A38" s="9"/>
      <c r="B38" s="150"/>
      <c r="C38" s="145"/>
      <c r="D38" s="145"/>
      <c r="E38" s="146"/>
      <c r="F38" s="146"/>
      <c r="G38" s="147" t="str">
        <f t="shared" si="5"/>
        <v/>
      </c>
      <c r="H38" s="771"/>
      <c r="I38" s="771"/>
    </row>
    <row r="39" spans="1:9" ht="36.75" customHeight="1" x14ac:dyDescent="0.2">
      <c r="A39" s="9"/>
      <c r="B39" s="150"/>
      <c r="C39" s="145"/>
      <c r="D39" s="145"/>
      <c r="E39" s="146"/>
      <c r="F39" s="146"/>
      <c r="G39" s="147" t="str">
        <f t="shared" si="5"/>
        <v/>
      </c>
      <c r="H39" s="771"/>
      <c r="I39" s="771"/>
    </row>
    <row r="40" spans="1:9" ht="36.75" customHeight="1" x14ac:dyDescent="0.2">
      <c r="A40" s="9"/>
      <c r="B40" s="150"/>
      <c r="C40" s="145"/>
      <c r="D40" s="145"/>
      <c r="E40" s="146"/>
      <c r="F40" s="146"/>
      <c r="G40" s="147" t="str">
        <f t="shared" si="5"/>
        <v/>
      </c>
      <c r="H40" s="771"/>
      <c r="I40" s="771"/>
    </row>
    <row r="41" spans="1:9" ht="36.75" customHeight="1" x14ac:dyDescent="0.2">
      <c r="A41" s="9"/>
      <c r="B41" s="150"/>
      <c r="C41" s="145"/>
      <c r="D41" s="145"/>
      <c r="E41" s="146"/>
      <c r="F41" s="146"/>
      <c r="G41" s="147" t="str">
        <f t="shared" si="5"/>
        <v/>
      </c>
      <c r="H41" s="771"/>
      <c r="I41" s="771"/>
    </row>
    <row r="42" spans="1:9" ht="36.75" customHeight="1" x14ac:dyDescent="0.2">
      <c r="A42" s="9"/>
      <c r="B42" s="150"/>
      <c r="C42" s="145"/>
      <c r="D42" s="145"/>
      <c r="E42" s="146"/>
      <c r="F42" s="146"/>
      <c r="G42" s="147" t="str">
        <f t="shared" si="5"/>
        <v/>
      </c>
      <c r="H42" s="771"/>
      <c r="I42" s="771"/>
    </row>
    <row r="43" spans="1:9" ht="36.75" customHeight="1" x14ac:dyDescent="0.2">
      <c r="A43" s="9"/>
      <c r="B43" s="150"/>
      <c r="C43" s="145"/>
      <c r="D43" s="145"/>
      <c r="E43" s="146"/>
      <c r="F43" s="146"/>
      <c r="G43" s="147" t="str">
        <f t="shared" ref="G43:G47" si="6">IF(AND(F43-E43&gt;0),F43-E43,"")</f>
        <v/>
      </c>
      <c r="H43" s="771"/>
      <c r="I43" s="771"/>
    </row>
    <row r="44" spans="1:9" ht="36.75" customHeight="1" x14ac:dyDescent="0.2">
      <c r="A44" s="9"/>
      <c r="B44" s="150"/>
      <c r="C44" s="145"/>
      <c r="D44" s="145"/>
      <c r="E44" s="146"/>
      <c r="F44" s="146"/>
      <c r="G44" s="147" t="str">
        <f t="shared" si="6"/>
        <v/>
      </c>
      <c r="H44" s="771"/>
      <c r="I44" s="771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6"/>
        <v/>
      </c>
      <c r="H45" s="771"/>
      <c r="I45" s="771"/>
    </row>
    <row r="46" spans="1:9" ht="36.75" customHeight="1" x14ac:dyDescent="0.2">
      <c r="A46" s="9"/>
      <c r="B46" s="150"/>
      <c r="C46" s="145"/>
      <c r="D46" s="145"/>
      <c r="E46" s="146"/>
      <c r="F46" s="146"/>
      <c r="G46" s="147" t="str">
        <f t="shared" si="6"/>
        <v/>
      </c>
      <c r="H46" s="771"/>
      <c r="I46" s="771"/>
    </row>
    <row r="47" spans="1:9" ht="36.75" customHeight="1" thickBot="1" x14ac:dyDescent="0.25">
      <c r="A47" s="9"/>
      <c r="B47" s="151"/>
      <c r="C47" s="148"/>
      <c r="D47" s="148"/>
      <c r="E47" s="149"/>
      <c r="F47" s="149"/>
      <c r="G47" s="356" t="str">
        <f t="shared" si="6"/>
        <v/>
      </c>
      <c r="H47" s="788"/>
      <c r="I47" s="788"/>
    </row>
    <row r="48" spans="1:9" ht="17.25" customHeight="1" thickBot="1" x14ac:dyDescent="0.25"/>
    <row r="49" spans="1:9" ht="30.4" customHeight="1" thickBot="1" x14ac:dyDescent="0.25">
      <c r="A49" s="58"/>
      <c r="B49" s="783" t="s">
        <v>62</v>
      </c>
      <c r="C49" s="110" t="s">
        <v>712</v>
      </c>
      <c r="D49" s="110" t="s">
        <v>714</v>
      </c>
      <c r="E49" s="110" t="s">
        <v>713</v>
      </c>
      <c r="F49" s="110" t="s">
        <v>715</v>
      </c>
      <c r="G49" s="110" t="s">
        <v>716</v>
      </c>
      <c r="H49" s="110" t="s">
        <v>717</v>
      </c>
    </row>
    <row r="50" spans="1:9" ht="78" customHeight="1" thickBot="1" x14ac:dyDescent="0.25">
      <c r="A50" s="11"/>
      <c r="B50" s="783"/>
      <c r="C50" s="43" t="s">
        <v>63</v>
      </c>
      <c r="D50" s="43" t="s">
        <v>64</v>
      </c>
      <c r="E50" s="43" t="s">
        <v>65</v>
      </c>
      <c r="F50" s="43" t="s">
        <v>66</v>
      </c>
      <c r="G50" s="43" t="s">
        <v>67</v>
      </c>
      <c r="H50" s="43" t="s">
        <v>68</v>
      </c>
    </row>
    <row r="51" spans="1:9" ht="26.1" customHeight="1" thickBot="1" x14ac:dyDescent="0.25">
      <c r="A51" s="11"/>
      <c r="B51" s="783"/>
      <c r="C51" s="104">
        <f>SUMIFS('Arrêt RP5'!$G$18:$G$47,'Arrêt RP5'!$D$18:$D$47,C49)</f>
        <v>1.2500000000000004E-2</v>
      </c>
      <c r="D51" s="104">
        <f>SUMIFS('Arrêt RP5'!$G$18:$G$47,'Arrêt RP5'!$D$18:$D$47,D49)</f>
        <v>0</v>
      </c>
      <c r="E51" s="104">
        <f>SUMIFS('Arrêt RP5'!$G$18:$G$47,'Arrêt RP5'!$D$18:$D$47,E49)</f>
        <v>0</v>
      </c>
      <c r="F51" s="104">
        <f>SUMIFS('Arrêt RP5'!$G$18:$G$47,'Arrêt RP5'!$D$18:$D$47,F49)</f>
        <v>0</v>
      </c>
      <c r="G51" s="104">
        <f>SUMIFS('Arrêt RP5'!$G$18:$G$47,'Arrêt RP5'!$D$18:$D$47,G49)</f>
        <v>0</v>
      </c>
      <c r="H51" s="104">
        <f>SUMIFS('Arrêt RP5'!$G$18:$G$47,'Arrêt RP5'!$D$18:$D$47,H49)</f>
        <v>0</v>
      </c>
    </row>
    <row r="52" spans="1:9" ht="26.1" customHeight="1" thickBot="1" x14ac:dyDescent="0.25">
      <c r="A52" s="11"/>
      <c r="B52" s="154" t="s">
        <v>746</v>
      </c>
      <c r="C52" s="153">
        <f>COUNTIF('Arrêt RP5'!$D$18:$D$47,C49)</f>
        <v>1</v>
      </c>
      <c r="D52" s="153">
        <f>COUNTIF('Arrêt RP5'!$D$18:$D$47,D49)</f>
        <v>0</v>
      </c>
      <c r="E52" s="153">
        <f>COUNTIF('Arrêt RP5'!$D$18:$D$47,E49)</f>
        <v>0</v>
      </c>
      <c r="F52" s="153">
        <f>COUNTIF('Arrêt RP5'!$D$18:$D$47,F49)</f>
        <v>0</v>
      </c>
      <c r="G52" s="153">
        <f>COUNTIF('Arrêt RP5'!$D$18:$D$47,G49)</f>
        <v>0</v>
      </c>
      <c r="H52" s="153">
        <f>COUNTIF('Arrêt RP5'!$D$18:$D$47,H49)</f>
        <v>0</v>
      </c>
    </row>
    <row r="53" spans="1:9" ht="23.25" customHeight="1" thickBot="1" x14ac:dyDescent="0.25">
      <c r="A53" s="11"/>
      <c r="B53" s="12"/>
    </row>
    <row r="54" spans="1:9" ht="30" customHeight="1" thickBot="1" x14ac:dyDescent="0.25">
      <c r="A54" s="11"/>
      <c r="B54" s="782" t="s">
        <v>69</v>
      </c>
      <c r="C54" s="110" t="s">
        <v>718</v>
      </c>
      <c r="D54" s="110" t="s">
        <v>723</v>
      </c>
      <c r="E54" s="110" t="s">
        <v>722</v>
      </c>
      <c r="F54" s="110" t="s">
        <v>721</v>
      </c>
      <c r="G54" s="110" t="s">
        <v>720</v>
      </c>
      <c r="H54" s="13"/>
      <c r="I54" s="13"/>
    </row>
    <row r="55" spans="1:9" ht="43.5" customHeight="1" thickBot="1" x14ac:dyDescent="0.25">
      <c r="A55" s="11"/>
      <c r="B55" s="782"/>
      <c r="C55" s="784" t="s">
        <v>70</v>
      </c>
      <c r="D55" s="784" t="s">
        <v>71</v>
      </c>
      <c r="E55" s="784" t="s">
        <v>72</v>
      </c>
      <c r="F55" s="784" t="s">
        <v>73</v>
      </c>
      <c r="G55" s="784" t="s">
        <v>710</v>
      </c>
      <c r="H55" s="14"/>
      <c r="I55" s="14"/>
    </row>
    <row r="56" spans="1:9" ht="43.5" customHeight="1" thickBot="1" x14ac:dyDescent="0.25">
      <c r="A56" s="11"/>
      <c r="B56" s="782"/>
      <c r="C56" s="784"/>
      <c r="D56" s="784"/>
      <c r="E56" s="784"/>
      <c r="F56" s="784"/>
      <c r="G56" s="784"/>
      <c r="H56" s="15"/>
      <c r="I56" s="15"/>
    </row>
    <row r="57" spans="1:9" ht="26.1" customHeight="1" thickBot="1" x14ac:dyDescent="0.25">
      <c r="A57" s="9"/>
      <c r="B57" s="782"/>
      <c r="C57" s="104">
        <f>SUMIFS('Arrêt RP5'!$G$18:$G$47,'Arrêt RP5'!$D$18:$D$47,C54)</f>
        <v>0.26249999999999996</v>
      </c>
      <c r="D57" s="104">
        <f>SUMIFS('Arrêt RP5'!$G$18:$G$47,'Arrêt RP5'!$D$18:$D$47,D54)</f>
        <v>0</v>
      </c>
      <c r="E57" s="104">
        <f>SUMIFS('Arrêt RP5'!$G$18:$G$47,'Arrêt RP5'!$D$18:$D$47,E54)</f>
        <v>0</v>
      </c>
      <c r="F57" s="104">
        <f>SUMIFS('Arrêt RP5'!$G$18:$G$47,'Arrêt RP5'!$D$18:$D$47,F54)</f>
        <v>0</v>
      </c>
      <c r="G57" s="104">
        <f>SUMIFS('Arrêt RP5'!$G$18:$G$47,'Arrêt RP5'!$D$18:$D$47,G54)</f>
        <v>0.22083333333333333</v>
      </c>
      <c r="H57" s="16"/>
      <c r="I57" s="16"/>
    </row>
    <row r="58" spans="1:9" ht="26.1" customHeight="1" thickBot="1" x14ac:dyDescent="0.25">
      <c r="A58" s="9"/>
      <c r="B58" s="154" t="s">
        <v>746</v>
      </c>
      <c r="C58" s="153">
        <f>COUNTIF('Arrêt RP5'!$D$18:$D$47,C54)</f>
        <v>4</v>
      </c>
      <c r="D58" s="153">
        <f>COUNTIF('Arrêt RP5'!$D$18:$D$47,D54)</f>
        <v>0</v>
      </c>
      <c r="E58" s="153">
        <f>COUNTIF('Arrêt RP5'!$D$18:$D$47,E54)</f>
        <v>0</v>
      </c>
      <c r="F58" s="153">
        <f>COUNTIF('Arrêt RP5'!$D$18:$D$47,F54)</f>
        <v>0</v>
      </c>
      <c r="G58" s="153">
        <f>COUNTIF('Arrêt RP5'!$D$18:$D$47,G54)</f>
        <v>2</v>
      </c>
      <c r="H58" s="16"/>
      <c r="I58" s="16"/>
    </row>
    <row r="59" spans="1:9" ht="18.75" customHeight="1" thickBot="1" x14ac:dyDescent="0.25">
      <c r="A59" s="9"/>
      <c r="C59" s="17"/>
      <c r="D59" s="17"/>
      <c r="E59" s="17"/>
      <c r="F59" s="17"/>
      <c r="G59" s="17"/>
      <c r="H59" s="17"/>
      <c r="I59" s="17"/>
    </row>
    <row r="60" spans="1:9" ht="43.5" customHeight="1" thickBot="1" x14ac:dyDescent="0.25">
      <c r="A60" s="9"/>
      <c r="B60" s="781" t="s">
        <v>74</v>
      </c>
      <c r="C60" s="43" t="s">
        <v>75</v>
      </c>
      <c r="D60" s="43" t="s">
        <v>93</v>
      </c>
      <c r="E60" s="43" t="s">
        <v>76</v>
      </c>
      <c r="F60" s="43" t="s">
        <v>94</v>
      </c>
      <c r="G60" s="43" t="s">
        <v>77</v>
      </c>
      <c r="H60" s="43" t="s">
        <v>91</v>
      </c>
    </row>
    <row r="61" spans="1:9" ht="43.5" customHeight="1" thickBot="1" x14ac:dyDescent="0.25">
      <c r="B61" s="781"/>
      <c r="C61" s="105">
        <f>+C51+D51+E51+F51+G51+H51+C57+D57+E57+F57+G57</f>
        <v>0.49583333333333329</v>
      </c>
      <c r="D61" s="105">
        <f>D63-D51-E51-F51-G51-H51+E63</f>
        <v>1</v>
      </c>
      <c r="E61" s="105">
        <f>D63+E63-C61</f>
        <v>0.50416666666666665</v>
      </c>
      <c r="F61" s="106">
        <f>+D61/D63</f>
        <v>1.0006949270326615</v>
      </c>
      <c r="G61" s="106">
        <f>E61/D61</f>
        <v>0.50416666666666665</v>
      </c>
      <c r="H61" s="107">
        <f>E61/D63</f>
        <v>0.50451702571230017</v>
      </c>
    </row>
    <row r="62" spans="1:9" x14ac:dyDescent="0.2">
      <c r="C62" s="4" t="s">
        <v>691</v>
      </c>
    </row>
    <row r="63" spans="1:9" ht="19.5" hidden="1" x14ac:dyDescent="0.2">
      <c r="D63" s="78">
        <v>0.99930555555555556</v>
      </c>
      <c r="E63" s="78">
        <v>6.9444444444444447E-4</v>
      </c>
    </row>
    <row r="64" spans="1:9" ht="19.5" hidden="1" x14ac:dyDescent="0.2">
      <c r="D64" s="78"/>
      <c r="E64" s="78"/>
    </row>
  </sheetData>
  <mergeCells count="48">
    <mergeCell ref="B60:B61"/>
    <mergeCell ref="H45:I45"/>
    <mergeCell ref="H46:I46"/>
    <mergeCell ref="H47:I47"/>
    <mergeCell ref="B49:B51"/>
    <mergeCell ref="B54:B57"/>
    <mergeCell ref="C55:C56"/>
    <mergeCell ref="D55:D56"/>
    <mergeCell ref="E55:E56"/>
    <mergeCell ref="F55:F56"/>
    <mergeCell ref="G55:G56"/>
    <mergeCell ref="H44:I44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43:I43"/>
    <mergeCell ref="H32:I32"/>
    <mergeCell ref="H20:I20"/>
    <mergeCell ref="H21:I21"/>
    <mergeCell ref="H22:I22"/>
    <mergeCell ref="H24:I24"/>
    <mergeCell ref="H26:I26"/>
    <mergeCell ref="H27:I27"/>
    <mergeCell ref="H28:I28"/>
    <mergeCell ref="H29:I29"/>
    <mergeCell ref="H30:I30"/>
    <mergeCell ref="H31:I31"/>
    <mergeCell ref="H25:I25"/>
    <mergeCell ref="H23:I23"/>
    <mergeCell ref="B11:C11"/>
    <mergeCell ref="F11:H11"/>
    <mergeCell ref="B14:I15"/>
    <mergeCell ref="H17:I17"/>
    <mergeCell ref="H19:I19"/>
    <mergeCell ref="H18:I18"/>
    <mergeCell ref="C2:D3"/>
    <mergeCell ref="C4:D5"/>
    <mergeCell ref="F6:G6"/>
    <mergeCell ref="B9:C10"/>
    <mergeCell ref="E9:I9"/>
    <mergeCell ref="E10:I10"/>
  </mergeCells>
  <dataValidations count="3">
    <dataValidation type="list" allowBlank="1" showInputMessage="1" showErrorMessage="1" sqref="C18:C47">
      <formula1>INDIRECT(B18)</formula1>
    </dataValidation>
    <dataValidation type="list" allowBlank="1" showInputMessage="1" showErrorMessage="1" sqref="H32:I47 H18:I30">
      <formula1>INDIRECT(D18)</formula1>
    </dataValidation>
    <dataValidation type="list" allowBlank="1" showInputMessage="1" showErrorMessage="1" sqref="H31:I31">
      <formula1>INDIRECT(D30)</formula1>
    </dataValidation>
  </dataValidations>
  <printOptions horizontalCentered="1" verticalCentered="1"/>
  <pageMargins left="0" right="0.19685039370078741" top="0" bottom="0" header="0" footer="0"/>
  <pageSetup paperSize="9" scale="37" orientation="portrait" horizontalDpi="180" verticalDpi="18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C54:G54 C49:H49 J21 D18:D47</xm:sqref>
        </x14:dataValidation>
        <x14:dataValidation type="list" allowBlank="1" showInputMessage="1" showErrorMessage="1">
          <x14:formula1>
            <xm:f>organges!$B$1:$J$1</xm:f>
          </x14:formula1>
          <xm:sqref>B18:B47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pageSetUpPr fitToPage="1"/>
  </sheetPr>
  <dimension ref="A1:R62"/>
  <sheetViews>
    <sheetView showGridLines="0" view="pageBreakPreview" topLeftCell="A4" zoomScale="85" zoomScaleNormal="55" zoomScaleSheetLayoutView="85" workbookViewId="0">
      <selection activeCell="D18" sqref="D18:I20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5"/>
    </row>
    <row r="2" spans="1:18" ht="34.5" customHeight="1" thickBot="1" x14ac:dyDescent="0.3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1"/>
      <c r="D3" s="571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2"/>
      <c r="D5" s="572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3"/>
      <c r="G6" s="574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89"/>
      <c r="C9" s="590"/>
      <c r="D9" s="38" t="s">
        <v>0</v>
      </c>
      <c r="E9" s="773" t="s">
        <v>101</v>
      </c>
      <c r="F9" s="774"/>
      <c r="G9" s="774"/>
      <c r="H9" s="774"/>
      <c r="I9" s="775"/>
    </row>
    <row r="10" spans="1:18" ht="38.25" customHeight="1" thickBot="1" x14ac:dyDescent="0.25">
      <c r="A10" s="5"/>
      <c r="B10" s="591"/>
      <c r="C10" s="592"/>
      <c r="D10" s="38" t="s">
        <v>8</v>
      </c>
      <c r="E10" s="778" t="s">
        <v>100</v>
      </c>
      <c r="F10" s="779"/>
      <c r="G10" s="779"/>
      <c r="H10" s="779"/>
      <c r="I10" s="780"/>
      <c r="R10" s="4" t="s">
        <v>806</v>
      </c>
    </row>
    <row r="11" spans="1:18" ht="45" customHeight="1" thickBot="1" x14ac:dyDescent="0.25">
      <c r="A11" s="5"/>
      <c r="B11" s="776" t="s">
        <v>99</v>
      </c>
      <c r="C11" s="777"/>
      <c r="D11" s="38" t="s">
        <v>9</v>
      </c>
      <c r="E11" s="500">
        <v>5</v>
      </c>
      <c r="F11" s="778" t="s">
        <v>125</v>
      </c>
      <c r="G11" s="779"/>
      <c r="H11" s="780"/>
      <c r="I11" s="37">
        <v>45000</v>
      </c>
    </row>
    <row r="12" spans="1:18" ht="26.25" customHeight="1" x14ac:dyDescent="0.45">
      <c r="A12" s="5"/>
      <c r="B12" s="32" t="s">
        <v>530</v>
      </c>
      <c r="C12" s="30"/>
      <c r="D12" s="31"/>
    </row>
    <row r="13" spans="1:18" ht="5.25" customHeight="1" x14ac:dyDescent="0.2"/>
    <row r="14" spans="1:18" ht="24" customHeight="1" x14ac:dyDescent="0.2">
      <c r="B14" s="772" t="s">
        <v>90</v>
      </c>
      <c r="C14" s="772"/>
      <c r="D14" s="772"/>
      <c r="E14" s="772"/>
      <c r="F14" s="772"/>
      <c r="G14" s="772"/>
      <c r="H14" s="772"/>
      <c r="I14" s="772"/>
    </row>
    <row r="15" spans="1:18" ht="21" customHeight="1" x14ac:dyDescent="0.2">
      <c r="A15" s="6"/>
      <c r="B15" s="772"/>
      <c r="C15" s="772"/>
      <c r="D15" s="772"/>
      <c r="E15" s="772"/>
      <c r="F15" s="772"/>
      <c r="G15" s="772"/>
      <c r="H15" s="772"/>
      <c r="I15" s="772"/>
    </row>
    <row r="16" spans="1:18" ht="33.75" customHeight="1" thickBot="1" x14ac:dyDescent="0.5">
      <c r="A16" s="7"/>
      <c r="B16" s="167" t="s">
        <v>708</v>
      </c>
      <c r="E16" s="36"/>
      <c r="H16" s="35" t="s">
        <v>44</v>
      </c>
      <c r="I16" s="55">
        <f>'Arrêt RPT1'!I16</f>
        <v>45038</v>
      </c>
    </row>
    <row r="17" spans="1:9" ht="64.5" customHeight="1" thickBot="1" x14ac:dyDescent="0.25">
      <c r="A17" s="8"/>
      <c r="B17" s="121" t="s">
        <v>57</v>
      </c>
      <c r="C17" s="128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18" t="s">
        <v>61</v>
      </c>
      <c r="I17" s="618"/>
    </row>
    <row r="18" spans="1:9" ht="36.75" customHeight="1" x14ac:dyDescent="0.2">
      <c r="A18" s="9"/>
      <c r="B18" s="150"/>
      <c r="C18" s="145"/>
      <c r="D18" s="145"/>
      <c r="E18" s="146"/>
      <c r="F18" s="146"/>
      <c r="G18" s="147"/>
      <c r="H18" s="771"/>
      <c r="I18" s="771"/>
    </row>
    <row r="19" spans="1:9" ht="36.75" customHeight="1" x14ac:dyDescent="0.2">
      <c r="A19" s="9"/>
      <c r="B19" s="150"/>
      <c r="C19" s="145"/>
      <c r="D19" s="145"/>
      <c r="E19" s="146"/>
      <c r="F19" s="146"/>
      <c r="G19" s="147"/>
      <c r="H19" s="771"/>
      <c r="I19" s="771"/>
    </row>
    <row r="20" spans="1:9" ht="36.75" customHeight="1" x14ac:dyDescent="0.2">
      <c r="A20" s="9"/>
      <c r="B20" s="150"/>
      <c r="C20" s="145"/>
      <c r="D20" s="145"/>
      <c r="E20" s="146"/>
      <c r="F20" s="146"/>
      <c r="G20" s="147"/>
      <c r="H20" s="771"/>
      <c r="I20" s="771"/>
    </row>
    <row r="21" spans="1:9" ht="36.75" customHeight="1" x14ac:dyDescent="0.2">
      <c r="A21" s="9"/>
      <c r="B21" s="150"/>
      <c r="C21" s="145"/>
      <c r="D21" s="145"/>
      <c r="E21" s="146"/>
      <c r="F21" s="146"/>
      <c r="G21" s="147" t="str">
        <f t="shared" ref="G21:G29" si="0">IF(AND(F21-E21&gt;0),F21-E21,"")</f>
        <v/>
      </c>
      <c r="H21" s="771"/>
      <c r="I21" s="771"/>
    </row>
    <row r="22" spans="1:9" ht="36.75" customHeight="1" x14ac:dyDescent="0.2">
      <c r="A22" s="9"/>
      <c r="B22" s="150"/>
      <c r="C22" s="145"/>
      <c r="D22" s="145"/>
      <c r="E22" s="146"/>
      <c r="F22" s="146"/>
      <c r="G22" s="147" t="str">
        <f t="shared" si="0"/>
        <v/>
      </c>
      <c r="H22" s="771"/>
      <c r="I22" s="771"/>
    </row>
    <row r="23" spans="1:9" ht="36.75" customHeight="1" x14ac:dyDescent="0.2">
      <c r="A23" s="9"/>
      <c r="B23" s="150"/>
      <c r="C23" s="145"/>
      <c r="D23" s="145"/>
      <c r="E23" s="146"/>
      <c r="F23" s="146"/>
      <c r="G23" s="147" t="str">
        <f t="shared" ref="G23" si="1">IF(AND(F23-E23&gt;0),F23-E23,"")</f>
        <v/>
      </c>
      <c r="H23" s="771"/>
      <c r="I23" s="771"/>
    </row>
    <row r="24" spans="1:9" ht="36.75" customHeight="1" x14ac:dyDescent="0.2">
      <c r="A24" s="9"/>
      <c r="B24" s="150"/>
      <c r="C24" s="145"/>
      <c r="D24" s="145"/>
      <c r="E24" s="146"/>
      <c r="F24" s="146"/>
      <c r="G24" s="147" t="str">
        <f t="shared" si="0"/>
        <v/>
      </c>
      <c r="H24" s="771"/>
      <c r="I24" s="771"/>
    </row>
    <row r="25" spans="1:9" ht="36.75" customHeight="1" x14ac:dyDescent="0.2">
      <c r="A25" s="9"/>
      <c r="B25" s="150"/>
      <c r="C25" s="145"/>
      <c r="D25" s="145"/>
      <c r="E25" s="146"/>
      <c r="F25" s="146"/>
      <c r="G25" s="147" t="str">
        <f t="shared" si="0"/>
        <v/>
      </c>
      <c r="H25" s="785"/>
      <c r="I25" s="786"/>
    </row>
    <row r="26" spans="1:9" ht="36.75" customHeight="1" x14ac:dyDescent="0.2">
      <c r="A26" s="9"/>
      <c r="B26" s="150"/>
      <c r="C26" s="145"/>
      <c r="D26" s="145"/>
      <c r="E26" s="146"/>
      <c r="F26" s="146"/>
      <c r="G26" s="147" t="str">
        <f t="shared" si="0"/>
        <v/>
      </c>
      <c r="H26" s="771"/>
      <c r="I26" s="771"/>
    </row>
    <row r="27" spans="1:9" ht="36.75" customHeight="1" x14ac:dyDescent="0.2">
      <c r="A27" s="9"/>
      <c r="B27" s="150"/>
      <c r="C27" s="145"/>
      <c r="D27" s="145"/>
      <c r="E27" s="146"/>
      <c r="F27" s="146"/>
      <c r="G27" s="147" t="str">
        <f t="shared" si="0"/>
        <v/>
      </c>
      <c r="H27" s="771"/>
      <c r="I27" s="771"/>
    </row>
    <row r="28" spans="1:9" ht="36.75" customHeight="1" x14ac:dyDescent="0.2">
      <c r="A28" s="9"/>
      <c r="B28" s="150"/>
      <c r="C28" s="145"/>
      <c r="D28" s="145"/>
      <c r="E28" s="146"/>
      <c r="F28" s="146"/>
      <c r="G28" s="147" t="str">
        <f t="shared" si="0"/>
        <v/>
      </c>
      <c r="H28" s="771"/>
      <c r="I28" s="771"/>
    </row>
    <row r="29" spans="1:9" ht="36.75" customHeight="1" x14ac:dyDescent="0.2">
      <c r="A29" s="9"/>
      <c r="B29" s="150"/>
      <c r="C29" s="145"/>
      <c r="D29" s="145"/>
      <c r="E29" s="146"/>
      <c r="F29" s="146"/>
      <c r="G29" s="147" t="str">
        <f t="shared" si="0"/>
        <v/>
      </c>
      <c r="H29" s="771"/>
      <c r="I29" s="771"/>
    </row>
    <row r="30" spans="1:9" ht="36.75" customHeight="1" x14ac:dyDescent="0.2">
      <c r="A30" s="9"/>
      <c r="B30" s="150"/>
      <c r="C30" s="145"/>
      <c r="D30" s="145"/>
      <c r="E30" s="146"/>
      <c r="F30" s="146"/>
      <c r="G30" s="147" t="str">
        <f t="shared" ref="G30:G38" si="2">IF(AND(F30-E30&gt;0),F30-E30,"")</f>
        <v/>
      </c>
      <c r="H30" s="771"/>
      <c r="I30" s="771"/>
    </row>
    <row r="31" spans="1:9" ht="36.75" customHeight="1" x14ac:dyDescent="0.2">
      <c r="A31" s="9"/>
      <c r="B31" s="150"/>
      <c r="C31" s="145"/>
      <c r="D31" s="145"/>
      <c r="E31" s="146"/>
      <c r="F31" s="146"/>
      <c r="G31" s="147" t="str">
        <f t="shared" si="2"/>
        <v/>
      </c>
      <c r="H31" s="771"/>
      <c r="I31" s="771"/>
    </row>
    <row r="32" spans="1:9" ht="36.75" customHeight="1" x14ac:dyDescent="0.2">
      <c r="A32" s="9"/>
      <c r="B32" s="150"/>
      <c r="C32" s="145"/>
      <c r="D32" s="145"/>
      <c r="E32" s="146"/>
      <c r="F32" s="146"/>
      <c r="G32" s="147" t="str">
        <f t="shared" si="2"/>
        <v/>
      </c>
      <c r="H32" s="771"/>
      <c r="I32" s="771"/>
    </row>
    <row r="33" spans="1:9" ht="36.75" customHeight="1" x14ac:dyDescent="0.2">
      <c r="A33" s="9"/>
      <c r="B33" s="150"/>
      <c r="C33" s="145"/>
      <c r="D33" s="145"/>
      <c r="E33" s="146"/>
      <c r="F33" s="146"/>
      <c r="G33" s="147" t="str">
        <f t="shared" si="2"/>
        <v/>
      </c>
      <c r="H33" s="771"/>
      <c r="I33" s="771"/>
    </row>
    <row r="34" spans="1:9" ht="36.75" customHeight="1" x14ac:dyDescent="0.2">
      <c r="A34" s="9"/>
      <c r="B34" s="150"/>
      <c r="C34" s="145"/>
      <c r="D34" s="145"/>
      <c r="E34" s="146"/>
      <c r="F34" s="146"/>
      <c r="G34" s="147" t="str">
        <f t="shared" si="2"/>
        <v/>
      </c>
      <c r="H34" s="771"/>
      <c r="I34" s="771"/>
    </row>
    <row r="35" spans="1:9" ht="36.75" customHeight="1" x14ac:dyDescent="0.2">
      <c r="A35" s="9"/>
      <c r="B35" s="150"/>
      <c r="C35" s="145"/>
      <c r="D35" s="145"/>
      <c r="E35" s="146"/>
      <c r="F35" s="146"/>
      <c r="G35" s="147" t="str">
        <f t="shared" si="2"/>
        <v/>
      </c>
      <c r="H35" s="771"/>
      <c r="I35" s="771"/>
    </row>
    <row r="36" spans="1:9" ht="36.75" customHeight="1" x14ac:dyDescent="0.2">
      <c r="A36" s="9"/>
      <c r="B36" s="150"/>
      <c r="C36" s="145"/>
      <c r="D36" s="145"/>
      <c r="E36" s="146"/>
      <c r="F36" s="146"/>
      <c r="G36" s="147" t="str">
        <f t="shared" si="2"/>
        <v/>
      </c>
      <c r="H36" s="771"/>
      <c r="I36" s="771"/>
    </row>
    <row r="37" spans="1:9" ht="36.75" customHeight="1" x14ac:dyDescent="0.2">
      <c r="A37" s="9"/>
      <c r="B37" s="150"/>
      <c r="C37" s="145"/>
      <c r="D37" s="145"/>
      <c r="E37" s="146"/>
      <c r="F37" s="146"/>
      <c r="G37" s="147" t="str">
        <f t="shared" si="2"/>
        <v/>
      </c>
      <c r="H37" s="771"/>
      <c r="I37" s="771"/>
    </row>
    <row r="38" spans="1:9" ht="36.75" customHeight="1" x14ac:dyDescent="0.2">
      <c r="A38" s="9"/>
      <c r="B38" s="150"/>
      <c r="C38" s="145"/>
      <c r="D38" s="145"/>
      <c r="E38" s="146"/>
      <c r="F38" s="146"/>
      <c r="G38" s="147" t="str">
        <f t="shared" si="2"/>
        <v/>
      </c>
      <c r="H38" s="771"/>
      <c r="I38" s="771"/>
    </row>
    <row r="39" spans="1:9" ht="36.75" customHeight="1" x14ac:dyDescent="0.2">
      <c r="A39" s="9"/>
      <c r="B39" s="150"/>
      <c r="C39" s="145"/>
      <c r="D39" s="145"/>
      <c r="E39" s="146"/>
      <c r="F39" s="146"/>
      <c r="G39" s="147" t="str">
        <f t="shared" ref="G39:G46" si="3">IF(AND(F39-E39&gt;0),F39-E39,"")</f>
        <v/>
      </c>
      <c r="H39" s="771"/>
      <c r="I39" s="771"/>
    </row>
    <row r="40" spans="1:9" ht="36.75" customHeight="1" x14ac:dyDescent="0.2">
      <c r="A40" s="9"/>
      <c r="B40" s="150"/>
      <c r="C40" s="145"/>
      <c r="D40" s="145"/>
      <c r="E40" s="146"/>
      <c r="F40" s="146"/>
      <c r="G40" s="147" t="str">
        <f t="shared" si="3"/>
        <v/>
      </c>
      <c r="H40" s="771"/>
      <c r="I40" s="771"/>
    </row>
    <row r="41" spans="1:9" ht="36.75" customHeight="1" x14ac:dyDescent="0.2">
      <c r="A41" s="9"/>
      <c r="B41" s="150"/>
      <c r="C41" s="145"/>
      <c r="D41" s="145"/>
      <c r="E41" s="146"/>
      <c r="F41" s="146"/>
      <c r="G41" s="147" t="str">
        <f t="shared" si="3"/>
        <v/>
      </c>
      <c r="H41" s="771"/>
      <c r="I41" s="771"/>
    </row>
    <row r="42" spans="1:9" ht="36.75" customHeight="1" x14ac:dyDescent="0.2">
      <c r="A42" s="9"/>
      <c r="B42" s="150"/>
      <c r="C42" s="145"/>
      <c r="D42" s="145"/>
      <c r="E42" s="146"/>
      <c r="F42" s="146"/>
      <c r="G42" s="147" t="str">
        <f t="shared" si="3"/>
        <v/>
      </c>
      <c r="H42" s="771"/>
      <c r="I42" s="771"/>
    </row>
    <row r="43" spans="1:9" ht="36.75" customHeight="1" x14ac:dyDescent="0.2">
      <c r="A43" s="9"/>
      <c r="B43" s="150"/>
      <c r="C43" s="145"/>
      <c r="D43" s="145"/>
      <c r="E43" s="146"/>
      <c r="F43" s="146"/>
      <c r="G43" s="147" t="str">
        <f t="shared" si="3"/>
        <v/>
      </c>
      <c r="H43" s="771"/>
      <c r="I43" s="771"/>
    </row>
    <row r="44" spans="1:9" ht="36.75" customHeight="1" x14ac:dyDescent="0.2">
      <c r="A44" s="9"/>
      <c r="B44" s="150"/>
      <c r="C44" s="145"/>
      <c r="D44" s="145"/>
      <c r="E44" s="146"/>
      <c r="F44" s="146"/>
      <c r="G44" s="147" t="str">
        <f t="shared" si="3"/>
        <v/>
      </c>
      <c r="H44" s="771"/>
      <c r="I44" s="771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3"/>
        <v/>
      </c>
      <c r="H45" s="771"/>
      <c r="I45" s="771"/>
    </row>
    <row r="46" spans="1:9" ht="36.75" customHeight="1" thickBot="1" x14ac:dyDescent="0.25">
      <c r="A46" s="9"/>
      <c r="B46" s="150"/>
      <c r="C46" s="148"/>
      <c r="D46" s="148"/>
      <c r="E46" s="149"/>
      <c r="F46" s="149"/>
      <c r="G46" s="356" t="str">
        <f t="shared" si="3"/>
        <v/>
      </c>
      <c r="H46" s="788"/>
      <c r="I46" s="788"/>
    </row>
    <row r="47" spans="1:9" ht="17.25" customHeight="1" thickBot="1" x14ac:dyDescent="0.25"/>
    <row r="48" spans="1:9" ht="30.4" customHeight="1" thickBot="1" x14ac:dyDescent="0.25">
      <c r="A48" s="58"/>
      <c r="B48" s="783" t="s">
        <v>62</v>
      </c>
      <c r="C48" s="110" t="s">
        <v>712</v>
      </c>
      <c r="D48" s="110" t="s">
        <v>714</v>
      </c>
      <c r="E48" s="110" t="s">
        <v>713</v>
      </c>
      <c r="F48" s="110" t="s">
        <v>715</v>
      </c>
      <c r="G48" s="110" t="s">
        <v>716</v>
      </c>
      <c r="H48" s="110" t="s">
        <v>717</v>
      </c>
    </row>
    <row r="49" spans="1:9" ht="75.75" customHeight="1" thickBot="1" x14ac:dyDescent="0.25">
      <c r="A49" s="11"/>
      <c r="B49" s="783"/>
      <c r="C49" s="43" t="s">
        <v>63</v>
      </c>
      <c r="D49" s="43" t="s">
        <v>64</v>
      </c>
      <c r="E49" s="43" t="s">
        <v>65</v>
      </c>
      <c r="F49" s="43" t="s">
        <v>66</v>
      </c>
      <c r="G49" s="43" t="s">
        <v>67</v>
      </c>
      <c r="H49" s="43" t="s">
        <v>68</v>
      </c>
    </row>
    <row r="50" spans="1:9" ht="26.1" customHeight="1" thickBot="1" x14ac:dyDescent="0.25">
      <c r="A50" s="11"/>
      <c r="B50" s="783"/>
      <c r="C50" s="104">
        <f>SUMIFS('Arrêt RPTS'!$G$18:$G$46,'Arrêt RPTS'!$D$18:$D$46,C48)</f>
        <v>0</v>
      </c>
      <c r="D50" s="104">
        <f>SUMIFS('Arrêt RPTS'!$G$18:$G$46,'Arrêt RPTS'!$D$18:$D$46,D48)</f>
        <v>0</v>
      </c>
      <c r="E50" s="104">
        <f>SUMIFS('Arrêt RPTS'!$G$18:$G$46,'Arrêt RPTS'!$D$18:$D$46,E48)</f>
        <v>0</v>
      </c>
      <c r="F50" s="104">
        <f>SUMIFS('Arrêt RPTS'!$G$18:$G$46,'Arrêt RPTS'!$D$18:$D$46,F48)</f>
        <v>0</v>
      </c>
      <c r="G50" s="104">
        <f>SUMIFS('Arrêt RPTS'!$G$18:$G$46,'Arrêt RPTS'!$D$18:$D$46,G48)</f>
        <v>0</v>
      </c>
      <c r="H50" s="104">
        <f>SUMIFS('Arrêt RPTS'!$G$18:$G$46,'Arrêt RPTS'!$D$18:$D$46,H48)</f>
        <v>0</v>
      </c>
    </row>
    <row r="51" spans="1:9" ht="26.1" customHeight="1" thickBot="1" x14ac:dyDescent="0.25">
      <c r="A51" s="11"/>
      <c r="B51" s="154" t="s">
        <v>746</v>
      </c>
      <c r="C51" s="153">
        <f>COUNTIF('Arrêt RPTS'!$D$18:$D$46,C48)</f>
        <v>0</v>
      </c>
      <c r="D51" s="153">
        <f>COUNTIF('Arrêt RPTS'!$D$18:$D$46,D48)</f>
        <v>0</v>
      </c>
      <c r="E51" s="153">
        <f>COUNTIF('Arrêt RPTS'!$D$18:$D$46,E48)</f>
        <v>0</v>
      </c>
      <c r="F51" s="153">
        <f>COUNTIF('Arrêt RPTS'!$D$18:$D$46,F48)</f>
        <v>0</v>
      </c>
      <c r="G51" s="153">
        <f>COUNTIF('Arrêt RPTS'!$D$18:$D$46,G48)</f>
        <v>0</v>
      </c>
      <c r="H51" s="153">
        <f>COUNTIF('Arrêt RPTS'!$D$18:$D$46,H48)</f>
        <v>0</v>
      </c>
    </row>
    <row r="52" spans="1:9" ht="23.25" customHeight="1" thickBot="1" x14ac:dyDescent="0.25">
      <c r="A52" s="11"/>
      <c r="B52" s="12"/>
    </row>
    <row r="53" spans="1:9" ht="30" customHeight="1" thickBot="1" x14ac:dyDescent="0.25">
      <c r="A53" s="11"/>
      <c r="B53" s="782" t="s">
        <v>69</v>
      </c>
      <c r="C53" s="110" t="s">
        <v>718</v>
      </c>
      <c r="D53" s="110" t="s">
        <v>723</v>
      </c>
      <c r="E53" s="110" t="s">
        <v>722</v>
      </c>
      <c r="F53" s="110" t="s">
        <v>721</v>
      </c>
      <c r="G53" s="110" t="s">
        <v>720</v>
      </c>
      <c r="H53" s="13"/>
      <c r="I53" s="13"/>
    </row>
    <row r="54" spans="1:9" ht="43.5" customHeight="1" thickBot="1" x14ac:dyDescent="0.25">
      <c r="A54" s="11"/>
      <c r="B54" s="782"/>
      <c r="C54" s="784" t="s">
        <v>70</v>
      </c>
      <c r="D54" s="784" t="s">
        <v>71</v>
      </c>
      <c r="E54" s="784" t="s">
        <v>72</v>
      </c>
      <c r="F54" s="784" t="s">
        <v>73</v>
      </c>
      <c r="G54" s="784" t="s">
        <v>710</v>
      </c>
      <c r="H54" s="14"/>
      <c r="I54" s="14"/>
    </row>
    <row r="55" spans="1:9" ht="33.75" customHeight="1" thickBot="1" x14ac:dyDescent="0.25">
      <c r="A55" s="11"/>
      <c r="B55" s="782"/>
      <c r="C55" s="784"/>
      <c r="D55" s="784"/>
      <c r="E55" s="784"/>
      <c r="F55" s="784"/>
      <c r="G55" s="784"/>
      <c r="H55" s="15"/>
      <c r="I55" s="15"/>
    </row>
    <row r="56" spans="1:9" ht="26.1" customHeight="1" thickBot="1" x14ac:dyDescent="0.25">
      <c r="A56" s="9"/>
      <c r="B56" s="782"/>
      <c r="C56" s="104">
        <f>SUMIFS('Arrêt RPTS'!$G$18:$G$46,'Arrêt RPTS'!$D$18:$D$46,C53)</f>
        <v>0</v>
      </c>
      <c r="D56" s="104">
        <f>SUMIFS('Arrêt RPTS'!$G$18:$G$46,'Arrêt RPTS'!$D$18:$D$46,D53)</f>
        <v>0</v>
      </c>
      <c r="E56" s="104">
        <f>SUMIFS('Arrêt RPTS'!$G$18:$G$46,'Arrêt RPTS'!$D$18:$D$46,E53)</f>
        <v>0</v>
      </c>
      <c r="F56" s="104">
        <f>SUMIFS('Arrêt RPTS'!$G$18:$G$46,'Arrêt RPTS'!$D$18:$D$46,F53)</f>
        <v>0</v>
      </c>
      <c r="G56" s="104">
        <f>SUMIFS('Arrêt RPTS'!$G$18:$G$46,'Arrêt RPTS'!$D$18:$D$46,G53)</f>
        <v>0</v>
      </c>
      <c r="H56" s="16"/>
      <c r="I56" s="16"/>
    </row>
    <row r="57" spans="1:9" ht="26.1" customHeight="1" thickBot="1" x14ac:dyDescent="0.25">
      <c r="A57" s="9"/>
      <c r="B57" s="154" t="s">
        <v>746</v>
      </c>
      <c r="C57" s="153">
        <f>COUNTIF('Arrêt RPTS'!$D$18:$D$46,C53)</f>
        <v>0</v>
      </c>
      <c r="D57" s="153">
        <f>COUNTIF('Arrêt RPTS'!$D$18:$D$46,D53)</f>
        <v>0</v>
      </c>
      <c r="E57" s="153">
        <f>COUNTIF('Arrêt RPTS'!$D$18:$D$46,E53)</f>
        <v>0</v>
      </c>
      <c r="F57" s="153">
        <f>COUNTIF('Arrêt RPTS'!$D$18:$D$46,F53)</f>
        <v>0</v>
      </c>
      <c r="G57" s="153">
        <f>COUNTIF('Arrêt RPTS'!$D$18:$D$46,G53)</f>
        <v>0</v>
      </c>
      <c r="H57" s="16"/>
      <c r="I57" s="16"/>
    </row>
    <row r="58" spans="1:9" ht="18.75" customHeight="1" thickBot="1" x14ac:dyDescent="0.25">
      <c r="A58" s="9"/>
      <c r="C58" s="17"/>
      <c r="D58" s="17"/>
      <c r="E58" s="17"/>
      <c r="F58" s="17"/>
      <c r="G58" s="17"/>
      <c r="H58" s="17"/>
      <c r="I58" s="17"/>
    </row>
    <row r="59" spans="1:9" ht="43.5" customHeight="1" thickBot="1" x14ac:dyDescent="0.25">
      <c r="A59" s="9"/>
      <c r="B59" s="781" t="s">
        <v>74</v>
      </c>
      <c r="C59" s="43" t="s">
        <v>75</v>
      </c>
      <c r="D59" s="43" t="s">
        <v>93</v>
      </c>
      <c r="E59" s="43" t="s">
        <v>76</v>
      </c>
      <c r="F59" s="43" t="s">
        <v>94</v>
      </c>
      <c r="G59" s="43" t="s">
        <v>77</v>
      </c>
      <c r="H59" s="43" t="s">
        <v>91</v>
      </c>
    </row>
    <row r="60" spans="1:9" ht="43.5" customHeight="1" thickBot="1" x14ac:dyDescent="0.25">
      <c r="B60" s="781"/>
      <c r="C60" s="105">
        <f>+C50+D50+E50+F50+G50+H50+C56+D56+E56+F56+G56</f>
        <v>0</v>
      </c>
      <c r="D60" s="105">
        <f>D62-D50-E50-F50-G50-H50+E62</f>
        <v>1</v>
      </c>
      <c r="E60" s="105">
        <f>D62+E62-C60</f>
        <v>1</v>
      </c>
      <c r="F60" s="106">
        <f>+D60/D62</f>
        <v>1.0006949270326615</v>
      </c>
      <c r="G60" s="106">
        <f>E60/D60</f>
        <v>1</v>
      </c>
      <c r="H60" s="107">
        <f>E60/D62</f>
        <v>1.0006949270326615</v>
      </c>
    </row>
    <row r="62" spans="1:9" ht="19.5" hidden="1" x14ac:dyDescent="0.2">
      <c r="D62" s="78">
        <v>0.99930555555555556</v>
      </c>
      <c r="E62" s="78">
        <v>6.9444444444444447E-4</v>
      </c>
    </row>
  </sheetData>
  <mergeCells count="47">
    <mergeCell ref="B59:B60"/>
    <mergeCell ref="H44:I44"/>
    <mergeCell ref="H45:I45"/>
    <mergeCell ref="H46:I46"/>
    <mergeCell ref="B48:B50"/>
    <mergeCell ref="B53:B56"/>
    <mergeCell ref="C54:C55"/>
    <mergeCell ref="D54:D55"/>
    <mergeCell ref="E54:E55"/>
    <mergeCell ref="F54:F55"/>
    <mergeCell ref="G54:G55"/>
    <mergeCell ref="H43:I43"/>
    <mergeCell ref="H32:I32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31:I31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19:I19"/>
    <mergeCell ref="C2:D3"/>
    <mergeCell ref="C4:D5"/>
    <mergeCell ref="F6:G6"/>
    <mergeCell ref="B9:C10"/>
    <mergeCell ref="E9:I9"/>
    <mergeCell ref="E10:I10"/>
    <mergeCell ref="B11:C11"/>
    <mergeCell ref="F11:H11"/>
    <mergeCell ref="B14:I15"/>
    <mergeCell ref="H17:I17"/>
    <mergeCell ref="H18:I18"/>
  </mergeCells>
  <dataValidations count="3">
    <dataValidation type="list" allowBlank="1" showInputMessage="1" showErrorMessage="1" sqref="H46:I46">
      <formula1>INDIRECT(#REF!)</formula1>
    </dataValidation>
    <dataValidation type="list" allowBlank="1" showInputMessage="1" showErrorMessage="1" sqref="C18:C46">
      <formula1>INDIRECT(B18)</formula1>
    </dataValidation>
    <dataValidation type="list" allowBlank="1" showInputMessage="1" showErrorMessage="1" sqref="H18:I45">
      <formula1>INDIRECT(D18)</formula1>
    </dataValidation>
  </dataValidations>
  <printOptions horizontalCentered="1" verticalCentered="1"/>
  <pageMargins left="0" right="0.19685039370078741" top="0" bottom="0" header="0" footer="0"/>
  <pageSetup paperSize="9" scale="38" orientation="portrait" horizontalDpi="180" verticalDpi="18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C53:G53 C48:H48 D18:D46</xm:sqref>
        </x14:dataValidation>
        <x14:dataValidation type="list" allowBlank="1" showInputMessage="1" showErrorMessage="1">
          <x14:formula1>
            <xm:f>organges!$F$1:$H$1</xm:f>
          </x14:formula1>
          <xm:sqref>B18:B46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pageSetUpPr fitToPage="1"/>
  </sheetPr>
  <dimension ref="A1:R62"/>
  <sheetViews>
    <sheetView showGridLines="0" view="pageBreakPreview" topLeftCell="A13" zoomScale="85" zoomScaleNormal="70" zoomScaleSheetLayoutView="85" workbookViewId="0">
      <selection activeCell="D21" sqref="D21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5"/>
    </row>
    <row r="2" spans="1:18" ht="34.5" customHeight="1" thickBot="1" x14ac:dyDescent="0.35">
      <c r="B2" s="19"/>
      <c r="C2" s="571">
        <f ca="1">TODAY()</f>
        <v>45158</v>
      </c>
      <c r="D2" s="571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1"/>
      <c r="D3" s="571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2">
        <f ca="1">NOW()</f>
        <v>45158.767265625</v>
      </c>
      <c r="D4" s="572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2"/>
      <c r="D5" s="572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3"/>
      <c r="G6" s="574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89"/>
      <c r="C9" s="590"/>
      <c r="D9" s="38" t="s">
        <v>0</v>
      </c>
      <c r="E9" s="773" t="s">
        <v>101</v>
      </c>
      <c r="F9" s="774"/>
      <c r="G9" s="774"/>
      <c r="H9" s="774"/>
      <c r="I9" s="775"/>
    </row>
    <row r="10" spans="1:18" ht="38.25" customHeight="1" thickBot="1" x14ac:dyDescent="0.25">
      <c r="A10" s="5"/>
      <c r="B10" s="591"/>
      <c r="C10" s="592"/>
      <c r="D10" s="38" t="s">
        <v>8</v>
      </c>
      <c r="E10" s="778" t="s">
        <v>100</v>
      </c>
      <c r="F10" s="779"/>
      <c r="G10" s="779"/>
      <c r="H10" s="779"/>
      <c r="I10" s="780"/>
      <c r="R10" s="4" t="s">
        <v>806</v>
      </c>
    </row>
    <row r="11" spans="1:18" ht="45" customHeight="1" thickBot="1" x14ac:dyDescent="0.25">
      <c r="A11" s="5"/>
      <c r="B11" s="776" t="s">
        <v>99</v>
      </c>
      <c r="C11" s="777"/>
      <c r="D11" s="38" t="s">
        <v>9</v>
      </c>
      <c r="E11" s="500">
        <v>5</v>
      </c>
      <c r="F11" s="778" t="s">
        <v>125</v>
      </c>
      <c r="G11" s="779"/>
      <c r="H11" s="780"/>
      <c r="I11" s="37">
        <v>45000</v>
      </c>
    </row>
    <row r="12" spans="1:18" ht="26.25" customHeight="1" x14ac:dyDescent="0.45">
      <c r="A12" s="5"/>
      <c r="B12" s="32" t="s">
        <v>102</v>
      </c>
      <c r="C12" s="30"/>
      <c r="D12" s="31"/>
    </row>
    <row r="13" spans="1:18" ht="5.25" customHeight="1" x14ac:dyDescent="0.2"/>
    <row r="14" spans="1:18" ht="24" customHeight="1" x14ac:dyDescent="0.2">
      <c r="B14" s="772" t="s">
        <v>765</v>
      </c>
      <c r="C14" s="772"/>
      <c r="D14" s="772"/>
      <c r="E14" s="772"/>
      <c r="F14" s="772"/>
      <c r="G14" s="772"/>
      <c r="H14" s="772"/>
      <c r="I14" s="772"/>
    </row>
    <row r="15" spans="1:18" ht="21" customHeight="1" x14ac:dyDescent="0.2">
      <c r="A15" s="6"/>
      <c r="B15" s="772"/>
      <c r="C15" s="772"/>
      <c r="D15" s="772"/>
      <c r="E15" s="772"/>
      <c r="F15" s="772"/>
      <c r="G15" s="772"/>
      <c r="H15" s="772"/>
      <c r="I15" s="772"/>
    </row>
    <row r="16" spans="1:18" ht="33.75" customHeight="1" thickBot="1" x14ac:dyDescent="0.5">
      <c r="A16" s="7"/>
      <c r="B16" s="167" t="s">
        <v>529</v>
      </c>
      <c r="E16" s="36"/>
      <c r="H16" s="35" t="s">
        <v>44</v>
      </c>
      <c r="I16" s="55">
        <f>'Arrêt RPT1'!I16</f>
        <v>45038</v>
      </c>
    </row>
    <row r="17" spans="1:9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18" t="s">
        <v>61</v>
      </c>
      <c r="I17" s="618"/>
    </row>
    <row r="18" spans="1:9" ht="36.75" customHeight="1" x14ac:dyDescent="0.2">
      <c r="A18" s="9"/>
      <c r="B18" s="150"/>
      <c r="C18" s="145"/>
      <c r="D18" s="145"/>
      <c r="E18" s="146"/>
      <c r="F18" s="146"/>
      <c r="G18" s="147"/>
      <c r="H18" s="771"/>
      <c r="I18" s="771"/>
    </row>
    <row r="19" spans="1:9" ht="36.75" customHeight="1" x14ac:dyDescent="0.2">
      <c r="A19" s="9"/>
      <c r="B19" s="150"/>
      <c r="C19" s="145"/>
      <c r="D19" s="145"/>
      <c r="E19" s="146"/>
      <c r="F19" s="146"/>
      <c r="G19" s="147"/>
      <c r="H19" s="771"/>
      <c r="I19" s="771"/>
    </row>
    <row r="20" spans="1:9" ht="36.75" customHeight="1" x14ac:dyDescent="0.2">
      <c r="A20" s="9"/>
      <c r="B20" s="150"/>
      <c r="C20" s="145"/>
      <c r="D20" s="145"/>
      <c r="E20" s="146"/>
      <c r="F20" s="146"/>
      <c r="G20" s="147"/>
      <c r="H20" s="771"/>
      <c r="I20" s="771"/>
    </row>
    <row r="21" spans="1:9" ht="36.75" customHeight="1" x14ac:dyDescent="0.2">
      <c r="A21" s="9"/>
      <c r="B21" s="150"/>
      <c r="C21" s="145"/>
      <c r="D21" s="145"/>
      <c r="E21" s="146"/>
      <c r="F21" s="146"/>
      <c r="G21" s="147" t="str">
        <f t="shared" ref="G21" si="0">IF(AND(F21-E21&gt;0),F21-E21,"")</f>
        <v/>
      </c>
      <c r="H21" s="771"/>
      <c r="I21" s="786"/>
    </row>
    <row r="22" spans="1:9" ht="36.75" customHeight="1" x14ac:dyDescent="0.2">
      <c r="A22" s="9"/>
      <c r="B22" s="150"/>
      <c r="C22" s="145"/>
      <c r="D22" s="145"/>
      <c r="E22" s="146"/>
      <c r="F22" s="146"/>
      <c r="G22" s="147" t="str">
        <f t="shared" ref="G22" si="1">IF(AND(F22-E22&gt;0),F22-E22,"")</f>
        <v/>
      </c>
      <c r="H22" s="771"/>
      <c r="I22" s="771"/>
    </row>
    <row r="23" spans="1:9" ht="36.75" customHeight="1" x14ac:dyDescent="0.2">
      <c r="A23" s="9"/>
      <c r="B23" s="150"/>
      <c r="C23" s="145"/>
      <c r="D23" s="145"/>
      <c r="E23" s="146"/>
      <c r="F23" s="146"/>
      <c r="G23" s="147" t="str">
        <f t="shared" ref="G23:G25" si="2">IF(AND(F23-E23&gt;0),F23-E23,"")</f>
        <v/>
      </c>
      <c r="H23" s="771"/>
      <c r="I23" s="771"/>
    </row>
    <row r="24" spans="1:9" ht="36.75" customHeight="1" x14ac:dyDescent="0.2">
      <c r="A24" s="9"/>
      <c r="B24" s="150"/>
      <c r="C24" s="145"/>
      <c r="D24" s="145"/>
      <c r="E24" s="146"/>
      <c r="F24" s="146"/>
      <c r="G24" s="147" t="str">
        <f t="shared" si="2"/>
        <v/>
      </c>
      <c r="H24" s="771"/>
      <c r="I24" s="786"/>
    </row>
    <row r="25" spans="1:9" ht="36.75" customHeight="1" x14ac:dyDescent="0.2">
      <c r="A25" s="9"/>
      <c r="B25" s="150"/>
      <c r="C25" s="145"/>
      <c r="D25" s="145"/>
      <c r="E25" s="146"/>
      <c r="F25" s="146"/>
      <c r="G25" s="147" t="str">
        <f t="shared" si="2"/>
        <v/>
      </c>
      <c r="H25" s="771"/>
      <c r="I25" s="786"/>
    </row>
    <row r="26" spans="1:9" ht="36.75" customHeight="1" x14ac:dyDescent="0.2">
      <c r="A26" s="9"/>
      <c r="B26" s="150"/>
      <c r="C26" s="145"/>
      <c r="D26" s="145"/>
      <c r="E26" s="146"/>
      <c r="F26" s="146"/>
      <c r="G26" s="147" t="str">
        <f t="shared" ref="G26:G33" si="3">IF(AND(F26-E26&gt;0),F26-E26,"")</f>
        <v/>
      </c>
      <c r="H26" s="771"/>
      <c r="I26" s="771"/>
    </row>
    <row r="27" spans="1:9" ht="36.75" customHeight="1" x14ac:dyDescent="0.2">
      <c r="A27" s="9"/>
      <c r="B27" s="150"/>
      <c r="C27" s="145"/>
      <c r="D27" s="145"/>
      <c r="E27" s="146"/>
      <c r="F27" s="146"/>
      <c r="G27" s="147" t="str">
        <f t="shared" si="3"/>
        <v/>
      </c>
      <c r="H27" s="771"/>
      <c r="I27" s="771"/>
    </row>
    <row r="28" spans="1:9" ht="36.75" customHeight="1" x14ac:dyDescent="0.2">
      <c r="A28" s="9"/>
      <c r="B28" s="150"/>
      <c r="C28" s="145"/>
      <c r="D28" s="145"/>
      <c r="E28" s="146"/>
      <c r="F28" s="146"/>
      <c r="G28" s="147" t="str">
        <f t="shared" si="3"/>
        <v/>
      </c>
      <c r="H28" s="771"/>
      <c r="I28" s="771"/>
    </row>
    <row r="29" spans="1:9" ht="36.75" customHeight="1" x14ac:dyDescent="0.2">
      <c r="A29" s="9"/>
      <c r="B29" s="150"/>
      <c r="C29" s="145"/>
      <c r="D29" s="145"/>
      <c r="E29" s="146"/>
      <c r="F29" s="146"/>
      <c r="G29" s="147" t="str">
        <f t="shared" si="3"/>
        <v/>
      </c>
      <c r="H29" s="771"/>
      <c r="I29" s="771"/>
    </row>
    <row r="30" spans="1:9" ht="36.75" customHeight="1" x14ac:dyDescent="0.2">
      <c r="A30" s="9"/>
      <c r="B30" s="150"/>
      <c r="C30" s="145"/>
      <c r="D30" s="145"/>
      <c r="E30" s="146"/>
      <c r="F30" s="146"/>
      <c r="G30" s="147" t="str">
        <f t="shared" si="3"/>
        <v/>
      </c>
      <c r="H30" s="771"/>
      <c r="I30" s="771"/>
    </row>
    <row r="31" spans="1:9" ht="36.75" customHeight="1" x14ac:dyDescent="0.2">
      <c r="A31" s="9"/>
      <c r="B31" s="150"/>
      <c r="C31" s="145"/>
      <c r="D31" s="145"/>
      <c r="E31" s="146"/>
      <c r="F31" s="146"/>
      <c r="G31" s="147" t="str">
        <f t="shared" si="3"/>
        <v/>
      </c>
      <c r="H31" s="771"/>
      <c r="I31" s="771"/>
    </row>
    <row r="32" spans="1:9" ht="36.75" customHeight="1" x14ac:dyDescent="0.2">
      <c r="A32" s="9"/>
      <c r="B32" s="150"/>
      <c r="C32" s="145"/>
      <c r="D32" s="145"/>
      <c r="E32" s="146"/>
      <c r="F32" s="146"/>
      <c r="G32" s="147" t="str">
        <f t="shared" si="3"/>
        <v/>
      </c>
      <c r="H32" s="771"/>
      <c r="I32" s="771"/>
    </row>
    <row r="33" spans="1:9" ht="36.75" customHeight="1" x14ac:dyDescent="0.2">
      <c r="A33" s="9"/>
      <c r="B33" s="150"/>
      <c r="C33" s="145"/>
      <c r="D33" s="145"/>
      <c r="E33" s="146"/>
      <c r="F33" s="146"/>
      <c r="G33" s="147" t="str">
        <f t="shared" si="3"/>
        <v/>
      </c>
      <c r="H33" s="771"/>
      <c r="I33" s="771"/>
    </row>
    <row r="34" spans="1:9" ht="36.75" customHeight="1" x14ac:dyDescent="0.2">
      <c r="A34" s="9"/>
      <c r="B34" s="150"/>
      <c r="C34" s="145"/>
      <c r="D34" s="145"/>
      <c r="E34" s="146"/>
      <c r="F34" s="146"/>
      <c r="G34" s="147" t="str">
        <f t="shared" ref="G34:G46" si="4">IF(AND(F34-E34&gt;0),F34-E34,"")</f>
        <v/>
      </c>
      <c r="H34" s="771"/>
      <c r="I34" s="771"/>
    </row>
    <row r="35" spans="1:9" ht="36.75" customHeight="1" x14ac:dyDescent="0.2">
      <c r="A35" s="9"/>
      <c r="B35" s="150"/>
      <c r="C35" s="145"/>
      <c r="D35" s="145"/>
      <c r="E35" s="146"/>
      <c r="F35" s="146"/>
      <c r="G35" s="147" t="str">
        <f t="shared" si="4"/>
        <v/>
      </c>
      <c r="H35" s="771"/>
      <c r="I35" s="771"/>
    </row>
    <row r="36" spans="1:9" ht="36.75" customHeight="1" x14ac:dyDescent="0.2">
      <c r="A36" s="9"/>
      <c r="B36" s="150"/>
      <c r="C36" s="145"/>
      <c r="D36" s="145"/>
      <c r="E36" s="146"/>
      <c r="F36" s="146"/>
      <c r="G36" s="147" t="str">
        <f t="shared" si="4"/>
        <v/>
      </c>
      <c r="H36" s="771"/>
      <c r="I36" s="771"/>
    </row>
    <row r="37" spans="1:9" ht="36.75" customHeight="1" x14ac:dyDescent="0.2">
      <c r="A37" s="9"/>
      <c r="B37" s="150"/>
      <c r="C37" s="145"/>
      <c r="D37" s="145"/>
      <c r="E37" s="146"/>
      <c r="F37" s="146"/>
      <c r="G37" s="147" t="str">
        <f t="shared" si="4"/>
        <v/>
      </c>
      <c r="H37" s="771"/>
      <c r="I37" s="771"/>
    </row>
    <row r="38" spans="1:9" ht="36.75" customHeight="1" x14ac:dyDescent="0.2">
      <c r="A38" s="9"/>
      <c r="B38" s="150"/>
      <c r="C38" s="145"/>
      <c r="D38" s="145"/>
      <c r="E38" s="146"/>
      <c r="F38" s="146"/>
      <c r="G38" s="147" t="str">
        <f t="shared" si="4"/>
        <v/>
      </c>
      <c r="H38" s="771"/>
      <c r="I38" s="771"/>
    </row>
    <row r="39" spans="1:9" ht="36.75" customHeight="1" x14ac:dyDescent="0.2">
      <c r="A39" s="9"/>
      <c r="B39" s="150"/>
      <c r="C39" s="145"/>
      <c r="D39" s="145"/>
      <c r="E39" s="146"/>
      <c r="F39" s="146"/>
      <c r="G39" s="147" t="str">
        <f t="shared" si="4"/>
        <v/>
      </c>
      <c r="H39" s="771"/>
      <c r="I39" s="771"/>
    </row>
    <row r="40" spans="1:9" ht="36.75" customHeight="1" x14ac:dyDescent="0.2">
      <c r="A40" s="9"/>
      <c r="B40" s="150"/>
      <c r="C40" s="145"/>
      <c r="D40" s="145"/>
      <c r="E40" s="146"/>
      <c r="F40" s="146"/>
      <c r="G40" s="147" t="str">
        <f t="shared" si="4"/>
        <v/>
      </c>
      <c r="H40" s="771"/>
      <c r="I40" s="771"/>
    </row>
    <row r="41" spans="1:9" ht="36.75" customHeight="1" x14ac:dyDescent="0.2">
      <c r="A41" s="9"/>
      <c r="B41" s="150"/>
      <c r="C41" s="145"/>
      <c r="D41" s="145"/>
      <c r="E41" s="146"/>
      <c r="F41" s="146"/>
      <c r="G41" s="147" t="str">
        <f t="shared" si="4"/>
        <v/>
      </c>
      <c r="H41" s="771"/>
      <c r="I41" s="771"/>
    </row>
    <row r="42" spans="1:9" ht="36.75" customHeight="1" x14ac:dyDescent="0.2">
      <c r="A42" s="9"/>
      <c r="B42" s="150"/>
      <c r="C42" s="145"/>
      <c r="D42" s="145"/>
      <c r="E42" s="146"/>
      <c r="F42" s="146"/>
      <c r="G42" s="147" t="str">
        <f t="shared" si="4"/>
        <v/>
      </c>
      <c r="H42" s="771"/>
      <c r="I42" s="771"/>
    </row>
    <row r="43" spans="1:9" ht="36.75" customHeight="1" x14ac:dyDescent="0.2">
      <c r="A43" s="9"/>
      <c r="B43" s="150"/>
      <c r="C43" s="145"/>
      <c r="D43" s="145"/>
      <c r="E43" s="146"/>
      <c r="F43" s="146"/>
      <c r="G43" s="147" t="str">
        <f t="shared" si="4"/>
        <v/>
      </c>
      <c r="H43" s="771"/>
      <c r="I43" s="771"/>
    </row>
    <row r="44" spans="1:9" ht="36.75" customHeight="1" x14ac:dyDescent="0.2">
      <c r="A44" s="9"/>
      <c r="B44" s="150"/>
      <c r="C44" s="145"/>
      <c r="D44" s="145"/>
      <c r="E44" s="146"/>
      <c r="F44" s="146"/>
      <c r="G44" s="147" t="str">
        <f t="shared" si="4"/>
        <v/>
      </c>
      <c r="H44" s="771"/>
      <c r="I44" s="771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4"/>
        <v/>
      </c>
      <c r="H45" s="771"/>
      <c r="I45" s="771"/>
    </row>
    <row r="46" spans="1:9" ht="36.75" customHeight="1" thickBot="1" x14ac:dyDescent="0.25">
      <c r="A46" s="9"/>
      <c r="B46" s="150"/>
      <c r="C46" s="148"/>
      <c r="D46" s="148"/>
      <c r="E46" s="149"/>
      <c r="F46" s="149"/>
      <c r="G46" s="356" t="str">
        <f t="shared" si="4"/>
        <v/>
      </c>
      <c r="H46" s="788"/>
      <c r="I46" s="788"/>
    </row>
    <row r="47" spans="1:9" ht="17.25" customHeight="1" thickBot="1" x14ac:dyDescent="0.25"/>
    <row r="48" spans="1:9" ht="30.4" customHeight="1" thickBot="1" x14ac:dyDescent="0.25">
      <c r="A48" s="58"/>
      <c r="B48" s="783" t="s">
        <v>62</v>
      </c>
      <c r="C48" s="110" t="s">
        <v>712</v>
      </c>
      <c r="D48" s="110" t="s">
        <v>714</v>
      </c>
      <c r="E48" s="110" t="s">
        <v>713</v>
      </c>
      <c r="F48" s="110" t="s">
        <v>715</v>
      </c>
      <c r="G48" s="110" t="s">
        <v>716</v>
      </c>
      <c r="H48" s="110" t="s">
        <v>717</v>
      </c>
    </row>
    <row r="49" spans="1:9" ht="64.5" customHeight="1" thickBot="1" x14ac:dyDescent="0.25">
      <c r="A49" s="11"/>
      <c r="B49" s="783"/>
      <c r="C49" s="43" t="s">
        <v>63</v>
      </c>
      <c r="D49" s="43" t="s">
        <v>64</v>
      </c>
      <c r="E49" s="43" t="s">
        <v>65</v>
      </c>
      <c r="F49" s="43" t="s">
        <v>66</v>
      </c>
      <c r="G49" s="43" t="s">
        <v>67</v>
      </c>
      <c r="H49" s="43" t="s">
        <v>68</v>
      </c>
    </row>
    <row r="50" spans="1:9" ht="26.1" customHeight="1" thickBot="1" x14ac:dyDescent="0.25">
      <c r="A50" s="11"/>
      <c r="B50" s="783"/>
      <c r="C50" s="104">
        <f>SUMIFS('Arrêt CRIBLAGE'!$G$18:$G$46,'Arrêt CRIBLAGE'!$D$18:$D$46,C48)</f>
        <v>0</v>
      </c>
      <c r="D50" s="104">
        <f>SUMIFS('Arrêt CRIBLAGE'!$G$18:$G$46,'Arrêt CRIBLAGE'!$D$18:$D$46,D48)</f>
        <v>0</v>
      </c>
      <c r="E50" s="104">
        <f>SUMIFS('Arrêt CRIBLAGE'!$G$18:$G$46,'Arrêt CRIBLAGE'!$D$18:$D$46,E48)</f>
        <v>0</v>
      </c>
      <c r="F50" s="104">
        <f>SUMIFS('Arrêt CRIBLAGE'!$G$18:$G$46,'Arrêt CRIBLAGE'!$D$18:$D$46,F48)</f>
        <v>0</v>
      </c>
      <c r="G50" s="104">
        <f>SUMIFS('Arrêt CRIBLAGE'!$G$18:$G$46,'Arrêt CRIBLAGE'!$D$18:$D$46,G48)</f>
        <v>0</v>
      </c>
      <c r="H50" s="104">
        <f>SUMIFS('Arrêt CRIBLAGE'!$G$18:$G$46,'Arrêt CRIBLAGE'!$D$18:$D$46,H48)</f>
        <v>0</v>
      </c>
    </row>
    <row r="51" spans="1:9" ht="26.1" customHeight="1" thickBot="1" x14ac:dyDescent="0.25">
      <c r="A51" s="11"/>
      <c r="B51" s="154" t="s">
        <v>746</v>
      </c>
      <c r="C51" s="153">
        <f>COUNTIF('Arrêt CRIBLAGE'!$D$18:$D$46,C48)</f>
        <v>0</v>
      </c>
      <c r="D51" s="153">
        <f>COUNTIF('Arrêt CRIBLAGE'!$D$18:$D$46,D48)</f>
        <v>0</v>
      </c>
      <c r="E51" s="153">
        <f>COUNTIF('Arrêt CRIBLAGE'!$D$18:$D$46,E48)</f>
        <v>0</v>
      </c>
      <c r="F51" s="153">
        <f>COUNTIF('Arrêt CRIBLAGE'!$D$18:$D$46,F48)</f>
        <v>0</v>
      </c>
      <c r="G51" s="153">
        <f>COUNTIF('Arrêt CRIBLAGE'!$D$18:$D$46,G48)</f>
        <v>0</v>
      </c>
      <c r="H51" s="153">
        <f>COUNTIF('Arrêt CRIBLAGE'!$D$18:$D$46,H48)</f>
        <v>0</v>
      </c>
    </row>
    <row r="52" spans="1:9" ht="23.25" customHeight="1" thickBot="1" x14ac:dyDescent="0.25">
      <c r="A52" s="11"/>
      <c r="B52" s="12"/>
    </row>
    <row r="53" spans="1:9" ht="30" customHeight="1" thickBot="1" x14ac:dyDescent="0.25">
      <c r="A53" s="11"/>
      <c r="B53" s="782" t="s">
        <v>69</v>
      </c>
      <c r="C53" s="110" t="s">
        <v>718</v>
      </c>
      <c r="D53" s="110" t="s">
        <v>723</v>
      </c>
      <c r="E53" s="110" t="s">
        <v>722</v>
      </c>
      <c r="F53" s="110" t="s">
        <v>721</v>
      </c>
      <c r="G53" s="110" t="s">
        <v>720</v>
      </c>
      <c r="H53" s="13"/>
      <c r="I53" s="13"/>
    </row>
    <row r="54" spans="1:9" ht="43.5" customHeight="1" thickBot="1" x14ac:dyDescent="0.25">
      <c r="A54" s="11"/>
      <c r="B54" s="782"/>
      <c r="C54" s="784" t="s">
        <v>70</v>
      </c>
      <c r="D54" s="784" t="s">
        <v>71</v>
      </c>
      <c r="E54" s="784" t="s">
        <v>72</v>
      </c>
      <c r="F54" s="784" t="s">
        <v>73</v>
      </c>
      <c r="G54" s="784" t="s">
        <v>710</v>
      </c>
      <c r="H54" s="14"/>
      <c r="I54" s="14"/>
    </row>
    <row r="55" spans="1:9" ht="43.5" customHeight="1" thickBot="1" x14ac:dyDescent="0.25">
      <c r="A55" s="11"/>
      <c r="B55" s="782"/>
      <c r="C55" s="784"/>
      <c r="D55" s="784"/>
      <c r="E55" s="784"/>
      <c r="F55" s="784"/>
      <c r="G55" s="784"/>
      <c r="H55" s="15"/>
      <c r="I55" s="15"/>
    </row>
    <row r="56" spans="1:9" ht="26.1" customHeight="1" thickBot="1" x14ac:dyDescent="0.25">
      <c r="A56" s="9"/>
      <c r="B56" s="782"/>
      <c r="C56" s="104">
        <f>SUMIFS('Arrêt CRIBLAGE'!$G$18:$G$46,'Arrêt CRIBLAGE'!$D$18:$D$46,C53)</f>
        <v>0</v>
      </c>
      <c r="D56" s="104">
        <f>SUMIFS('Arrêt CRIBLAGE'!$G$18:$G$46,'Arrêt CRIBLAGE'!$D$18:$D$46,D53)</f>
        <v>0</v>
      </c>
      <c r="E56" s="104">
        <f>SUMIFS('Arrêt CRIBLAGE'!$G$18:$G$46,'Arrêt CRIBLAGE'!$D$18:$D$46,E53)</f>
        <v>0</v>
      </c>
      <c r="F56" s="104">
        <f>SUMIFS('Arrêt CRIBLAGE'!$G$18:$G$46,'Arrêt CRIBLAGE'!$D$18:$D$46,F53)</f>
        <v>0</v>
      </c>
      <c r="G56" s="104">
        <f>SUMIFS('Arrêt CRIBLAGE'!$G$18:$G$46,'Arrêt CRIBLAGE'!$D$18:$D$46,G53)</f>
        <v>0</v>
      </c>
      <c r="H56" s="16"/>
      <c r="I56" s="16"/>
    </row>
    <row r="57" spans="1:9" ht="26.1" customHeight="1" thickBot="1" x14ac:dyDescent="0.25">
      <c r="A57" s="9"/>
      <c r="B57" s="154" t="s">
        <v>746</v>
      </c>
      <c r="C57" s="153">
        <f>COUNTIF('Arrêt CRIBLAGE'!$D$18:$D$46,C53)</f>
        <v>0</v>
      </c>
      <c r="D57" s="153">
        <f>COUNTIF('Arrêt CRIBLAGE'!$D$18:$D$46,D53)</f>
        <v>0</v>
      </c>
      <c r="E57" s="153">
        <f>COUNTIF('Arrêt CRIBLAGE'!$D$18:$D$46,E53)</f>
        <v>0</v>
      </c>
      <c r="F57" s="153">
        <f>COUNTIF('Arrêt CRIBLAGE'!$D$18:$D$46,F53)</f>
        <v>0</v>
      </c>
      <c r="G57" s="153">
        <f>COUNTIF('Arrêt CRIBLAGE'!$D$18:$D$46,G53)</f>
        <v>0</v>
      </c>
      <c r="H57" s="16"/>
      <c r="I57" s="16"/>
    </row>
    <row r="58" spans="1:9" ht="18.75" customHeight="1" thickBot="1" x14ac:dyDescent="0.25">
      <c r="A58" s="9"/>
      <c r="C58" s="17"/>
      <c r="D58" s="17"/>
      <c r="E58" s="17"/>
      <c r="F58" s="17"/>
      <c r="G58" s="17"/>
      <c r="H58" s="17"/>
      <c r="I58" s="17"/>
    </row>
    <row r="59" spans="1:9" ht="43.5" customHeight="1" thickBot="1" x14ac:dyDescent="0.25">
      <c r="A59" s="9"/>
      <c r="B59" s="781" t="s">
        <v>74</v>
      </c>
      <c r="C59" s="43" t="s">
        <v>75</v>
      </c>
      <c r="D59" s="43" t="s">
        <v>93</v>
      </c>
      <c r="E59" s="43" t="s">
        <v>76</v>
      </c>
      <c r="F59" s="43" t="s">
        <v>94</v>
      </c>
      <c r="G59" s="43" t="s">
        <v>77</v>
      </c>
      <c r="H59" s="43" t="s">
        <v>91</v>
      </c>
    </row>
    <row r="60" spans="1:9" ht="43.5" customHeight="1" thickBot="1" x14ac:dyDescent="0.25">
      <c r="B60" s="781"/>
      <c r="C60" s="101">
        <f>+C50+D50+E50+F50+G50+H50+C56+D56+E56+F56+G56</f>
        <v>0</v>
      </c>
      <c r="D60" s="101">
        <f>D62-D50-E50-F50-G50-H50+E62</f>
        <v>1</v>
      </c>
      <c r="E60" s="101">
        <f>D62+E62-C60</f>
        <v>1</v>
      </c>
      <c r="F60" s="102">
        <f>+D60/D62</f>
        <v>1.0006949270326615</v>
      </c>
      <c r="G60" s="102">
        <f>E60/D60</f>
        <v>1</v>
      </c>
      <c r="H60" s="103">
        <f>E60/D62</f>
        <v>1.0006949270326615</v>
      </c>
    </row>
    <row r="62" spans="1:9" ht="19.5" hidden="1" x14ac:dyDescent="0.2">
      <c r="D62" s="78">
        <v>0.99930555555555556</v>
      </c>
      <c r="E62" s="78">
        <v>6.9444444444444447E-4</v>
      </c>
    </row>
  </sheetData>
  <mergeCells count="47">
    <mergeCell ref="B59:B60"/>
    <mergeCell ref="H44:I44"/>
    <mergeCell ref="H45:I45"/>
    <mergeCell ref="H46:I46"/>
    <mergeCell ref="B48:B50"/>
    <mergeCell ref="B53:B56"/>
    <mergeCell ref="C54:C55"/>
    <mergeCell ref="D54:D55"/>
    <mergeCell ref="E54:E55"/>
    <mergeCell ref="F54:F55"/>
    <mergeCell ref="G54:G55"/>
    <mergeCell ref="H43:I43"/>
    <mergeCell ref="H32:I32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31:I31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19:I19"/>
    <mergeCell ref="C2:D3"/>
    <mergeCell ref="C4:D5"/>
    <mergeCell ref="F6:G6"/>
    <mergeCell ref="B9:C10"/>
    <mergeCell ref="E9:I9"/>
    <mergeCell ref="E10:I10"/>
    <mergeCell ref="B11:C11"/>
    <mergeCell ref="F11:H11"/>
    <mergeCell ref="B14:I15"/>
    <mergeCell ref="H17:I17"/>
    <mergeCell ref="H18:I18"/>
  </mergeCells>
  <dataValidations count="3">
    <dataValidation type="list" allowBlank="1" showInputMessage="1" showErrorMessage="1" sqref="H18:I46">
      <formula1>INDIRECT(D18)</formula1>
    </dataValidation>
    <dataValidation type="list" allowBlank="1" showInputMessage="1" showErrorMessage="1" sqref="C32:C46 C18:C28">
      <formula1>INDIRECT(B18)</formula1>
    </dataValidation>
    <dataValidation type="list" allowBlank="1" showInputMessage="1" showErrorMessage="1" sqref="C29:C31">
      <formula1>INDIRECT(B28)</formula1>
    </dataValidation>
  </dataValidations>
  <printOptions horizontalCentered="1" verticalCentered="1"/>
  <pageMargins left="0" right="0.19685039370078741" top="0" bottom="0" header="0" footer="0"/>
  <pageSetup paperSize="9" scale="38" orientation="portrait" horizontalDpi="180" verticalDpi="180" r:id="rId1"/>
  <headerFooter alignWithMargins="0"/>
  <rowBreaks count="1" manualBreakCount="1">
    <brk id="60" max="8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arrêts!$B$3:$M$3</xm:f>
          </x14:formula1>
          <xm:sqref>C53:G53 C48:H48 D18:D46</xm:sqref>
        </x14:dataValidation>
        <x14:dataValidation type="list" allowBlank="1" showInputMessage="1" showErrorMessage="1">
          <x14:formula1>
            <xm:f>organges!$F$1:$H$1</xm:f>
          </x14:formula1>
          <xm:sqref>B22:B23 B26:B46</xm:sqref>
        </x14:dataValidation>
        <x14:dataValidation type="list" allowBlank="1" showInputMessage="1" showErrorMessage="1">
          <x14:formula1>
            <xm:f>organges!$B$1:$J$1</xm:f>
          </x14:formula1>
          <xm:sqref>B18:B21 B24:B25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R48"/>
  <sheetViews>
    <sheetView zoomScale="55" zoomScaleNormal="55" workbookViewId="0">
      <selection activeCell="K29" sqref="K29"/>
    </sheetView>
  </sheetViews>
  <sheetFormatPr defaultColWidth="11.25" defaultRowHeight="18.75" x14ac:dyDescent="0.3"/>
  <cols>
    <col min="1" max="1" width="11.25" style="124"/>
    <col min="2" max="2" width="18.875" style="124" customWidth="1"/>
    <col min="3" max="3" width="17.5" style="124" customWidth="1"/>
    <col min="4" max="4" width="17.375" style="124" customWidth="1"/>
    <col min="5" max="5" width="18.125" style="124" customWidth="1"/>
    <col min="6" max="6" width="17.125" style="124" customWidth="1"/>
    <col min="7" max="7" width="16.25" style="124" customWidth="1"/>
    <col min="8" max="8" width="21.125" style="124" customWidth="1"/>
    <col min="9" max="9" width="16" style="124" customWidth="1"/>
    <col min="10" max="10" width="18.875" style="124" customWidth="1"/>
    <col min="11" max="16384" width="11.25" style="124"/>
  </cols>
  <sheetData>
    <row r="1" spans="1:18" ht="51" customHeight="1" x14ac:dyDescent="0.3">
      <c r="A1" s="122"/>
      <c r="B1" s="123" t="s">
        <v>725</v>
      </c>
      <c r="C1" s="123" t="s">
        <v>726</v>
      </c>
      <c r="D1" s="123" t="s">
        <v>727</v>
      </c>
      <c r="E1" s="123" t="s">
        <v>728</v>
      </c>
      <c r="F1" s="123" t="s">
        <v>729</v>
      </c>
      <c r="G1" s="123" t="s">
        <v>730</v>
      </c>
      <c r="H1" s="123" t="s">
        <v>731</v>
      </c>
      <c r="I1" s="123" t="s">
        <v>732</v>
      </c>
      <c r="J1" s="123" t="s">
        <v>733</v>
      </c>
    </row>
    <row r="2" spans="1:18" ht="37.5" x14ac:dyDescent="0.3">
      <c r="A2" s="125" t="s">
        <v>725</v>
      </c>
      <c r="B2" s="126" t="s">
        <v>734</v>
      </c>
      <c r="C2" s="126" t="s">
        <v>572</v>
      </c>
      <c r="D2" s="126" t="s">
        <v>629</v>
      </c>
      <c r="E2" s="126" t="s">
        <v>556</v>
      </c>
      <c r="F2" s="126" t="s">
        <v>741</v>
      </c>
      <c r="G2" s="126" t="s">
        <v>537</v>
      </c>
      <c r="H2" s="125" t="s">
        <v>50</v>
      </c>
      <c r="I2" s="126" t="s">
        <v>558</v>
      </c>
      <c r="J2" s="126" t="s">
        <v>703</v>
      </c>
    </row>
    <row r="3" spans="1:18" ht="37.5" x14ac:dyDescent="0.3">
      <c r="A3" s="125" t="s">
        <v>726</v>
      </c>
      <c r="B3" s="126" t="s">
        <v>684</v>
      </c>
      <c r="C3" s="126" t="s">
        <v>574</v>
      </c>
      <c r="D3" s="126" t="s">
        <v>564</v>
      </c>
      <c r="E3" s="126" t="s">
        <v>598</v>
      </c>
      <c r="F3" s="126" t="s">
        <v>735</v>
      </c>
      <c r="G3" s="126" t="s">
        <v>639</v>
      </c>
      <c r="H3" s="125" t="s">
        <v>681</v>
      </c>
      <c r="I3" s="126" t="s">
        <v>565</v>
      </c>
      <c r="J3" s="126" t="s">
        <v>704</v>
      </c>
    </row>
    <row r="4" spans="1:18" ht="37.5" x14ac:dyDescent="0.3">
      <c r="A4" s="125" t="s">
        <v>727</v>
      </c>
      <c r="B4" s="126" t="s">
        <v>564</v>
      </c>
      <c r="C4" s="126" t="s">
        <v>573</v>
      </c>
      <c r="D4" s="126" t="s">
        <v>556</v>
      </c>
      <c r="E4" s="126" t="s">
        <v>603</v>
      </c>
      <c r="F4" s="126" t="s">
        <v>624</v>
      </c>
      <c r="G4" s="126" t="s">
        <v>633</v>
      </c>
      <c r="H4" s="125" t="s">
        <v>680</v>
      </c>
      <c r="I4" s="126" t="s">
        <v>564</v>
      </c>
      <c r="J4" s="126" t="s">
        <v>705</v>
      </c>
    </row>
    <row r="5" spans="1:18" ht="37.5" x14ac:dyDescent="0.3">
      <c r="A5" s="125" t="s">
        <v>728</v>
      </c>
      <c r="B5" s="126" t="s">
        <v>685</v>
      </c>
      <c r="C5" s="126" t="s">
        <v>564</v>
      </c>
      <c r="D5" s="126" t="s">
        <v>627</v>
      </c>
      <c r="E5" s="126" t="s">
        <v>606</v>
      </c>
      <c r="F5" s="126" t="s">
        <v>625</v>
      </c>
      <c r="G5" s="126" t="s">
        <v>638</v>
      </c>
      <c r="H5" s="125" t="s">
        <v>679</v>
      </c>
      <c r="I5" s="126" t="s">
        <v>560</v>
      </c>
      <c r="J5" s="126" t="s">
        <v>706</v>
      </c>
    </row>
    <row r="6" spans="1:18" x14ac:dyDescent="0.3">
      <c r="A6" s="125" t="s">
        <v>729</v>
      </c>
      <c r="B6" s="126" t="s">
        <v>687</v>
      </c>
      <c r="C6" s="126" t="s">
        <v>571</v>
      </c>
      <c r="D6" s="126" t="s">
        <v>628</v>
      </c>
      <c r="E6" s="126" t="s">
        <v>607</v>
      </c>
      <c r="F6" s="126" t="s">
        <v>619</v>
      </c>
      <c r="G6" s="126" t="s">
        <v>641</v>
      </c>
      <c r="H6" s="125" t="s">
        <v>537</v>
      </c>
      <c r="I6" s="126" t="s">
        <v>549</v>
      </c>
      <c r="J6" s="126" t="s">
        <v>700</v>
      </c>
    </row>
    <row r="7" spans="1:18" x14ac:dyDescent="0.3">
      <c r="A7" s="125" t="s">
        <v>730</v>
      </c>
      <c r="B7" s="126" t="s">
        <v>686</v>
      </c>
      <c r="C7" s="126" t="s">
        <v>570</v>
      </c>
      <c r="D7" s="126" t="s">
        <v>630</v>
      </c>
      <c r="E7" s="126" t="s">
        <v>605</v>
      </c>
      <c r="F7" s="126" t="s">
        <v>620</v>
      </c>
      <c r="G7" s="126" t="s">
        <v>532</v>
      </c>
      <c r="H7" s="125" t="s">
        <v>556</v>
      </c>
      <c r="I7" s="126" t="s">
        <v>550</v>
      </c>
      <c r="J7" s="126" t="s">
        <v>736</v>
      </c>
    </row>
    <row r="8" spans="1:18" x14ac:dyDescent="0.3">
      <c r="A8" s="125" t="s">
        <v>731</v>
      </c>
      <c r="B8" s="126" t="s">
        <v>107</v>
      </c>
      <c r="C8" s="126" t="s">
        <v>549</v>
      </c>
      <c r="D8" s="126" t="s">
        <v>631</v>
      </c>
      <c r="E8" s="126" t="s">
        <v>599</v>
      </c>
      <c r="F8" s="126" t="s">
        <v>621</v>
      </c>
      <c r="G8" s="126" t="s">
        <v>637</v>
      </c>
      <c r="H8" s="125" t="s">
        <v>644</v>
      </c>
      <c r="I8" s="126" t="s">
        <v>561</v>
      </c>
      <c r="J8" s="126" t="s">
        <v>701</v>
      </c>
    </row>
    <row r="9" spans="1:18" ht="37.5" x14ac:dyDescent="0.3">
      <c r="A9" s="125" t="s">
        <v>732</v>
      </c>
      <c r="B9" s="126" t="s">
        <v>688</v>
      </c>
      <c r="C9" s="126" t="s">
        <v>569</v>
      </c>
      <c r="D9" s="126" t="s">
        <v>632</v>
      </c>
      <c r="E9" s="126" t="s">
        <v>604</v>
      </c>
      <c r="F9" s="126" t="s">
        <v>622</v>
      </c>
      <c r="G9" s="126" t="s">
        <v>553</v>
      </c>
      <c r="H9" s="125" t="s">
        <v>642</v>
      </c>
      <c r="I9" s="126" t="s">
        <v>562</v>
      </c>
      <c r="J9" s="126" t="s">
        <v>737</v>
      </c>
    </row>
    <row r="10" spans="1:18" x14ac:dyDescent="0.3">
      <c r="A10" s="125" t="s">
        <v>733</v>
      </c>
      <c r="B10" s="126" t="s">
        <v>554</v>
      </c>
      <c r="C10" s="126" t="s">
        <v>556</v>
      </c>
      <c r="D10" s="126" t="s">
        <v>626</v>
      </c>
      <c r="E10" s="126" t="s">
        <v>602</v>
      </c>
      <c r="F10" s="126" t="s">
        <v>608</v>
      </c>
      <c r="G10" s="126" t="s">
        <v>636</v>
      </c>
      <c r="H10" s="125" t="s">
        <v>645</v>
      </c>
      <c r="I10" s="126" t="s">
        <v>531</v>
      </c>
      <c r="J10" s="126" t="s">
        <v>692</v>
      </c>
      <c r="R10" s="124" t="s">
        <v>806</v>
      </c>
    </row>
    <row r="11" spans="1:18" x14ac:dyDescent="0.3">
      <c r="A11" s="125"/>
      <c r="B11" s="126" t="s">
        <v>555</v>
      </c>
      <c r="C11" s="126" t="s">
        <v>80</v>
      </c>
      <c r="D11" s="126" t="s">
        <v>79</v>
      </c>
      <c r="E11" s="126" t="s">
        <v>597</v>
      </c>
      <c r="F11" s="126" t="s">
        <v>611</v>
      </c>
      <c r="G11" s="126" t="s">
        <v>635</v>
      </c>
      <c r="H11" s="125" t="s">
        <v>643</v>
      </c>
      <c r="I11" s="126" t="s">
        <v>563</v>
      </c>
      <c r="J11" s="126" t="s">
        <v>694</v>
      </c>
    </row>
    <row r="12" spans="1:18" x14ac:dyDescent="0.3">
      <c r="A12" s="125"/>
      <c r="B12" s="126" t="s">
        <v>568</v>
      </c>
      <c r="C12" s="126" t="s">
        <v>48</v>
      </c>
      <c r="D12" s="126" t="s">
        <v>48</v>
      </c>
      <c r="E12" s="126" t="s">
        <v>595</v>
      </c>
      <c r="F12" s="126" t="s">
        <v>612</v>
      </c>
      <c r="G12" s="126" t="s">
        <v>634</v>
      </c>
      <c r="H12" s="125" t="s">
        <v>656</v>
      </c>
      <c r="I12" s="126" t="s">
        <v>738</v>
      </c>
      <c r="J12" s="126" t="s">
        <v>695</v>
      </c>
    </row>
    <row r="13" spans="1:18" x14ac:dyDescent="0.3">
      <c r="A13" s="125"/>
      <c r="B13" s="126" t="s">
        <v>557</v>
      </c>
      <c r="C13" s="126" t="s">
        <v>49</v>
      </c>
      <c r="D13" s="126" t="s">
        <v>49</v>
      </c>
      <c r="E13" s="126" t="s">
        <v>601</v>
      </c>
      <c r="F13" s="126" t="s">
        <v>613</v>
      </c>
      <c r="G13" s="126" t="s">
        <v>556</v>
      </c>
      <c r="H13" s="125" t="s">
        <v>647</v>
      </c>
      <c r="I13" s="126" t="s">
        <v>554</v>
      </c>
      <c r="J13" s="126" t="s">
        <v>696</v>
      </c>
    </row>
    <row r="14" spans="1:18" ht="56.25" x14ac:dyDescent="0.3">
      <c r="A14" s="125"/>
      <c r="B14" s="126" t="s">
        <v>548</v>
      </c>
      <c r="C14" s="126" t="s">
        <v>594</v>
      </c>
      <c r="D14" s="126" t="s">
        <v>594</v>
      </c>
      <c r="E14" s="126" t="s">
        <v>600</v>
      </c>
      <c r="F14" s="126" t="s">
        <v>614</v>
      </c>
      <c r="G14" s="126" t="s">
        <v>640</v>
      </c>
      <c r="H14" s="125" t="s">
        <v>658</v>
      </c>
      <c r="I14" s="126" t="s">
        <v>555</v>
      </c>
      <c r="J14" s="126" t="s">
        <v>697</v>
      </c>
    </row>
    <row r="15" spans="1:18" ht="37.5" x14ac:dyDescent="0.3">
      <c r="A15" s="125"/>
      <c r="B15" s="126" t="s">
        <v>559</v>
      </c>
      <c r="C15" s="126" t="s">
        <v>589</v>
      </c>
      <c r="D15" s="126" t="s">
        <v>589</v>
      </c>
      <c r="E15" s="126" t="s">
        <v>596</v>
      </c>
      <c r="F15" s="126" t="s">
        <v>615</v>
      </c>
      <c r="G15" s="126" t="s">
        <v>564</v>
      </c>
      <c r="H15" s="125" t="s">
        <v>646</v>
      </c>
      <c r="I15" s="126" t="s">
        <v>568</v>
      </c>
      <c r="J15" s="126" t="s">
        <v>698</v>
      </c>
    </row>
    <row r="16" spans="1:18" x14ac:dyDescent="0.3">
      <c r="A16" s="125"/>
      <c r="B16" s="126" t="s">
        <v>739</v>
      </c>
      <c r="C16" s="126" t="s">
        <v>592</v>
      </c>
      <c r="D16" s="126" t="s">
        <v>592</v>
      </c>
      <c r="E16" s="125"/>
      <c r="F16" s="126" t="s">
        <v>623</v>
      </c>
      <c r="G16" s="125"/>
      <c r="H16" s="125" t="s">
        <v>649</v>
      </c>
      <c r="I16" s="126" t="s">
        <v>557</v>
      </c>
      <c r="J16" s="126" t="s">
        <v>707</v>
      </c>
    </row>
    <row r="17" spans="1:10" x14ac:dyDescent="0.3">
      <c r="A17" s="125"/>
      <c r="B17" s="126" t="s">
        <v>740</v>
      </c>
      <c r="C17" s="126" t="s">
        <v>593</v>
      </c>
      <c r="D17" s="126" t="s">
        <v>593</v>
      </c>
      <c r="E17" s="125"/>
      <c r="F17" s="126" t="s">
        <v>609</v>
      </c>
      <c r="G17" s="125"/>
      <c r="H17" s="125" t="s">
        <v>668</v>
      </c>
      <c r="I17" s="126" t="s">
        <v>548</v>
      </c>
      <c r="J17" s="126" t="s">
        <v>693</v>
      </c>
    </row>
    <row r="18" spans="1:10" x14ac:dyDescent="0.3">
      <c r="A18" s="125"/>
      <c r="B18" s="126" t="s">
        <v>46</v>
      </c>
      <c r="C18" s="126" t="s">
        <v>552</v>
      </c>
      <c r="D18" s="126" t="s">
        <v>552</v>
      </c>
      <c r="E18" s="125"/>
      <c r="F18" s="126" t="s">
        <v>578</v>
      </c>
      <c r="G18" s="125"/>
      <c r="H18" s="125" t="s">
        <v>667</v>
      </c>
      <c r="I18" s="126" t="s">
        <v>559</v>
      </c>
      <c r="J18" s="126" t="s">
        <v>556</v>
      </c>
    </row>
    <row r="19" spans="1:10" ht="37.5" x14ac:dyDescent="0.3">
      <c r="A19" s="125"/>
      <c r="B19" s="126" t="s">
        <v>47</v>
      </c>
      <c r="C19" s="126" t="s">
        <v>551</v>
      </c>
      <c r="D19" s="126" t="s">
        <v>551</v>
      </c>
      <c r="E19" s="125"/>
      <c r="F19" s="126" t="s">
        <v>579</v>
      </c>
      <c r="G19" s="125"/>
      <c r="H19" s="125" t="s">
        <v>666</v>
      </c>
      <c r="I19" s="126" t="s">
        <v>739</v>
      </c>
      <c r="J19" s="126" t="s">
        <v>699</v>
      </c>
    </row>
    <row r="20" spans="1:10" x14ac:dyDescent="0.3">
      <c r="A20" s="125"/>
      <c r="B20" s="126" t="s">
        <v>552</v>
      </c>
      <c r="C20" s="126" t="s">
        <v>47</v>
      </c>
      <c r="D20" s="126" t="s">
        <v>47</v>
      </c>
      <c r="E20" s="125"/>
      <c r="F20" s="126" t="s">
        <v>580</v>
      </c>
      <c r="G20" s="125"/>
      <c r="H20" s="125" t="s">
        <v>665</v>
      </c>
      <c r="I20" s="126" t="s">
        <v>46</v>
      </c>
      <c r="J20" s="125"/>
    </row>
    <row r="21" spans="1:10" x14ac:dyDescent="0.3">
      <c r="A21" s="125"/>
      <c r="B21" s="126" t="s">
        <v>551</v>
      </c>
      <c r="C21" s="125"/>
      <c r="D21" s="125"/>
      <c r="E21" s="125"/>
      <c r="F21" s="126" t="s">
        <v>581</v>
      </c>
      <c r="G21" s="125"/>
      <c r="H21" s="125" t="s">
        <v>664</v>
      </c>
      <c r="I21" s="126" t="s">
        <v>47</v>
      </c>
      <c r="J21" s="125"/>
    </row>
    <row r="22" spans="1:10" x14ac:dyDescent="0.3">
      <c r="A22" s="125"/>
      <c r="B22" s="126" t="s">
        <v>566</v>
      </c>
      <c r="C22" s="125"/>
      <c r="D22" s="125"/>
      <c r="E22" s="125"/>
      <c r="F22" s="126" t="s">
        <v>582</v>
      </c>
      <c r="G22" s="125"/>
      <c r="H22" s="125" t="s">
        <v>663</v>
      </c>
      <c r="I22" s="126" t="s">
        <v>552</v>
      </c>
      <c r="J22" s="125"/>
    </row>
    <row r="23" spans="1:10" x14ac:dyDescent="0.3">
      <c r="A23" s="125"/>
      <c r="B23" s="126" t="s">
        <v>567</v>
      </c>
      <c r="C23" s="126"/>
      <c r="D23" s="125"/>
      <c r="E23" s="125"/>
      <c r="F23" s="126" t="s">
        <v>583</v>
      </c>
      <c r="G23" s="125"/>
      <c r="H23" s="125" t="s">
        <v>655</v>
      </c>
      <c r="I23" s="126" t="s">
        <v>551</v>
      </c>
      <c r="J23" s="125"/>
    </row>
    <row r="24" spans="1:10" x14ac:dyDescent="0.3">
      <c r="A24" s="125"/>
      <c r="B24" s="126" t="s">
        <v>556</v>
      </c>
      <c r="C24" s="126"/>
      <c r="D24" s="125"/>
      <c r="E24" s="125"/>
      <c r="F24" s="126" t="s">
        <v>584</v>
      </c>
      <c r="G24" s="125"/>
      <c r="H24" s="125" t="s">
        <v>648</v>
      </c>
      <c r="I24" s="126" t="s">
        <v>566</v>
      </c>
      <c r="J24" s="125"/>
    </row>
    <row r="25" spans="1:10" x14ac:dyDescent="0.3">
      <c r="A25" s="125"/>
      <c r="B25" s="125" t="s">
        <v>692</v>
      </c>
      <c r="C25" s="126"/>
      <c r="D25" s="125"/>
      <c r="E25" s="125"/>
      <c r="F25" s="126" t="s">
        <v>585</v>
      </c>
      <c r="G25" s="125"/>
      <c r="H25" s="125" t="s">
        <v>662</v>
      </c>
      <c r="I25" s="126" t="s">
        <v>567</v>
      </c>
      <c r="J25" s="125"/>
    </row>
    <row r="26" spans="1:10" x14ac:dyDescent="0.3">
      <c r="A26" s="125"/>
      <c r="B26" s="125"/>
      <c r="C26" s="126"/>
      <c r="D26" s="125"/>
      <c r="E26" s="125"/>
      <c r="F26" s="126" t="s">
        <v>575</v>
      </c>
      <c r="G26" s="125"/>
      <c r="H26" s="125" t="s">
        <v>651</v>
      </c>
      <c r="I26" s="126" t="s">
        <v>556</v>
      </c>
      <c r="J26" s="125"/>
    </row>
    <row r="27" spans="1:10" x14ac:dyDescent="0.3">
      <c r="A27" s="125"/>
      <c r="B27" s="125"/>
      <c r="C27" s="126"/>
      <c r="D27" s="125"/>
      <c r="E27" s="125"/>
      <c r="F27" s="126" t="s">
        <v>587</v>
      </c>
      <c r="G27" s="125"/>
      <c r="H27" s="125" t="s">
        <v>652</v>
      </c>
      <c r="I27" s="125" t="s">
        <v>694</v>
      </c>
      <c r="J27" s="125"/>
    </row>
    <row r="28" spans="1:10" x14ac:dyDescent="0.3">
      <c r="A28" s="125"/>
      <c r="B28" s="125"/>
      <c r="C28" s="125"/>
      <c r="D28" s="125"/>
      <c r="E28" s="125"/>
      <c r="F28" s="126" t="s">
        <v>616</v>
      </c>
      <c r="G28" s="125"/>
      <c r="H28" s="125" t="s">
        <v>654</v>
      </c>
      <c r="I28" s="125" t="s">
        <v>793</v>
      </c>
      <c r="J28" s="125"/>
    </row>
    <row r="29" spans="1:10" x14ac:dyDescent="0.3">
      <c r="A29" s="125"/>
      <c r="B29" s="125"/>
      <c r="C29" s="125"/>
      <c r="D29" s="125"/>
      <c r="E29" s="125"/>
      <c r="F29" s="126" t="s">
        <v>591</v>
      </c>
      <c r="G29" s="125"/>
      <c r="H29" s="125" t="s">
        <v>650</v>
      </c>
      <c r="I29" s="125"/>
      <c r="J29" s="125"/>
    </row>
    <row r="30" spans="1:10" x14ac:dyDescent="0.3">
      <c r="A30" s="125"/>
      <c r="B30" s="125"/>
      <c r="C30" s="126"/>
      <c r="D30" s="125"/>
      <c r="E30" s="125"/>
      <c r="F30" s="126" t="s">
        <v>576</v>
      </c>
      <c r="G30" s="125"/>
      <c r="H30" s="125" t="s">
        <v>657</v>
      </c>
      <c r="I30" s="125"/>
      <c r="J30" s="125"/>
    </row>
    <row r="31" spans="1:10" x14ac:dyDescent="0.3">
      <c r="A31" s="125"/>
      <c r="B31" s="125"/>
      <c r="C31" s="126"/>
      <c r="D31" s="125"/>
      <c r="E31" s="125"/>
      <c r="F31" s="126" t="s">
        <v>556</v>
      </c>
      <c r="G31" s="125"/>
      <c r="H31" s="125" t="s">
        <v>659</v>
      </c>
      <c r="I31" s="125"/>
      <c r="J31" s="125"/>
    </row>
    <row r="32" spans="1:10" x14ac:dyDescent="0.3">
      <c r="A32" s="125"/>
      <c r="B32" s="125"/>
      <c r="C32" s="125"/>
      <c r="D32" s="125"/>
      <c r="E32" s="125"/>
      <c r="F32" s="125" t="s">
        <v>672</v>
      </c>
      <c r="G32" s="125"/>
      <c r="H32" s="125" t="s">
        <v>660</v>
      </c>
      <c r="I32" s="125"/>
      <c r="J32" s="125"/>
    </row>
    <row r="33" spans="1:10" x14ac:dyDescent="0.3">
      <c r="A33" s="125"/>
      <c r="B33" s="125"/>
      <c r="C33" s="125"/>
      <c r="D33" s="125"/>
      <c r="E33" s="125"/>
      <c r="F33" s="125" t="s">
        <v>673</v>
      </c>
      <c r="G33" s="125"/>
      <c r="H33" s="125" t="s">
        <v>661</v>
      </c>
      <c r="I33" s="125"/>
      <c r="J33" s="125"/>
    </row>
    <row r="34" spans="1:10" x14ac:dyDescent="0.3">
      <c r="A34" s="125"/>
      <c r="B34" s="125"/>
      <c r="C34" s="125"/>
      <c r="D34" s="125"/>
      <c r="E34" s="125"/>
      <c r="F34" s="125" t="s">
        <v>671</v>
      </c>
      <c r="G34" s="125"/>
      <c r="H34" s="125" t="s">
        <v>669</v>
      </c>
      <c r="I34" s="125"/>
      <c r="J34" s="125"/>
    </row>
    <row r="35" spans="1:10" x14ac:dyDescent="0.3">
      <c r="A35" s="125"/>
      <c r="B35" s="125"/>
      <c r="C35" s="125"/>
      <c r="D35" s="125"/>
      <c r="E35" s="125"/>
      <c r="F35" s="125" t="s">
        <v>674</v>
      </c>
      <c r="G35" s="125"/>
      <c r="H35" s="125" t="s">
        <v>653</v>
      </c>
      <c r="I35" s="125"/>
      <c r="J35" s="125"/>
    </row>
    <row r="36" spans="1:10" x14ac:dyDescent="0.3">
      <c r="A36" s="125"/>
      <c r="B36" s="125"/>
      <c r="C36" s="125"/>
      <c r="D36" s="125"/>
      <c r="E36" s="125"/>
      <c r="F36" s="126" t="s">
        <v>675</v>
      </c>
      <c r="G36" s="125"/>
      <c r="H36" s="125"/>
      <c r="I36" s="125"/>
      <c r="J36" s="125"/>
    </row>
    <row r="37" spans="1:10" x14ac:dyDescent="0.3">
      <c r="A37" s="125"/>
      <c r="B37" s="125"/>
      <c r="C37" s="125"/>
      <c r="D37" s="125"/>
      <c r="E37" s="125"/>
      <c r="F37" s="126" t="s">
        <v>676</v>
      </c>
      <c r="G37" s="125"/>
      <c r="H37" s="125"/>
      <c r="I37" s="125"/>
      <c r="J37" s="125"/>
    </row>
    <row r="38" spans="1:10" x14ac:dyDescent="0.3">
      <c r="A38" s="125"/>
      <c r="B38" s="125"/>
      <c r="C38" s="125"/>
      <c r="D38" s="125"/>
      <c r="E38" s="125"/>
      <c r="F38" s="126" t="s">
        <v>677</v>
      </c>
      <c r="G38" s="125"/>
      <c r="H38" s="125"/>
      <c r="I38" s="125"/>
      <c r="J38" s="125"/>
    </row>
    <row r="39" spans="1:10" x14ac:dyDescent="0.3">
      <c r="A39" s="125"/>
      <c r="B39" s="125"/>
      <c r="C39" s="126"/>
      <c r="D39" s="125"/>
      <c r="E39" s="125"/>
      <c r="F39" s="125" t="s">
        <v>670</v>
      </c>
      <c r="G39" s="125"/>
      <c r="H39" s="125"/>
      <c r="I39" s="125"/>
      <c r="J39" s="125"/>
    </row>
    <row r="40" spans="1:10" x14ac:dyDescent="0.3">
      <c r="A40" s="125"/>
      <c r="B40" s="125"/>
      <c r="C40" s="126"/>
      <c r="D40" s="125"/>
      <c r="E40" s="125"/>
      <c r="F40" s="126" t="s">
        <v>678</v>
      </c>
      <c r="G40" s="125"/>
      <c r="H40" s="125"/>
      <c r="I40" s="125"/>
      <c r="J40" s="125"/>
    </row>
    <row r="44" spans="1:10" x14ac:dyDescent="0.3">
      <c r="F44" s="127"/>
    </row>
    <row r="45" spans="1:10" x14ac:dyDescent="0.3">
      <c r="F45" s="127"/>
    </row>
    <row r="46" spans="1:10" x14ac:dyDescent="0.3">
      <c r="F46" s="127"/>
    </row>
    <row r="47" spans="1:10" x14ac:dyDescent="0.3">
      <c r="F47" s="127"/>
    </row>
    <row r="48" spans="1:10" x14ac:dyDescent="0.3">
      <c r="F48" s="127"/>
    </row>
  </sheetData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3:R120"/>
  <sheetViews>
    <sheetView showFormulas="1" zoomScale="55" zoomScaleNormal="55" workbookViewId="0">
      <selection activeCell="F24" sqref="F24"/>
    </sheetView>
  </sheetViews>
  <sheetFormatPr defaultColWidth="11" defaultRowHeight="18" x14ac:dyDescent="0.25"/>
  <cols>
    <col min="1" max="1" width="11" style="111"/>
    <col min="2" max="2" width="29" style="111" customWidth="1"/>
    <col min="3" max="3" width="24.625" style="111" customWidth="1"/>
    <col min="4" max="4" width="51.5" style="111" customWidth="1"/>
    <col min="5" max="5" width="40" style="111" customWidth="1"/>
    <col min="6" max="6" width="43.25" style="111" customWidth="1"/>
    <col min="7" max="7" width="29.875" style="111" customWidth="1"/>
    <col min="8" max="8" width="27.75" style="111" customWidth="1"/>
    <col min="9" max="9" width="21.875" style="111" customWidth="1"/>
    <col min="10" max="10" width="27.25" style="111" customWidth="1"/>
    <col min="11" max="11" width="20.375" style="111" customWidth="1"/>
    <col min="12" max="12" width="29.625" style="111" customWidth="1"/>
    <col min="13" max="13" width="23.625" style="111" customWidth="1"/>
    <col min="14" max="16384" width="11" style="111"/>
  </cols>
  <sheetData>
    <row r="3" spans="1:18" x14ac:dyDescent="0.25">
      <c r="A3" s="113" t="s">
        <v>711</v>
      </c>
      <c r="B3" s="113" t="s">
        <v>712</v>
      </c>
      <c r="C3" s="113" t="s">
        <v>713</v>
      </c>
      <c r="D3" s="113" t="s">
        <v>714</v>
      </c>
      <c r="E3" s="113" t="s">
        <v>715</v>
      </c>
      <c r="F3" s="113" t="s">
        <v>716</v>
      </c>
      <c r="G3" s="113" t="s">
        <v>717</v>
      </c>
      <c r="H3" s="114" t="s">
        <v>718</v>
      </c>
      <c r="I3" s="114" t="s">
        <v>719</v>
      </c>
      <c r="J3" s="114" t="s">
        <v>720</v>
      </c>
      <c r="K3" s="114" t="s">
        <v>721</v>
      </c>
      <c r="L3" s="114" t="s">
        <v>722</v>
      </c>
      <c r="M3" s="114" t="s">
        <v>723</v>
      </c>
      <c r="N3" s="111" t="s">
        <v>784</v>
      </c>
    </row>
    <row r="4" spans="1:18" ht="36" x14ac:dyDescent="0.25">
      <c r="A4" s="115" t="s">
        <v>712</v>
      </c>
      <c r="B4" s="117" t="s">
        <v>199</v>
      </c>
      <c r="C4" s="491" t="s">
        <v>799</v>
      </c>
      <c r="D4" s="118" t="s">
        <v>354</v>
      </c>
      <c r="E4" s="112" t="s">
        <v>291</v>
      </c>
      <c r="F4" s="117" t="s">
        <v>136</v>
      </c>
      <c r="G4" s="117" t="s">
        <v>235</v>
      </c>
      <c r="H4" s="117" t="s">
        <v>170</v>
      </c>
      <c r="I4" s="112"/>
      <c r="J4" s="117" t="s">
        <v>518</v>
      </c>
      <c r="K4" s="117" t="s">
        <v>472</v>
      </c>
      <c r="L4" s="117" t="s">
        <v>176</v>
      </c>
      <c r="M4" s="117" t="s">
        <v>482</v>
      </c>
      <c r="N4" s="112" t="s">
        <v>783</v>
      </c>
    </row>
    <row r="5" spans="1:18" ht="36" x14ac:dyDescent="0.25">
      <c r="A5" s="115" t="s">
        <v>713</v>
      </c>
      <c r="B5" s="117" t="s">
        <v>200</v>
      </c>
      <c r="C5" s="117" t="s">
        <v>236</v>
      </c>
      <c r="D5" s="118" t="s">
        <v>355</v>
      </c>
      <c r="E5" s="112" t="s">
        <v>292</v>
      </c>
      <c r="F5" s="117" t="s">
        <v>461</v>
      </c>
      <c r="G5" s="117" t="s">
        <v>182</v>
      </c>
      <c r="H5" s="117" t="s">
        <v>131</v>
      </c>
      <c r="I5" s="112"/>
      <c r="J5" s="117" t="s">
        <v>519</v>
      </c>
      <c r="K5" s="117" t="s">
        <v>473</v>
      </c>
      <c r="L5" s="117" t="s">
        <v>148</v>
      </c>
      <c r="M5" s="117" t="s">
        <v>483</v>
      </c>
    </row>
    <row r="6" spans="1:18" ht="36" x14ac:dyDescent="0.25">
      <c r="A6" s="115" t="s">
        <v>714</v>
      </c>
      <c r="B6" s="117" t="s">
        <v>131</v>
      </c>
      <c r="C6" s="117" t="s">
        <v>237</v>
      </c>
      <c r="D6" s="118" t="s">
        <v>356</v>
      </c>
      <c r="E6" s="112" t="s">
        <v>293</v>
      </c>
      <c r="F6" s="117" t="s">
        <v>144</v>
      </c>
      <c r="G6" s="112"/>
      <c r="H6" s="117" t="s">
        <v>171</v>
      </c>
      <c r="I6" s="112"/>
      <c r="J6" s="117" t="s">
        <v>800</v>
      </c>
      <c r="K6" s="117" t="s">
        <v>136</v>
      </c>
      <c r="L6" s="117" t="s">
        <v>517</v>
      </c>
      <c r="M6" s="117" t="s">
        <v>484</v>
      </c>
    </row>
    <row r="7" spans="1:18" ht="36" x14ac:dyDescent="0.25">
      <c r="A7" s="115" t="s">
        <v>715</v>
      </c>
      <c r="B7" s="117" t="s">
        <v>132</v>
      </c>
      <c r="C7" s="117" t="s">
        <v>238</v>
      </c>
      <c r="D7" s="118" t="s">
        <v>357</v>
      </c>
      <c r="E7" s="112" t="s">
        <v>294</v>
      </c>
      <c r="F7" s="117" t="s">
        <v>179</v>
      </c>
      <c r="G7" s="112"/>
      <c r="H7" s="117" t="s">
        <v>172</v>
      </c>
      <c r="I7" s="112"/>
      <c r="J7" s="117" t="s">
        <v>175</v>
      </c>
      <c r="K7" s="117" t="s">
        <v>138</v>
      </c>
      <c r="L7" s="112"/>
      <c r="M7" s="117" t="s">
        <v>485</v>
      </c>
    </row>
    <row r="8" spans="1:18" x14ac:dyDescent="0.25">
      <c r="A8" s="115" t="s">
        <v>716</v>
      </c>
      <c r="B8" s="117" t="s">
        <v>201</v>
      </c>
      <c r="C8" s="117" t="s">
        <v>235</v>
      </c>
      <c r="D8" s="118" t="s">
        <v>235</v>
      </c>
      <c r="E8" s="112" t="s">
        <v>295</v>
      </c>
      <c r="F8" s="117" t="s">
        <v>251</v>
      </c>
      <c r="G8" s="112"/>
      <c r="H8" s="117" t="s">
        <v>132</v>
      </c>
      <c r="I8" s="112"/>
      <c r="J8" s="117" t="s">
        <v>474</v>
      </c>
      <c r="K8" s="117" t="s">
        <v>474</v>
      </c>
      <c r="L8" s="112"/>
      <c r="M8" s="117" t="s">
        <v>486</v>
      </c>
    </row>
    <row r="9" spans="1:18" ht="36" x14ac:dyDescent="0.25">
      <c r="A9" s="115" t="s">
        <v>717</v>
      </c>
      <c r="B9" s="117" t="s">
        <v>202</v>
      </c>
      <c r="C9" s="117" t="s">
        <v>239</v>
      </c>
      <c r="D9" s="118" t="s">
        <v>358</v>
      </c>
      <c r="E9" s="112" t="s">
        <v>296</v>
      </c>
      <c r="F9" s="117" t="s">
        <v>462</v>
      </c>
      <c r="G9" s="112"/>
      <c r="H9" s="117" t="s">
        <v>133</v>
      </c>
      <c r="I9" s="112"/>
      <c r="J9" s="117" t="s">
        <v>466</v>
      </c>
      <c r="K9" s="117" t="s">
        <v>475</v>
      </c>
      <c r="L9" s="112"/>
      <c r="M9" s="117" t="s">
        <v>487</v>
      </c>
    </row>
    <row r="10" spans="1:18" ht="36" x14ac:dyDescent="0.25">
      <c r="A10" s="116" t="s">
        <v>718</v>
      </c>
      <c r="B10" s="117" t="s">
        <v>203</v>
      </c>
      <c r="C10" s="117" t="s">
        <v>240</v>
      </c>
      <c r="D10" s="118" t="s">
        <v>136</v>
      </c>
      <c r="E10" s="112" t="s">
        <v>297</v>
      </c>
      <c r="F10" s="117" t="s">
        <v>253</v>
      </c>
      <c r="G10" s="112"/>
      <c r="H10" s="117" t="s">
        <v>134</v>
      </c>
      <c r="I10" s="112"/>
      <c r="J10" s="117" t="s">
        <v>176</v>
      </c>
      <c r="K10" s="117" t="s">
        <v>466</v>
      </c>
      <c r="L10" s="112"/>
      <c r="M10" s="117" t="s">
        <v>750</v>
      </c>
      <c r="R10" s="111" t="s">
        <v>806</v>
      </c>
    </row>
    <row r="11" spans="1:18" ht="54" x14ac:dyDescent="0.25">
      <c r="A11" s="116" t="s">
        <v>719</v>
      </c>
      <c r="B11" s="117" t="s">
        <v>204</v>
      </c>
      <c r="C11" s="117" t="s">
        <v>136</v>
      </c>
      <c r="D11" s="118" t="s">
        <v>359</v>
      </c>
      <c r="E11" s="112" t="s">
        <v>298</v>
      </c>
      <c r="F11" s="117" t="s">
        <v>463</v>
      </c>
      <c r="G11" s="112"/>
      <c r="H11" s="117" t="s">
        <v>135</v>
      </c>
      <c r="I11" s="112"/>
      <c r="J11" s="117" t="s">
        <v>467</v>
      </c>
      <c r="K11" s="117" t="s">
        <v>176</v>
      </c>
      <c r="L11" s="112"/>
      <c r="M11" s="117" t="s">
        <v>136</v>
      </c>
    </row>
    <row r="12" spans="1:18" ht="54" x14ac:dyDescent="0.25">
      <c r="A12" s="116" t="s">
        <v>720</v>
      </c>
      <c r="B12" s="117" t="s">
        <v>205</v>
      </c>
      <c r="C12" s="117" t="s">
        <v>241</v>
      </c>
      <c r="D12" s="118" t="s">
        <v>360</v>
      </c>
      <c r="E12" s="112" t="s">
        <v>136</v>
      </c>
      <c r="F12" s="117" t="s">
        <v>263</v>
      </c>
      <c r="G12" s="112"/>
      <c r="H12" s="117" t="s">
        <v>173</v>
      </c>
      <c r="I12" s="112"/>
      <c r="J12" s="117" t="s">
        <v>146</v>
      </c>
      <c r="K12" s="117" t="s">
        <v>146</v>
      </c>
      <c r="L12" s="112"/>
      <c r="M12" s="117" t="s">
        <v>488</v>
      </c>
    </row>
    <row r="13" spans="1:18" ht="36" x14ac:dyDescent="0.25">
      <c r="A13" s="116" t="s">
        <v>721</v>
      </c>
      <c r="B13" s="117" t="s">
        <v>206</v>
      </c>
      <c r="C13" s="117" t="s">
        <v>242</v>
      </c>
      <c r="D13" s="118" t="s">
        <v>361</v>
      </c>
      <c r="E13" s="112" t="s">
        <v>299</v>
      </c>
      <c r="F13" s="117" t="s">
        <v>183</v>
      </c>
      <c r="G13" s="112"/>
      <c r="H13" s="117" t="s">
        <v>136</v>
      </c>
      <c r="I13" s="112"/>
      <c r="J13" s="117" t="s">
        <v>330</v>
      </c>
      <c r="K13" s="117" t="s">
        <v>476</v>
      </c>
      <c r="L13" s="112"/>
      <c r="M13" s="117" t="s">
        <v>489</v>
      </c>
    </row>
    <row r="14" spans="1:18" ht="36" x14ac:dyDescent="0.25">
      <c r="A14" s="116" t="s">
        <v>722</v>
      </c>
      <c r="B14" s="117" t="s">
        <v>207</v>
      </c>
      <c r="C14" s="117" t="s">
        <v>243</v>
      </c>
      <c r="D14" s="118" t="s">
        <v>362</v>
      </c>
      <c r="E14" s="112" t="s">
        <v>300</v>
      </c>
      <c r="F14" s="117" t="s">
        <v>464</v>
      </c>
      <c r="G14" s="112"/>
      <c r="H14" s="117" t="s">
        <v>174</v>
      </c>
      <c r="I14" s="112"/>
      <c r="J14" s="117" t="s">
        <v>520</v>
      </c>
      <c r="K14" s="117" t="s">
        <v>468</v>
      </c>
      <c r="L14" s="112"/>
      <c r="M14" s="117" t="s">
        <v>140</v>
      </c>
    </row>
    <row r="15" spans="1:18" x14ac:dyDescent="0.25">
      <c r="A15" s="115"/>
      <c r="B15" s="112"/>
      <c r="C15" s="117" t="s">
        <v>244</v>
      </c>
      <c r="D15" s="118" t="s">
        <v>422</v>
      </c>
      <c r="E15" s="112" t="s">
        <v>763</v>
      </c>
      <c r="F15" s="112"/>
      <c r="G15" s="112"/>
      <c r="H15" s="117" t="s">
        <v>497</v>
      </c>
      <c r="I15" s="112"/>
      <c r="J15" s="112"/>
      <c r="K15" s="112"/>
      <c r="L15" s="112"/>
      <c r="M15" s="112"/>
    </row>
    <row r="16" spans="1:18" ht="36" x14ac:dyDescent="0.25">
      <c r="A16" s="116" t="s">
        <v>723</v>
      </c>
      <c r="B16" s="117" t="s">
        <v>134</v>
      </c>
      <c r="C16" s="112"/>
      <c r="D16" s="118" t="s">
        <v>363</v>
      </c>
      <c r="E16" s="112" t="s">
        <v>744</v>
      </c>
      <c r="F16" s="117" t="s">
        <v>277</v>
      </c>
      <c r="G16" s="112"/>
      <c r="H16" s="117" t="s">
        <v>175</v>
      </c>
      <c r="I16" s="112"/>
      <c r="J16" s="117" t="s">
        <v>219</v>
      </c>
      <c r="K16" s="117" t="s">
        <v>477</v>
      </c>
      <c r="L16" s="112"/>
      <c r="M16" s="117" t="s">
        <v>490</v>
      </c>
    </row>
    <row r="17" spans="1:13" ht="36" x14ac:dyDescent="0.25">
      <c r="A17" s="115"/>
      <c r="B17" s="117" t="s">
        <v>208</v>
      </c>
      <c r="C17" s="117" t="s">
        <v>176</v>
      </c>
      <c r="D17" s="118" t="s">
        <v>364</v>
      </c>
      <c r="E17" s="112" t="s">
        <v>301</v>
      </c>
      <c r="F17" s="117" t="s">
        <v>465</v>
      </c>
      <c r="G17" s="112"/>
      <c r="H17" s="117" t="s">
        <v>767</v>
      </c>
      <c r="I17" s="112"/>
      <c r="J17" s="117" t="s">
        <v>521</v>
      </c>
      <c r="K17" s="117" t="s">
        <v>478</v>
      </c>
      <c r="L17" s="112"/>
      <c r="M17" s="117" t="s">
        <v>491</v>
      </c>
    </row>
    <row r="18" spans="1:13" ht="36" x14ac:dyDescent="0.25">
      <c r="A18" s="115"/>
      <c r="B18" s="117" t="s">
        <v>209</v>
      </c>
      <c r="C18" s="117" t="s">
        <v>144</v>
      </c>
      <c r="D18" s="118" t="s">
        <v>365</v>
      </c>
      <c r="E18" s="112" t="s">
        <v>302</v>
      </c>
      <c r="F18" s="112" t="s">
        <v>804</v>
      </c>
      <c r="G18" s="112"/>
      <c r="H18" s="117" t="s">
        <v>137</v>
      </c>
      <c r="I18" s="112"/>
      <c r="J18" s="117" t="s">
        <v>159</v>
      </c>
      <c r="K18" s="117" t="s">
        <v>479</v>
      </c>
      <c r="L18" s="112"/>
      <c r="M18" s="117" t="s">
        <v>176</v>
      </c>
    </row>
    <row r="19" spans="1:13" ht="36" x14ac:dyDescent="0.25">
      <c r="A19" s="115"/>
      <c r="B19" s="117" t="s">
        <v>210</v>
      </c>
      <c r="C19" s="117" t="s">
        <v>766</v>
      </c>
      <c r="D19" s="118" t="s">
        <v>366</v>
      </c>
      <c r="E19" s="112" t="s">
        <v>303</v>
      </c>
      <c r="F19" s="112"/>
      <c r="G19" s="112"/>
      <c r="H19" s="117" t="s">
        <v>138</v>
      </c>
      <c r="I19" s="112"/>
      <c r="J19" s="117" t="s">
        <v>190</v>
      </c>
      <c r="K19" s="117" t="s">
        <v>219</v>
      </c>
      <c r="L19" s="112"/>
      <c r="M19" s="117" t="s">
        <v>492</v>
      </c>
    </row>
    <row r="20" spans="1:13" x14ac:dyDescent="0.25">
      <c r="A20" s="115"/>
      <c r="B20" s="117" t="s">
        <v>136</v>
      </c>
      <c r="C20" s="117" t="s">
        <v>245</v>
      </c>
      <c r="D20" s="118" t="s">
        <v>367</v>
      </c>
      <c r="E20" s="112" t="s">
        <v>304</v>
      </c>
      <c r="F20" s="112"/>
      <c r="G20" s="112"/>
      <c r="H20" s="117" t="s">
        <v>139</v>
      </c>
      <c r="I20" s="112"/>
      <c r="J20" s="117" t="s">
        <v>469</v>
      </c>
      <c r="K20" s="117" t="s">
        <v>480</v>
      </c>
      <c r="L20" s="112"/>
      <c r="M20" s="117" t="s">
        <v>493</v>
      </c>
    </row>
    <row r="21" spans="1:13" ht="36" x14ac:dyDescent="0.25">
      <c r="A21" s="115"/>
      <c r="B21" s="117" t="s">
        <v>211</v>
      </c>
      <c r="C21" s="117" t="s">
        <v>246</v>
      </c>
      <c r="D21" s="118" t="s">
        <v>368</v>
      </c>
      <c r="E21" s="112" t="s">
        <v>305</v>
      </c>
      <c r="F21" s="112"/>
      <c r="G21" s="112"/>
      <c r="H21" s="117" t="s">
        <v>140</v>
      </c>
      <c r="I21" s="112"/>
      <c r="J21" s="117" t="s">
        <v>522</v>
      </c>
      <c r="K21" s="117" t="s">
        <v>225</v>
      </c>
      <c r="L21" s="112"/>
      <c r="M21" s="117" t="s">
        <v>494</v>
      </c>
    </row>
    <row r="22" spans="1:13" ht="36" x14ac:dyDescent="0.25">
      <c r="A22" s="115"/>
      <c r="B22" s="117" t="s">
        <v>175</v>
      </c>
      <c r="C22" s="117" t="s">
        <v>247</v>
      </c>
      <c r="D22" s="118" t="s">
        <v>369</v>
      </c>
      <c r="E22" s="112" t="s">
        <v>306</v>
      </c>
      <c r="F22" s="112"/>
      <c r="G22" s="112"/>
      <c r="H22" s="117" t="s">
        <v>141</v>
      </c>
      <c r="I22" s="112"/>
      <c r="J22" s="117" t="s">
        <v>523</v>
      </c>
      <c r="K22" s="117" t="s">
        <v>190</v>
      </c>
      <c r="L22" s="112"/>
      <c r="M22" s="117" t="s">
        <v>495</v>
      </c>
    </row>
    <row r="23" spans="1:13" ht="36" x14ac:dyDescent="0.25">
      <c r="A23" s="115"/>
      <c r="B23" s="117" t="s">
        <v>137</v>
      </c>
      <c r="C23" s="117" t="s">
        <v>248</v>
      </c>
      <c r="D23" s="118" t="s">
        <v>370</v>
      </c>
      <c r="E23" s="112" t="s">
        <v>307</v>
      </c>
      <c r="F23" s="112"/>
      <c r="G23" s="112"/>
      <c r="H23" s="117" t="s">
        <v>142</v>
      </c>
      <c r="I23" s="112"/>
      <c r="J23" s="117" t="s">
        <v>524</v>
      </c>
      <c r="K23" s="117" t="s">
        <v>469</v>
      </c>
      <c r="L23" s="112"/>
      <c r="M23" s="117" t="s">
        <v>496</v>
      </c>
    </row>
    <row r="24" spans="1:13" ht="36" x14ac:dyDescent="0.25">
      <c r="A24" s="115"/>
      <c r="B24" s="117" t="s">
        <v>138</v>
      </c>
      <c r="C24" s="117" t="s">
        <v>249</v>
      </c>
      <c r="D24" s="118" t="s">
        <v>371</v>
      </c>
      <c r="E24" s="112" t="s">
        <v>308</v>
      </c>
      <c r="F24" s="112"/>
      <c r="G24" s="112"/>
      <c r="H24" s="117" t="s">
        <v>176</v>
      </c>
      <c r="I24" s="112"/>
      <c r="J24" s="117" t="s">
        <v>470</v>
      </c>
      <c r="K24" s="117" t="s">
        <v>481</v>
      </c>
      <c r="L24" s="112"/>
      <c r="M24" s="117" t="s">
        <v>497</v>
      </c>
    </row>
    <row r="25" spans="1:13" ht="36" x14ac:dyDescent="0.25">
      <c r="A25" s="115"/>
      <c r="B25" s="117" t="s">
        <v>139</v>
      </c>
      <c r="C25" s="117" t="s">
        <v>250</v>
      </c>
      <c r="D25" s="118" t="s">
        <v>786</v>
      </c>
      <c r="E25" s="112" t="s">
        <v>309</v>
      </c>
      <c r="F25" s="112"/>
      <c r="G25" s="112"/>
      <c r="H25" s="117" t="s">
        <v>177</v>
      </c>
      <c r="I25" s="112"/>
      <c r="J25" s="117" t="s">
        <v>471</v>
      </c>
      <c r="K25" s="117" t="s">
        <v>470</v>
      </c>
      <c r="L25" s="112"/>
      <c r="M25" s="117" t="s">
        <v>498</v>
      </c>
    </row>
    <row r="26" spans="1:13" ht="36" x14ac:dyDescent="0.25">
      <c r="A26" s="115"/>
      <c r="B26" s="117" t="s">
        <v>140</v>
      </c>
      <c r="C26" s="117" t="s">
        <v>179</v>
      </c>
      <c r="D26" s="118" t="s">
        <v>372</v>
      </c>
      <c r="E26" s="112" t="s">
        <v>310</v>
      </c>
      <c r="F26" s="112"/>
      <c r="G26" s="112"/>
      <c r="H26" s="117" t="s">
        <v>143</v>
      </c>
      <c r="I26" s="112"/>
      <c r="J26" s="117" t="s">
        <v>194</v>
      </c>
      <c r="K26" s="117" t="s">
        <v>471</v>
      </c>
      <c r="L26" s="112"/>
      <c r="M26" s="117" t="s">
        <v>499</v>
      </c>
    </row>
    <row r="27" spans="1:13" ht="36" x14ac:dyDescent="0.25">
      <c r="A27" s="115"/>
      <c r="B27" s="117" t="s">
        <v>141</v>
      </c>
      <c r="C27" s="117" t="s">
        <v>251</v>
      </c>
      <c r="D27" s="118" t="s">
        <v>373</v>
      </c>
      <c r="E27" s="112" t="s">
        <v>311</v>
      </c>
      <c r="F27" s="112"/>
      <c r="G27" s="112"/>
      <c r="H27" s="117" t="s">
        <v>144</v>
      </c>
      <c r="I27" s="112"/>
      <c r="J27" s="117" t="s">
        <v>195</v>
      </c>
      <c r="K27" s="117" t="s">
        <v>287</v>
      </c>
      <c r="L27" s="112"/>
      <c r="M27" s="117" t="s">
        <v>500</v>
      </c>
    </row>
    <row r="28" spans="1:13" ht="36" x14ac:dyDescent="0.25">
      <c r="A28" s="115"/>
      <c r="B28" s="117" t="s">
        <v>142</v>
      </c>
      <c r="C28" s="117" t="s">
        <v>252</v>
      </c>
      <c r="D28" s="118" t="s">
        <v>374</v>
      </c>
      <c r="E28" s="112" t="s">
        <v>312</v>
      </c>
      <c r="F28" s="112"/>
      <c r="G28" s="112"/>
      <c r="H28" s="117" t="s">
        <v>145</v>
      </c>
      <c r="I28" s="112"/>
      <c r="J28" s="112" t="s">
        <v>743</v>
      </c>
      <c r="K28" s="117" t="s">
        <v>195</v>
      </c>
      <c r="L28" s="112"/>
      <c r="M28" s="117" t="s">
        <v>146</v>
      </c>
    </row>
    <row r="29" spans="1:13" ht="36" x14ac:dyDescent="0.25">
      <c r="A29" s="115"/>
      <c r="B29" s="117" t="s">
        <v>212</v>
      </c>
      <c r="C29" s="117" t="s">
        <v>253</v>
      </c>
      <c r="D29" s="118" t="s">
        <v>375</v>
      </c>
      <c r="E29" s="112" t="s">
        <v>313</v>
      </c>
      <c r="F29" s="112"/>
      <c r="G29" s="112"/>
      <c r="H29" s="117" t="s">
        <v>178</v>
      </c>
      <c r="I29" s="112"/>
      <c r="J29" s="112" t="s">
        <v>246</v>
      </c>
      <c r="K29" s="117" t="s">
        <v>195</v>
      </c>
      <c r="L29" s="112"/>
      <c r="M29" s="117" t="s">
        <v>501</v>
      </c>
    </row>
    <row r="30" spans="1:13" ht="36" x14ac:dyDescent="0.25">
      <c r="A30" s="115"/>
      <c r="B30" s="117" t="s">
        <v>213</v>
      </c>
      <c r="C30" s="117" t="s">
        <v>254</v>
      </c>
      <c r="D30" s="118" t="s">
        <v>376</v>
      </c>
      <c r="E30" s="112" t="s">
        <v>314</v>
      </c>
      <c r="F30" s="112"/>
      <c r="G30" s="112"/>
      <c r="H30" s="117" t="s">
        <v>179</v>
      </c>
      <c r="I30" s="112"/>
      <c r="J30" s="112" t="s">
        <v>772</v>
      </c>
      <c r="K30" s="112" t="s">
        <v>782</v>
      </c>
      <c r="L30" s="112"/>
      <c r="M30" s="117" t="s">
        <v>395</v>
      </c>
    </row>
    <row r="31" spans="1:13" ht="36" x14ac:dyDescent="0.25">
      <c r="A31" s="115"/>
      <c r="B31" s="117" t="s">
        <v>177</v>
      </c>
      <c r="C31" s="117" t="s">
        <v>146</v>
      </c>
      <c r="D31" s="118" t="s">
        <v>377</v>
      </c>
      <c r="E31" s="112" t="s">
        <v>315</v>
      </c>
      <c r="F31" s="112"/>
      <c r="G31" s="112"/>
      <c r="H31" s="117" t="s">
        <v>146</v>
      </c>
      <c r="I31" s="112"/>
      <c r="J31" s="112" t="s">
        <v>787</v>
      </c>
      <c r="K31" s="112"/>
      <c r="L31" s="112"/>
      <c r="M31" s="117" t="s">
        <v>502</v>
      </c>
    </row>
    <row r="32" spans="1:13" ht="36" x14ac:dyDescent="0.25">
      <c r="A32" s="115"/>
      <c r="B32" s="117" t="s">
        <v>143</v>
      </c>
      <c r="C32" s="117" t="s">
        <v>255</v>
      </c>
      <c r="D32" s="118" t="s">
        <v>378</v>
      </c>
      <c r="E32" s="112" t="s">
        <v>316</v>
      </c>
      <c r="F32" s="112"/>
      <c r="G32" s="112"/>
      <c r="H32" s="117" t="s">
        <v>147</v>
      </c>
      <c r="I32" s="112"/>
      <c r="J32" s="112" t="s">
        <v>744</v>
      </c>
      <c r="K32" s="112"/>
      <c r="L32" s="112"/>
      <c r="M32" s="117" t="s">
        <v>503</v>
      </c>
    </row>
    <row r="33" spans="1:13" ht="36" x14ac:dyDescent="0.25">
      <c r="A33" s="115"/>
      <c r="B33" s="117" t="s">
        <v>214</v>
      </c>
      <c r="C33" s="117" t="s">
        <v>256</v>
      </c>
      <c r="D33" s="118" t="s">
        <v>379</v>
      </c>
      <c r="E33" s="112" t="s">
        <v>317</v>
      </c>
      <c r="F33" s="112"/>
      <c r="G33" s="112"/>
      <c r="H33" s="117" t="s">
        <v>148</v>
      </c>
      <c r="I33" s="112"/>
      <c r="J33" s="112"/>
      <c r="K33" s="112"/>
      <c r="L33" s="112"/>
      <c r="M33" s="117" t="s">
        <v>180</v>
      </c>
    </row>
    <row r="34" spans="1:13" ht="36" x14ac:dyDescent="0.25">
      <c r="A34" s="115"/>
      <c r="B34" s="117" t="s">
        <v>178</v>
      </c>
      <c r="C34" s="117" t="s">
        <v>257</v>
      </c>
      <c r="D34" s="118" t="s">
        <v>380</v>
      </c>
      <c r="E34" s="112" t="s">
        <v>318</v>
      </c>
      <c r="F34" s="112"/>
      <c r="G34" s="112"/>
      <c r="H34" s="117" t="s">
        <v>149</v>
      </c>
      <c r="I34" s="112"/>
      <c r="J34" s="112"/>
      <c r="K34" s="112"/>
      <c r="L34" s="112"/>
      <c r="M34" s="117" t="s">
        <v>504</v>
      </c>
    </row>
    <row r="35" spans="1:13" x14ac:dyDescent="0.25">
      <c r="A35" s="115"/>
      <c r="B35" s="117" t="s">
        <v>148</v>
      </c>
      <c r="C35" s="117" t="s">
        <v>258</v>
      </c>
      <c r="D35" s="118" t="s">
        <v>381</v>
      </c>
      <c r="E35" s="112" t="s">
        <v>319</v>
      </c>
      <c r="F35" s="112"/>
      <c r="G35" s="112"/>
      <c r="H35" s="117" t="s">
        <v>180</v>
      </c>
      <c r="I35" s="112"/>
      <c r="J35" s="112"/>
      <c r="K35" s="112"/>
      <c r="L35" s="112"/>
      <c r="M35" s="117" t="s">
        <v>464</v>
      </c>
    </row>
    <row r="36" spans="1:13" ht="36" x14ac:dyDescent="0.25">
      <c r="A36" s="115"/>
      <c r="B36" s="117" t="s">
        <v>149</v>
      </c>
      <c r="C36" s="117" t="s">
        <v>259</v>
      </c>
      <c r="D36" s="118" t="s">
        <v>382</v>
      </c>
      <c r="E36" s="112" t="s">
        <v>320</v>
      </c>
      <c r="F36" s="112"/>
      <c r="G36" s="112"/>
      <c r="H36" s="117" t="s">
        <v>181</v>
      </c>
      <c r="I36" s="112"/>
      <c r="J36" s="112"/>
      <c r="K36" s="112"/>
      <c r="L36" s="112"/>
      <c r="M36" s="117" t="s">
        <v>505</v>
      </c>
    </row>
    <row r="37" spans="1:13" ht="36" x14ac:dyDescent="0.25">
      <c r="A37" s="115"/>
      <c r="B37" s="117" t="s">
        <v>756</v>
      </c>
      <c r="C37" s="117" t="s">
        <v>260</v>
      </c>
      <c r="D37" s="118" t="s">
        <v>383</v>
      </c>
      <c r="E37" s="112" t="s">
        <v>321</v>
      </c>
      <c r="F37" s="112"/>
      <c r="G37" s="112"/>
      <c r="H37" s="117" t="s">
        <v>182</v>
      </c>
      <c r="I37" s="112"/>
      <c r="J37" s="112"/>
      <c r="K37" s="112"/>
      <c r="L37" s="112"/>
      <c r="M37" s="117" t="s">
        <v>506</v>
      </c>
    </row>
    <row r="38" spans="1:13" x14ac:dyDescent="0.25">
      <c r="A38" s="115"/>
      <c r="B38" s="117" t="s">
        <v>751</v>
      </c>
      <c r="C38" s="117" t="s">
        <v>261</v>
      </c>
      <c r="D38" s="118" t="s">
        <v>384</v>
      </c>
      <c r="E38" s="112" t="s">
        <v>322</v>
      </c>
      <c r="F38" s="112"/>
      <c r="G38" s="112"/>
      <c r="H38" s="117" t="s">
        <v>183</v>
      </c>
      <c r="I38" s="112"/>
      <c r="J38" s="112"/>
      <c r="K38" s="112"/>
      <c r="L38" s="112"/>
      <c r="M38" s="117" t="s">
        <v>747</v>
      </c>
    </row>
    <row r="39" spans="1:13" x14ac:dyDescent="0.25">
      <c r="A39" s="115"/>
      <c r="B39" s="117" t="s">
        <v>215</v>
      </c>
      <c r="C39" s="117" t="s">
        <v>262</v>
      </c>
      <c r="D39" s="118" t="s">
        <v>385</v>
      </c>
      <c r="E39" s="112" t="s">
        <v>323</v>
      </c>
      <c r="F39" s="112"/>
      <c r="G39" s="112"/>
      <c r="H39" s="117" t="s">
        <v>184</v>
      </c>
      <c r="I39" s="112"/>
      <c r="J39" s="112"/>
      <c r="K39" s="112"/>
      <c r="L39" s="112"/>
      <c r="M39" s="117" t="s">
        <v>189</v>
      </c>
    </row>
    <row r="40" spans="1:13" ht="36" x14ac:dyDescent="0.25">
      <c r="A40" s="115"/>
      <c r="B40" s="117" t="s">
        <v>216</v>
      </c>
      <c r="C40" s="117" t="s">
        <v>263</v>
      </c>
      <c r="D40" s="118" t="s">
        <v>386</v>
      </c>
      <c r="E40" s="112" t="s">
        <v>324</v>
      </c>
      <c r="F40" s="112"/>
      <c r="G40" s="112"/>
      <c r="H40" s="117" t="s">
        <v>185</v>
      </c>
      <c r="I40" s="112"/>
      <c r="J40" s="112"/>
      <c r="K40" s="112"/>
      <c r="L40" s="112"/>
      <c r="M40" s="117" t="s">
        <v>507</v>
      </c>
    </row>
    <row r="41" spans="1:13" ht="54" x14ac:dyDescent="0.25">
      <c r="A41" s="115"/>
      <c r="B41" s="117" t="s">
        <v>217</v>
      </c>
      <c r="C41" s="117" t="s">
        <v>264</v>
      </c>
      <c r="D41" s="118" t="s">
        <v>387</v>
      </c>
      <c r="E41" s="112" t="s">
        <v>325</v>
      </c>
      <c r="F41" s="112"/>
      <c r="G41" s="112"/>
      <c r="H41" s="117"/>
      <c r="I41" s="112"/>
      <c r="J41" s="112"/>
      <c r="K41" s="112"/>
      <c r="L41" s="112"/>
      <c r="M41" s="117" t="s">
        <v>508</v>
      </c>
    </row>
    <row r="42" spans="1:13" ht="54" x14ac:dyDescent="0.25">
      <c r="A42" s="115"/>
      <c r="B42" s="117" t="s">
        <v>150</v>
      </c>
      <c r="C42" s="117" t="s">
        <v>265</v>
      </c>
      <c r="D42" s="118" t="s">
        <v>388</v>
      </c>
      <c r="E42" s="112" t="s">
        <v>326</v>
      </c>
      <c r="F42" s="112"/>
      <c r="G42" s="112"/>
      <c r="H42" s="117" t="s">
        <v>797</v>
      </c>
      <c r="I42" s="112"/>
      <c r="J42" s="112"/>
      <c r="K42" s="112"/>
      <c r="L42" s="112"/>
      <c r="M42" s="117" t="s">
        <v>509</v>
      </c>
    </row>
    <row r="43" spans="1:13" x14ac:dyDescent="0.25">
      <c r="A43" s="115"/>
      <c r="B43" s="117" t="s">
        <v>151</v>
      </c>
      <c r="C43" s="117" t="s">
        <v>266</v>
      </c>
      <c r="D43" s="118" t="s">
        <v>389</v>
      </c>
      <c r="E43" s="112" t="s">
        <v>327</v>
      </c>
      <c r="F43" s="112"/>
      <c r="G43" s="112"/>
      <c r="H43" s="117" t="s">
        <v>798</v>
      </c>
      <c r="I43" s="112"/>
      <c r="J43" s="112"/>
      <c r="K43" s="112"/>
      <c r="L43" s="112"/>
      <c r="M43" s="117" t="s">
        <v>510</v>
      </c>
    </row>
    <row r="44" spans="1:13" ht="36" x14ac:dyDescent="0.25">
      <c r="A44" s="115"/>
      <c r="B44" s="117" t="s">
        <v>152</v>
      </c>
      <c r="C44" s="117" t="s">
        <v>267</v>
      </c>
      <c r="D44" s="118" t="s">
        <v>390</v>
      </c>
      <c r="E44" s="112" t="s">
        <v>328</v>
      </c>
      <c r="F44" s="112"/>
      <c r="G44" s="112"/>
      <c r="H44" s="117" t="s">
        <v>186</v>
      </c>
      <c r="I44" s="112"/>
      <c r="J44" s="112"/>
      <c r="K44" s="112"/>
      <c r="L44" s="112"/>
      <c r="M44" s="117" t="s">
        <v>511</v>
      </c>
    </row>
    <row r="45" spans="1:13" ht="36" x14ac:dyDescent="0.25">
      <c r="A45" s="115"/>
      <c r="B45" s="117" t="s">
        <v>218</v>
      </c>
      <c r="C45" s="117" t="s">
        <v>268</v>
      </c>
      <c r="D45" s="118" t="s">
        <v>391</v>
      </c>
      <c r="E45" s="112" t="s">
        <v>329</v>
      </c>
      <c r="F45" s="112"/>
      <c r="G45" s="112"/>
      <c r="H45" s="117"/>
      <c r="I45" s="112"/>
      <c r="J45" s="112"/>
      <c r="K45" s="112"/>
      <c r="L45" s="112"/>
      <c r="M45" s="117" t="s">
        <v>512</v>
      </c>
    </row>
    <row r="46" spans="1:13" ht="36" x14ac:dyDescent="0.25">
      <c r="A46" s="115"/>
      <c r="B46" s="117" t="s">
        <v>219</v>
      </c>
      <c r="C46" s="117" t="s">
        <v>269</v>
      </c>
      <c r="D46" s="118" t="s">
        <v>392</v>
      </c>
      <c r="E46" s="112" t="s">
        <v>330</v>
      </c>
      <c r="F46" s="112"/>
      <c r="G46" s="112"/>
      <c r="H46" s="117" t="s">
        <v>150</v>
      </c>
      <c r="I46" s="112"/>
      <c r="J46" s="112"/>
      <c r="K46" s="112"/>
      <c r="L46" s="112"/>
      <c r="M46" s="117" t="s">
        <v>513</v>
      </c>
    </row>
    <row r="47" spans="1:13" ht="36" x14ac:dyDescent="0.25">
      <c r="A47" s="115"/>
      <c r="B47" s="112"/>
      <c r="C47" s="117" t="s">
        <v>270</v>
      </c>
      <c r="D47" s="118" t="s">
        <v>425</v>
      </c>
      <c r="E47" s="112" t="s">
        <v>764</v>
      </c>
      <c r="F47" s="112"/>
      <c r="G47" s="112"/>
      <c r="H47" s="117" t="s">
        <v>151</v>
      </c>
      <c r="I47" s="112"/>
      <c r="J47" s="112"/>
      <c r="K47" s="112"/>
      <c r="L47" s="112"/>
      <c r="M47" s="112"/>
    </row>
    <row r="48" spans="1:13" ht="36" x14ac:dyDescent="0.25">
      <c r="A48" s="115"/>
      <c r="B48" s="117" t="s">
        <v>220</v>
      </c>
      <c r="C48" s="117" t="s">
        <v>148</v>
      </c>
      <c r="D48" s="118" t="s">
        <v>393</v>
      </c>
      <c r="E48" s="112" t="s">
        <v>331</v>
      </c>
      <c r="F48" s="112"/>
      <c r="G48" s="112"/>
      <c r="H48" s="112" t="s">
        <v>761</v>
      </c>
      <c r="I48" s="112"/>
      <c r="J48" s="112"/>
      <c r="K48" s="112"/>
      <c r="L48" s="112"/>
      <c r="M48" s="117" t="s">
        <v>163</v>
      </c>
    </row>
    <row r="49" spans="1:13" x14ac:dyDescent="0.25">
      <c r="A49" s="115"/>
      <c r="B49" s="117" t="s">
        <v>221</v>
      </c>
      <c r="C49" s="112"/>
      <c r="D49" s="118" t="s">
        <v>394</v>
      </c>
      <c r="E49" s="112" t="s">
        <v>332</v>
      </c>
      <c r="F49" s="112"/>
      <c r="G49" s="112"/>
      <c r="H49" s="117" t="s">
        <v>187</v>
      </c>
      <c r="I49" s="112"/>
      <c r="J49" s="112"/>
      <c r="K49" s="112"/>
      <c r="L49" s="112"/>
      <c r="M49" s="117" t="s">
        <v>514</v>
      </c>
    </row>
    <row r="50" spans="1:13" x14ac:dyDescent="0.25">
      <c r="A50" s="115"/>
      <c r="B50" s="117" t="s">
        <v>222</v>
      </c>
      <c r="C50" s="117" t="s">
        <v>271</v>
      </c>
      <c r="D50" s="118" t="s">
        <v>253</v>
      </c>
      <c r="E50" s="112" t="s">
        <v>333</v>
      </c>
      <c r="F50" s="112"/>
      <c r="G50" s="112"/>
      <c r="H50" s="117" t="s">
        <v>152</v>
      </c>
      <c r="I50" s="112"/>
      <c r="J50" s="112"/>
      <c r="K50" s="112"/>
      <c r="L50" s="112"/>
      <c r="M50" s="117" t="s">
        <v>515</v>
      </c>
    </row>
    <row r="51" spans="1:13" ht="54" x14ac:dyDescent="0.25">
      <c r="A51" s="115"/>
      <c r="B51" s="117" t="s">
        <v>223</v>
      </c>
      <c r="C51" s="117" t="s">
        <v>272</v>
      </c>
      <c r="D51" s="118" t="s">
        <v>395</v>
      </c>
      <c r="E51" s="112" t="s">
        <v>277</v>
      </c>
      <c r="F51" s="112"/>
      <c r="G51" s="112"/>
      <c r="H51" s="117" t="s">
        <v>153</v>
      </c>
      <c r="I51" s="112"/>
      <c r="J51" s="112"/>
      <c r="K51" s="112"/>
      <c r="L51" s="112"/>
      <c r="M51" s="117" t="s">
        <v>748</v>
      </c>
    </row>
    <row r="52" spans="1:13" ht="54" x14ac:dyDescent="0.25">
      <c r="A52" s="115"/>
      <c r="B52" s="117" t="s">
        <v>158</v>
      </c>
      <c r="C52" s="117" t="s">
        <v>273</v>
      </c>
      <c r="D52" s="118" t="s">
        <v>396</v>
      </c>
      <c r="E52" s="112" t="s">
        <v>334</v>
      </c>
      <c r="F52" s="112"/>
      <c r="G52" s="112"/>
      <c r="H52" s="117" t="s">
        <v>154</v>
      </c>
      <c r="I52" s="112"/>
      <c r="J52" s="112"/>
      <c r="K52" s="112"/>
      <c r="L52" s="112"/>
      <c r="M52" s="117" t="s">
        <v>749</v>
      </c>
    </row>
    <row r="53" spans="1:13" x14ac:dyDescent="0.25">
      <c r="A53" s="115"/>
      <c r="B53" s="117" t="s">
        <v>224</v>
      </c>
      <c r="C53" s="117" t="s">
        <v>274</v>
      </c>
      <c r="D53" s="118" t="s">
        <v>397</v>
      </c>
      <c r="E53" s="112" t="s">
        <v>335</v>
      </c>
      <c r="F53" s="112"/>
      <c r="G53" s="112"/>
      <c r="H53" s="117" t="s">
        <v>155</v>
      </c>
      <c r="I53" s="112"/>
      <c r="J53" s="112"/>
      <c r="K53" s="112"/>
      <c r="L53" s="112"/>
      <c r="M53" s="117" t="s">
        <v>287</v>
      </c>
    </row>
    <row r="54" spans="1:13" ht="36" x14ac:dyDescent="0.25">
      <c r="A54" s="115"/>
      <c r="B54" s="117" t="s">
        <v>225</v>
      </c>
      <c r="C54" s="117" t="s">
        <v>275</v>
      </c>
      <c r="D54" s="118" t="s">
        <v>398</v>
      </c>
      <c r="E54" s="112" t="s">
        <v>336</v>
      </c>
      <c r="F54" s="112"/>
      <c r="G54" s="112"/>
      <c r="H54" s="117" t="s">
        <v>188</v>
      </c>
      <c r="I54" s="112"/>
      <c r="J54" s="112"/>
      <c r="K54" s="112"/>
      <c r="L54" s="112"/>
      <c r="M54" s="117" t="s">
        <v>516</v>
      </c>
    </row>
    <row r="55" spans="1:13" ht="36" x14ac:dyDescent="0.25">
      <c r="A55" s="115"/>
      <c r="B55" s="117" t="s">
        <v>161</v>
      </c>
      <c r="C55" s="117" t="s">
        <v>276</v>
      </c>
      <c r="D55" s="118" t="s">
        <v>399</v>
      </c>
      <c r="E55" s="112" t="s">
        <v>337</v>
      </c>
      <c r="F55" s="112"/>
      <c r="G55" s="112"/>
      <c r="H55" s="117" t="s">
        <v>189</v>
      </c>
      <c r="I55" s="112"/>
      <c r="J55" s="112"/>
      <c r="K55" s="112"/>
      <c r="L55" s="112"/>
      <c r="M55" s="117" t="s">
        <v>195</v>
      </c>
    </row>
    <row r="56" spans="1:13" x14ac:dyDescent="0.25">
      <c r="A56" s="115"/>
      <c r="B56" s="117" t="s">
        <v>226</v>
      </c>
      <c r="C56" s="117" t="s">
        <v>277</v>
      </c>
      <c r="D56" s="118" t="s">
        <v>400</v>
      </c>
      <c r="E56" s="112" t="s">
        <v>338</v>
      </c>
      <c r="F56" s="112"/>
      <c r="G56" s="112"/>
      <c r="H56" s="117" t="s">
        <v>156</v>
      </c>
      <c r="I56" s="112"/>
      <c r="J56" s="112"/>
      <c r="K56" s="112"/>
      <c r="L56" s="112"/>
      <c r="M56" s="117" t="s">
        <v>724</v>
      </c>
    </row>
    <row r="57" spans="1:13" x14ac:dyDescent="0.25">
      <c r="A57" s="115"/>
      <c r="B57" s="117" t="s">
        <v>227</v>
      </c>
      <c r="C57" s="117" t="s">
        <v>278</v>
      </c>
      <c r="D57" s="118" t="s">
        <v>401</v>
      </c>
      <c r="E57" s="112" t="s">
        <v>760</v>
      </c>
      <c r="F57" s="112"/>
      <c r="G57" s="112"/>
      <c r="H57" s="117" t="s">
        <v>157</v>
      </c>
      <c r="I57" s="112"/>
      <c r="J57" s="112"/>
      <c r="K57" s="112"/>
      <c r="L57" s="112"/>
      <c r="M57" s="117" t="s">
        <v>196</v>
      </c>
    </row>
    <row r="58" spans="1:13" x14ac:dyDescent="0.25">
      <c r="A58" s="115"/>
      <c r="B58" s="117" t="s">
        <v>163</v>
      </c>
      <c r="C58" s="117" t="s">
        <v>279</v>
      </c>
      <c r="D58" s="118" t="s">
        <v>402</v>
      </c>
      <c r="E58" s="112" t="s">
        <v>339</v>
      </c>
      <c r="F58" s="112"/>
      <c r="G58" s="112"/>
      <c r="H58" s="117" t="s">
        <v>158</v>
      </c>
      <c r="I58" s="112"/>
      <c r="J58" s="112"/>
      <c r="K58" s="112"/>
      <c r="L58" s="112"/>
      <c r="M58" s="112" t="s">
        <v>742</v>
      </c>
    </row>
    <row r="59" spans="1:13" x14ac:dyDescent="0.25">
      <c r="A59" s="115"/>
      <c r="B59" s="117" t="s">
        <v>228</v>
      </c>
      <c r="C59" s="117" t="s">
        <v>280</v>
      </c>
      <c r="D59" s="118" t="s">
        <v>403</v>
      </c>
      <c r="E59" s="112" t="s">
        <v>340</v>
      </c>
      <c r="F59" s="112"/>
      <c r="G59" s="112"/>
      <c r="H59" s="117" t="s">
        <v>159</v>
      </c>
      <c r="I59" s="112"/>
      <c r="J59" s="112"/>
      <c r="K59" s="112"/>
      <c r="L59" s="112"/>
      <c r="M59" s="112" t="s">
        <v>352</v>
      </c>
    </row>
    <row r="60" spans="1:13" x14ac:dyDescent="0.25">
      <c r="A60" s="115"/>
      <c r="B60" s="117" t="s">
        <v>229</v>
      </c>
      <c r="C60" s="117" t="s">
        <v>281</v>
      </c>
      <c r="D60" s="118" t="s">
        <v>404</v>
      </c>
      <c r="E60" s="112" t="s">
        <v>341</v>
      </c>
      <c r="F60" s="112"/>
      <c r="G60" s="112"/>
      <c r="H60" s="117" t="s">
        <v>160</v>
      </c>
      <c r="I60" s="112"/>
      <c r="J60" s="112"/>
      <c r="K60" s="112"/>
      <c r="L60" s="112"/>
      <c r="M60" s="112" t="s">
        <v>774</v>
      </c>
    </row>
    <row r="61" spans="1:13" ht="36" x14ac:dyDescent="0.25">
      <c r="A61" s="115"/>
      <c r="B61" s="117" t="s">
        <v>230</v>
      </c>
      <c r="C61" s="117" t="s">
        <v>282</v>
      </c>
      <c r="D61" s="118" t="s">
        <v>405</v>
      </c>
      <c r="E61" s="112" t="s">
        <v>342</v>
      </c>
      <c r="F61" s="112"/>
      <c r="G61" s="112"/>
      <c r="H61" s="117" t="s">
        <v>161</v>
      </c>
      <c r="I61" s="112"/>
      <c r="J61" s="112"/>
      <c r="K61" s="112"/>
      <c r="L61" s="112"/>
      <c r="M61" s="112"/>
    </row>
    <row r="62" spans="1:13" ht="36" x14ac:dyDescent="0.25">
      <c r="A62" s="115"/>
      <c r="B62" s="117" t="s">
        <v>164</v>
      </c>
      <c r="C62" s="117" t="s">
        <v>283</v>
      </c>
      <c r="D62" s="118" t="s">
        <v>406</v>
      </c>
      <c r="E62" s="112" t="s">
        <v>343</v>
      </c>
      <c r="F62" s="112"/>
      <c r="G62" s="112"/>
      <c r="H62" s="117" t="s">
        <v>162</v>
      </c>
      <c r="I62" s="112"/>
      <c r="J62" s="112"/>
      <c r="K62" s="112"/>
      <c r="L62" s="112"/>
      <c r="M62" s="112" t="s">
        <v>785</v>
      </c>
    </row>
    <row r="63" spans="1:13" ht="36" x14ac:dyDescent="0.25">
      <c r="A63" s="115"/>
      <c r="B63" s="117" t="s">
        <v>231</v>
      </c>
      <c r="C63" s="117" t="s">
        <v>284</v>
      </c>
      <c r="D63" s="118" t="s">
        <v>407</v>
      </c>
      <c r="E63" s="112" t="s">
        <v>344</v>
      </c>
      <c r="F63" s="112"/>
      <c r="G63" s="112"/>
      <c r="H63" s="117" t="s">
        <v>190</v>
      </c>
      <c r="I63" s="112"/>
      <c r="J63" s="112"/>
      <c r="K63" s="112"/>
      <c r="L63" s="112"/>
      <c r="M63" s="112" t="s">
        <v>179</v>
      </c>
    </row>
    <row r="64" spans="1:13" ht="36" x14ac:dyDescent="0.25">
      <c r="A64" s="115"/>
      <c r="B64" s="117" t="s">
        <v>232</v>
      </c>
      <c r="C64" s="117" t="s">
        <v>285</v>
      </c>
      <c r="D64" s="118" t="s">
        <v>408</v>
      </c>
      <c r="E64" s="112" t="s">
        <v>345</v>
      </c>
      <c r="F64" s="112"/>
      <c r="G64" s="112"/>
      <c r="H64" s="117" t="s">
        <v>163</v>
      </c>
      <c r="I64" s="112"/>
      <c r="J64" s="112"/>
      <c r="K64" s="112"/>
      <c r="L64" s="112"/>
      <c r="M64" s="112"/>
    </row>
    <row r="65" spans="1:13" ht="36" x14ac:dyDescent="0.25">
      <c r="A65" s="115"/>
      <c r="B65" s="117" t="s">
        <v>233</v>
      </c>
      <c r="C65" s="117" t="s">
        <v>286</v>
      </c>
      <c r="D65" s="118" t="s">
        <v>409</v>
      </c>
      <c r="E65" s="112" t="s">
        <v>346</v>
      </c>
      <c r="F65" s="112"/>
      <c r="G65" s="112"/>
      <c r="H65" s="117" t="s">
        <v>191</v>
      </c>
      <c r="I65" s="112"/>
      <c r="J65" s="112"/>
      <c r="K65" s="112"/>
      <c r="L65" s="112"/>
      <c r="M65" s="112"/>
    </row>
    <row r="66" spans="1:13" x14ac:dyDescent="0.25">
      <c r="A66" s="115"/>
      <c r="B66" s="117" t="s">
        <v>234</v>
      </c>
      <c r="C66" s="117" t="s">
        <v>287</v>
      </c>
      <c r="D66" s="118" t="s">
        <v>410</v>
      </c>
      <c r="E66" s="112" t="s">
        <v>347</v>
      </c>
      <c r="F66" s="112"/>
      <c r="G66" s="112"/>
      <c r="H66" s="117" t="s">
        <v>192</v>
      </c>
      <c r="I66" s="112"/>
      <c r="J66" s="112"/>
      <c r="K66" s="112"/>
      <c r="L66" s="112"/>
      <c r="M66" s="112"/>
    </row>
    <row r="67" spans="1:13" x14ac:dyDescent="0.25">
      <c r="A67" s="115"/>
      <c r="B67" s="117" t="s">
        <v>198</v>
      </c>
      <c r="C67" s="117" t="s">
        <v>288</v>
      </c>
      <c r="D67" s="118" t="s">
        <v>411</v>
      </c>
      <c r="E67" s="112" t="s">
        <v>348</v>
      </c>
      <c r="F67" s="112"/>
      <c r="G67" s="112"/>
      <c r="H67" s="117" t="s">
        <v>164</v>
      </c>
      <c r="I67" s="112"/>
      <c r="J67" s="112"/>
      <c r="K67" s="112"/>
      <c r="L67" s="112"/>
      <c r="M67" s="112"/>
    </row>
    <row r="68" spans="1:13" ht="36" x14ac:dyDescent="0.25">
      <c r="A68" s="115"/>
      <c r="B68" s="117" t="s">
        <v>167</v>
      </c>
      <c r="C68" s="117" t="s">
        <v>289</v>
      </c>
      <c r="D68" s="118" t="s">
        <v>412</v>
      </c>
      <c r="E68" s="112" t="s">
        <v>349</v>
      </c>
      <c r="F68" s="112"/>
      <c r="G68" s="112"/>
      <c r="H68" s="117" t="s">
        <v>165</v>
      </c>
      <c r="I68" s="112"/>
      <c r="J68" s="112"/>
      <c r="K68" s="112"/>
      <c r="L68" s="112"/>
      <c r="M68" s="112"/>
    </row>
    <row r="69" spans="1:13" ht="36" x14ac:dyDescent="0.25">
      <c r="A69" s="115"/>
      <c r="B69" s="117" t="s">
        <v>168</v>
      </c>
      <c r="C69" s="117" t="s">
        <v>290</v>
      </c>
      <c r="D69" s="118" t="s">
        <v>413</v>
      </c>
      <c r="E69" s="112" t="s">
        <v>350</v>
      </c>
      <c r="F69" s="112"/>
      <c r="G69" s="112"/>
      <c r="H69" s="117" t="s">
        <v>193</v>
      </c>
      <c r="I69" s="112"/>
      <c r="J69" s="112"/>
      <c r="K69" s="112"/>
      <c r="L69" s="112"/>
      <c r="M69" s="112"/>
    </row>
    <row r="70" spans="1:13" x14ac:dyDescent="0.25">
      <c r="A70" s="115"/>
      <c r="B70" s="117" t="s">
        <v>169</v>
      </c>
      <c r="C70" s="112" t="s">
        <v>759</v>
      </c>
      <c r="D70" s="118" t="s">
        <v>414</v>
      </c>
      <c r="E70" s="112" t="s">
        <v>351</v>
      </c>
      <c r="F70" s="112"/>
      <c r="G70" s="112"/>
      <c r="H70" s="117" t="s">
        <v>194</v>
      </c>
      <c r="I70" s="112"/>
      <c r="J70" s="112"/>
      <c r="K70" s="112"/>
      <c r="L70" s="112"/>
      <c r="M70" s="112"/>
    </row>
    <row r="71" spans="1:13" x14ac:dyDescent="0.25">
      <c r="A71" s="115"/>
      <c r="B71" s="112" t="s">
        <v>756</v>
      </c>
      <c r="C71" s="112" t="s">
        <v>776</v>
      </c>
      <c r="D71" s="118" t="s">
        <v>415</v>
      </c>
      <c r="E71" s="112" t="s">
        <v>197</v>
      </c>
      <c r="F71" s="112"/>
      <c r="G71" s="112"/>
      <c r="H71" s="117" t="s">
        <v>195</v>
      </c>
      <c r="I71" s="112"/>
      <c r="J71" s="112"/>
      <c r="K71" s="112"/>
      <c r="L71" s="112"/>
      <c r="M71" s="112"/>
    </row>
    <row r="72" spans="1:13" x14ac:dyDescent="0.25">
      <c r="A72" s="115"/>
      <c r="B72" s="112" t="s">
        <v>762</v>
      </c>
      <c r="C72" s="112" t="s">
        <v>781</v>
      </c>
      <c r="D72" s="118" t="s">
        <v>416</v>
      </c>
      <c r="E72" s="112" t="s">
        <v>352</v>
      </c>
      <c r="F72" s="112"/>
      <c r="G72" s="112"/>
      <c r="H72" s="117" t="s">
        <v>196</v>
      </c>
      <c r="I72" s="112"/>
      <c r="J72" s="112"/>
      <c r="K72" s="112"/>
      <c r="L72" s="112"/>
      <c r="M72" s="112"/>
    </row>
    <row r="73" spans="1:13" x14ac:dyDescent="0.25">
      <c r="A73" s="115"/>
      <c r="B73" s="410" t="s">
        <v>792</v>
      </c>
      <c r="C73" s="112" t="s">
        <v>796</v>
      </c>
      <c r="D73" s="118" t="s">
        <v>417</v>
      </c>
      <c r="E73" s="112" t="s">
        <v>353</v>
      </c>
      <c r="F73" s="112"/>
      <c r="G73" s="112"/>
      <c r="H73" s="117" t="s">
        <v>197</v>
      </c>
      <c r="I73" s="112"/>
      <c r="J73" s="112"/>
      <c r="K73" s="112"/>
      <c r="L73" s="112"/>
      <c r="M73" s="112"/>
    </row>
    <row r="74" spans="1:13" x14ac:dyDescent="0.25">
      <c r="A74" s="115"/>
      <c r="B74" s="112" t="s">
        <v>795</v>
      </c>
      <c r="C74" s="112"/>
      <c r="D74" s="118" t="s">
        <v>423</v>
      </c>
      <c r="E74" s="112" t="s">
        <v>803</v>
      </c>
      <c r="F74" s="112"/>
      <c r="G74" s="112"/>
      <c r="H74" s="117" t="s">
        <v>166</v>
      </c>
      <c r="I74" s="112"/>
      <c r="J74" s="112"/>
      <c r="K74" s="112"/>
      <c r="L74" s="112"/>
      <c r="M74" s="112"/>
    </row>
    <row r="75" spans="1:13" x14ac:dyDescent="0.25">
      <c r="A75" s="115"/>
      <c r="B75" s="112"/>
      <c r="C75" s="112"/>
      <c r="D75" s="118" t="s">
        <v>424</v>
      </c>
      <c r="E75" s="112"/>
      <c r="F75" s="112"/>
      <c r="G75" s="112"/>
      <c r="H75" s="117" t="s">
        <v>497</v>
      </c>
      <c r="I75" s="112"/>
      <c r="J75" s="112"/>
      <c r="K75" s="112"/>
      <c r="L75" s="112"/>
      <c r="M75" s="112"/>
    </row>
    <row r="76" spans="1:13" x14ac:dyDescent="0.25">
      <c r="A76" s="115"/>
      <c r="B76" s="112"/>
      <c r="C76" s="112"/>
      <c r="D76" s="118" t="s">
        <v>418</v>
      </c>
      <c r="E76" s="112"/>
      <c r="F76" s="112"/>
      <c r="G76" s="112"/>
      <c r="H76" s="112" t="s">
        <v>758</v>
      </c>
      <c r="I76" s="112"/>
      <c r="J76" s="112"/>
      <c r="K76" s="112"/>
      <c r="L76" s="112"/>
      <c r="M76" s="112"/>
    </row>
    <row r="77" spans="1:13" x14ac:dyDescent="0.25">
      <c r="A77" s="115"/>
      <c r="B77" s="112"/>
      <c r="C77" s="112"/>
      <c r="D77" s="118" t="s">
        <v>419</v>
      </c>
      <c r="E77" s="112"/>
      <c r="F77" s="112"/>
      <c r="G77" s="112"/>
      <c r="H77" s="117" t="s">
        <v>198</v>
      </c>
      <c r="I77" s="112"/>
      <c r="J77" s="112"/>
      <c r="K77" s="112"/>
      <c r="L77" s="112"/>
      <c r="M77" s="112"/>
    </row>
    <row r="78" spans="1:13" x14ac:dyDescent="0.25">
      <c r="A78" s="115"/>
      <c r="B78" s="112"/>
      <c r="C78" s="112"/>
      <c r="D78" s="118" t="s">
        <v>420</v>
      </c>
      <c r="E78" s="112"/>
      <c r="F78" s="112"/>
      <c r="G78" s="112"/>
      <c r="H78" s="117" t="s">
        <v>167</v>
      </c>
      <c r="I78" s="112"/>
      <c r="J78" s="112"/>
      <c r="K78" s="112"/>
      <c r="L78" s="112"/>
      <c r="M78" s="112"/>
    </row>
    <row r="79" spans="1:13" x14ac:dyDescent="0.25">
      <c r="A79" s="115"/>
      <c r="B79" s="112"/>
      <c r="C79" s="112"/>
      <c r="D79" s="118" t="s">
        <v>421</v>
      </c>
      <c r="E79" s="112"/>
      <c r="F79" s="112"/>
      <c r="G79" s="112"/>
      <c r="H79" s="117" t="s">
        <v>168</v>
      </c>
      <c r="I79" s="112"/>
      <c r="J79" s="112"/>
      <c r="K79" s="112"/>
      <c r="L79" s="112"/>
      <c r="M79" s="112"/>
    </row>
    <row r="80" spans="1:13" x14ac:dyDescent="0.25">
      <c r="A80" s="115"/>
      <c r="B80" s="112"/>
      <c r="C80" s="112"/>
      <c r="D80" s="118" t="s">
        <v>426</v>
      </c>
      <c r="E80" s="112"/>
      <c r="F80" s="112"/>
      <c r="G80" s="112"/>
      <c r="H80" s="117" t="s">
        <v>169</v>
      </c>
      <c r="I80" s="112"/>
      <c r="J80" s="112"/>
      <c r="K80" s="112"/>
      <c r="L80" s="112"/>
      <c r="M80" s="112"/>
    </row>
    <row r="81" spans="1:13" x14ac:dyDescent="0.25">
      <c r="A81" s="115"/>
      <c r="B81" s="112"/>
      <c r="C81" s="112"/>
      <c r="D81" s="118" t="s">
        <v>427</v>
      </c>
      <c r="E81" s="112"/>
      <c r="F81" s="112"/>
      <c r="G81" s="112"/>
      <c r="H81" s="112" t="s">
        <v>768</v>
      </c>
      <c r="I81" s="112"/>
      <c r="J81" s="112"/>
      <c r="K81" s="112"/>
      <c r="L81" s="112"/>
      <c r="M81" s="112"/>
    </row>
    <row r="82" spans="1:13" x14ac:dyDescent="0.25">
      <c r="A82" s="115"/>
      <c r="B82" s="112"/>
      <c r="C82" s="112"/>
      <c r="D82" s="118" t="s">
        <v>428</v>
      </c>
      <c r="E82" s="112"/>
      <c r="F82" s="112"/>
      <c r="G82" s="112"/>
      <c r="H82" s="112" t="s">
        <v>769</v>
      </c>
      <c r="I82" s="112"/>
      <c r="J82" s="112"/>
      <c r="K82" s="112"/>
      <c r="L82" s="112"/>
      <c r="M82" s="112"/>
    </row>
    <row r="83" spans="1:13" x14ac:dyDescent="0.25">
      <c r="A83" s="115"/>
      <c r="B83" s="112"/>
      <c r="C83" s="112"/>
      <c r="D83" s="118" t="s">
        <v>277</v>
      </c>
      <c r="E83" s="112"/>
      <c r="F83" s="112"/>
      <c r="G83" s="112"/>
      <c r="H83" s="112" t="s">
        <v>770</v>
      </c>
      <c r="I83" s="112"/>
      <c r="J83" s="112"/>
      <c r="K83" s="112"/>
      <c r="L83" s="112"/>
      <c r="M83" s="112"/>
    </row>
    <row r="84" spans="1:13" x14ac:dyDescent="0.25">
      <c r="A84" s="115"/>
      <c r="B84" s="112"/>
      <c r="C84" s="112"/>
      <c r="D84" s="118" t="s">
        <v>429</v>
      </c>
      <c r="E84" s="112"/>
      <c r="F84" s="112"/>
      <c r="G84" s="112"/>
      <c r="H84" s="112" t="s">
        <v>771</v>
      </c>
      <c r="I84" s="112"/>
      <c r="J84" s="112"/>
      <c r="K84" s="112"/>
      <c r="L84" s="112"/>
      <c r="M84" s="112"/>
    </row>
    <row r="85" spans="1:13" x14ac:dyDescent="0.25">
      <c r="A85" s="115"/>
      <c r="B85" s="112"/>
      <c r="C85" s="112"/>
      <c r="D85" s="118" t="s">
        <v>430</v>
      </c>
      <c r="E85" s="112"/>
      <c r="F85" s="112"/>
      <c r="G85" s="112"/>
      <c r="H85" s="112" t="s">
        <v>773</v>
      </c>
      <c r="I85" s="112"/>
      <c r="J85" s="112"/>
      <c r="K85" s="112"/>
      <c r="L85" s="112"/>
      <c r="M85" s="112"/>
    </row>
    <row r="86" spans="1:13" x14ac:dyDescent="0.25">
      <c r="A86" s="115"/>
      <c r="B86" s="112"/>
      <c r="C86" s="112"/>
      <c r="D86" s="118" t="s">
        <v>431</v>
      </c>
      <c r="E86" s="112"/>
      <c r="F86" s="112"/>
      <c r="G86" s="112"/>
      <c r="H86" s="112" t="s">
        <v>777</v>
      </c>
      <c r="I86" s="112"/>
      <c r="J86" s="112"/>
      <c r="K86" s="112"/>
      <c r="L86" s="112"/>
      <c r="M86" s="112"/>
    </row>
    <row r="87" spans="1:13" x14ac:dyDescent="0.25">
      <c r="A87" s="115"/>
      <c r="B87" s="112"/>
      <c r="C87" s="112"/>
      <c r="D87" s="118" t="s">
        <v>432</v>
      </c>
      <c r="E87" s="112"/>
      <c r="F87" s="112"/>
      <c r="G87" s="112"/>
      <c r="H87" s="112" t="s">
        <v>778</v>
      </c>
      <c r="I87" s="112"/>
      <c r="J87" s="112"/>
      <c r="K87" s="112"/>
      <c r="L87" s="112"/>
      <c r="M87" s="112"/>
    </row>
    <row r="88" spans="1:13" x14ac:dyDescent="0.25">
      <c r="A88" s="115"/>
      <c r="B88" s="112"/>
      <c r="C88" s="112"/>
      <c r="D88" s="118" t="s">
        <v>433</v>
      </c>
      <c r="E88" s="112"/>
      <c r="F88" s="112"/>
      <c r="G88" s="112"/>
      <c r="H88" s="112" t="s">
        <v>779</v>
      </c>
      <c r="I88" s="112"/>
      <c r="J88" s="112"/>
      <c r="K88" s="112"/>
      <c r="L88" s="112"/>
      <c r="M88" s="112"/>
    </row>
    <row r="89" spans="1:13" x14ac:dyDescent="0.25">
      <c r="A89" s="115"/>
      <c r="B89" s="112"/>
      <c r="C89" s="112"/>
      <c r="D89" s="118" t="s">
        <v>434</v>
      </c>
      <c r="E89" s="112"/>
      <c r="F89" s="112"/>
      <c r="G89" s="112"/>
      <c r="H89" s="112" t="s">
        <v>791</v>
      </c>
      <c r="I89" s="112"/>
      <c r="J89" s="112"/>
      <c r="K89" s="112"/>
      <c r="L89" s="112"/>
      <c r="M89" s="112"/>
    </row>
    <row r="90" spans="1:13" x14ac:dyDescent="0.25">
      <c r="A90" s="115"/>
      <c r="B90" s="112"/>
      <c r="C90" s="112"/>
      <c r="D90" s="118" t="s">
        <v>435</v>
      </c>
      <c r="E90" s="112"/>
      <c r="F90" s="112"/>
      <c r="G90" s="112"/>
      <c r="H90" s="112" t="s">
        <v>794</v>
      </c>
      <c r="I90" s="112"/>
      <c r="J90" s="112"/>
      <c r="K90" s="112"/>
      <c r="L90" s="112"/>
      <c r="M90" s="112"/>
    </row>
    <row r="91" spans="1:13" x14ac:dyDescent="0.25">
      <c r="A91" s="115"/>
      <c r="B91" s="112"/>
      <c r="C91" s="112"/>
      <c r="D91" s="118" t="s">
        <v>436</v>
      </c>
      <c r="E91" s="112"/>
      <c r="F91" s="112"/>
      <c r="G91" s="112"/>
      <c r="H91" s="112" t="s">
        <v>801</v>
      </c>
      <c r="I91" s="112"/>
      <c r="J91" s="112"/>
      <c r="K91" s="112"/>
      <c r="L91" s="112"/>
      <c r="M91" s="112"/>
    </row>
    <row r="92" spans="1:13" x14ac:dyDescent="0.25">
      <c r="A92" s="115"/>
      <c r="B92" s="112"/>
      <c r="C92" s="112"/>
      <c r="D92" s="118" t="s">
        <v>437</v>
      </c>
      <c r="E92" s="112"/>
      <c r="F92" s="112"/>
      <c r="G92" s="112"/>
      <c r="H92" s="112"/>
      <c r="I92" s="112"/>
      <c r="J92" s="112"/>
      <c r="K92" s="112"/>
      <c r="L92" s="112"/>
      <c r="M92" s="112"/>
    </row>
    <row r="93" spans="1:13" x14ac:dyDescent="0.25">
      <c r="A93" s="115"/>
      <c r="B93" s="112"/>
      <c r="C93" s="112"/>
      <c r="D93" s="118" t="s">
        <v>438</v>
      </c>
      <c r="E93" s="112"/>
      <c r="F93" s="112"/>
      <c r="G93" s="112"/>
      <c r="H93" s="112"/>
      <c r="I93" s="112"/>
      <c r="J93" s="112"/>
      <c r="K93" s="112"/>
      <c r="L93" s="112"/>
      <c r="M93" s="112"/>
    </row>
    <row r="94" spans="1:13" x14ac:dyDescent="0.25">
      <c r="A94" s="115"/>
      <c r="B94" s="112"/>
      <c r="C94" s="112"/>
      <c r="D94" s="118" t="s">
        <v>439</v>
      </c>
      <c r="E94" s="112"/>
      <c r="F94" s="112"/>
      <c r="G94" s="112"/>
      <c r="H94" s="112"/>
      <c r="I94" s="112"/>
      <c r="J94" s="112"/>
      <c r="K94" s="112"/>
      <c r="L94" s="112"/>
      <c r="M94" s="112"/>
    </row>
    <row r="95" spans="1:13" x14ac:dyDescent="0.25">
      <c r="A95" s="115"/>
      <c r="B95" s="112"/>
      <c r="C95" s="112"/>
      <c r="D95" s="118" t="s">
        <v>440</v>
      </c>
      <c r="E95" s="112"/>
      <c r="F95" s="112"/>
      <c r="G95" s="112"/>
      <c r="H95" s="112"/>
      <c r="I95" s="112"/>
      <c r="J95" s="112"/>
      <c r="K95" s="112"/>
      <c r="L95" s="112"/>
      <c r="M95" s="112"/>
    </row>
    <row r="96" spans="1:13" x14ac:dyDescent="0.25">
      <c r="A96" s="115"/>
      <c r="B96" s="112"/>
      <c r="C96" s="112"/>
      <c r="D96" s="118" t="s">
        <v>441</v>
      </c>
      <c r="E96" s="112"/>
      <c r="F96" s="112"/>
      <c r="G96" s="112"/>
      <c r="H96" s="112"/>
      <c r="I96" s="112"/>
      <c r="J96" s="112"/>
      <c r="K96" s="112"/>
      <c r="L96" s="112"/>
      <c r="M96" s="112"/>
    </row>
    <row r="97" spans="1:13" x14ac:dyDescent="0.25">
      <c r="A97" s="115"/>
      <c r="B97" s="112"/>
      <c r="C97" s="112"/>
      <c r="D97" s="118" t="s">
        <v>442</v>
      </c>
      <c r="E97" s="112"/>
      <c r="F97" s="112"/>
      <c r="G97" s="112"/>
      <c r="H97" s="112"/>
      <c r="I97" s="112"/>
      <c r="J97" s="112"/>
      <c r="K97" s="112"/>
      <c r="L97" s="112"/>
      <c r="M97" s="112"/>
    </row>
    <row r="98" spans="1:13" x14ac:dyDescent="0.25">
      <c r="A98" s="115"/>
      <c r="B98" s="112"/>
      <c r="C98" s="112"/>
      <c r="D98" s="118" t="s">
        <v>443</v>
      </c>
      <c r="E98" s="112"/>
      <c r="F98" s="112"/>
      <c r="G98" s="112"/>
      <c r="H98" s="112"/>
      <c r="I98" s="112"/>
      <c r="J98" s="112"/>
      <c r="K98" s="112"/>
      <c r="L98" s="112"/>
      <c r="M98" s="112"/>
    </row>
    <row r="99" spans="1:13" x14ac:dyDescent="0.25">
      <c r="A99" s="115"/>
      <c r="B99" s="112"/>
      <c r="C99" s="112"/>
      <c r="D99" s="118" t="s">
        <v>444</v>
      </c>
      <c r="E99" s="112"/>
      <c r="F99" s="112"/>
      <c r="G99" s="112"/>
      <c r="H99" s="112"/>
      <c r="I99" s="112"/>
      <c r="J99" s="112"/>
      <c r="K99" s="112"/>
      <c r="L99" s="112"/>
      <c r="M99" s="112"/>
    </row>
    <row r="100" spans="1:13" x14ac:dyDescent="0.25">
      <c r="A100" s="115"/>
      <c r="B100" s="112"/>
      <c r="C100" s="112"/>
      <c r="D100" s="118" t="s">
        <v>445</v>
      </c>
      <c r="E100" s="112"/>
      <c r="F100" s="112"/>
      <c r="G100" s="112"/>
      <c r="H100" s="112"/>
      <c r="I100" s="112"/>
      <c r="J100" s="112"/>
      <c r="K100" s="112"/>
      <c r="L100" s="112"/>
      <c r="M100" s="112"/>
    </row>
    <row r="101" spans="1:13" x14ac:dyDescent="0.25">
      <c r="A101" s="115"/>
      <c r="B101" s="112"/>
      <c r="C101" s="112"/>
      <c r="D101" s="118" t="s">
        <v>446</v>
      </c>
      <c r="E101" s="112"/>
      <c r="F101" s="112"/>
      <c r="G101" s="112"/>
      <c r="H101" s="112"/>
      <c r="I101" s="112"/>
      <c r="J101" s="112"/>
      <c r="K101" s="112"/>
      <c r="L101" s="112"/>
      <c r="M101" s="112"/>
    </row>
    <row r="102" spans="1:13" x14ac:dyDescent="0.25">
      <c r="A102" s="115"/>
      <c r="B102" s="112"/>
      <c r="C102" s="112"/>
      <c r="D102" s="118" t="s">
        <v>447</v>
      </c>
      <c r="E102" s="112"/>
      <c r="F102" s="112"/>
      <c r="G102" s="112"/>
      <c r="H102" s="112"/>
      <c r="I102" s="112"/>
      <c r="J102" s="112"/>
      <c r="K102" s="112"/>
      <c r="L102" s="112"/>
      <c r="M102" s="112"/>
    </row>
    <row r="103" spans="1:13" x14ac:dyDescent="0.25">
      <c r="A103" s="115"/>
      <c r="B103" s="112"/>
      <c r="C103" s="112"/>
      <c r="D103" s="118" t="s">
        <v>448</v>
      </c>
      <c r="E103" s="112"/>
      <c r="F103" s="112"/>
      <c r="G103" s="112"/>
      <c r="H103" s="112"/>
      <c r="I103" s="112"/>
      <c r="J103" s="112"/>
      <c r="K103" s="112"/>
      <c r="L103" s="112"/>
      <c r="M103" s="112"/>
    </row>
    <row r="104" spans="1:13" x14ac:dyDescent="0.25">
      <c r="A104" s="115"/>
      <c r="B104" s="112"/>
      <c r="C104" s="112"/>
      <c r="D104" s="118" t="s">
        <v>449</v>
      </c>
      <c r="E104" s="112"/>
      <c r="F104" s="112"/>
      <c r="G104" s="112"/>
      <c r="H104" s="112"/>
      <c r="I104" s="112"/>
      <c r="J104" s="112"/>
      <c r="K104" s="112"/>
      <c r="L104" s="112"/>
      <c r="M104" s="112"/>
    </row>
    <row r="105" spans="1:13" x14ac:dyDescent="0.25">
      <c r="A105" s="115"/>
      <c r="B105" s="112"/>
      <c r="C105" s="112"/>
      <c r="D105" s="118" t="s">
        <v>450</v>
      </c>
      <c r="E105" s="112"/>
      <c r="F105" s="112"/>
      <c r="G105" s="112"/>
      <c r="H105" s="112"/>
      <c r="I105" s="112"/>
      <c r="J105" s="112"/>
      <c r="K105" s="112"/>
      <c r="L105" s="112"/>
      <c r="M105" s="112"/>
    </row>
    <row r="106" spans="1:13" x14ac:dyDescent="0.25">
      <c r="A106" s="115"/>
      <c r="B106" s="112"/>
      <c r="C106" s="112"/>
      <c r="D106" s="118" t="s">
        <v>451</v>
      </c>
      <c r="E106" s="112"/>
      <c r="F106" s="112"/>
      <c r="G106" s="112"/>
      <c r="H106" s="112"/>
      <c r="I106" s="112"/>
      <c r="J106" s="112"/>
      <c r="K106" s="112"/>
      <c r="L106" s="112"/>
      <c r="M106" s="112"/>
    </row>
    <row r="107" spans="1:13" x14ac:dyDescent="0.25">
      <c r="A107" s="115"/>
      <c r="B107" s="112"/>
      <c r="C107" s="112"/>
      <c r="D107" s="118" t="s">
        <v>452</v>
      </c>
      <c r="E107" s="112"/>
      <c r="F107" s="112"/>
      <c r="G107" s="112"/>
      <c r="H107" s="112"/>
      <c r="I107" s="112"/>
      <c r="J107" s="112"/>
      <c r="K107" s="112"/>
      <c r="L107" s="112"/>
      <c r="M107" s="112"/>
    </row>
    <row r="108" spans="1:13" x14ac:dyDescent="0.25">
      <c r="A108" s="115"/>
      <c r="B108" s="112"/>
      <c r="C108" s="112"/>
      <c r="D108" s="118" t="s">
        <v>453</v>
      </c>
      <c r="E108" s="112"/>
      <c r="F108" s="112"/>
      <c r="G108" s="112"/>
      <c r="H108" s="112"/>
      <c r="I108" s="112"/>
      <c r="J108" s="112"/>
      <c r="K108" s="112"/>
      <c r="L108" s="112"/>
      <c r="M108" s="112"/>
    </row>
    <row r="109" spans="1:13" x14ac:dyDescent="0.25">
      <c r="A109" s="115"/>
      <c r="B109" s="112"/>
      <c r="C109" s="112"/>
      <c r="D109" s="118" t="s">
        <v>195</v>
      </c>
      <c r="E109" s="112"/>
      <c r="F109" s="112"/>
      <c r="G109" s="112"/>
      <c r="H109" s="112"/>
      <c r="I109" s="112"/>
      <c r="J109" s="112"/>
      <c r="K109" s="112"/>
      <c r="L109" s="112"/>
      <c r="M109" s="112"/>
    </row>
    <row r="110" spans="1:13" x14ac:dyDescent="0.25">
      <c r="A110" s="115"/>
      <c r="B110" s="112"/>
      <c r="C110" s="112"/>
      <c r="D110" s="118" t="s">
        <v>454</v>
      </c>
      <c r="E110" s="112"/>
      <c r="F110" s="112"/>
      <c r="G110" s="112"/>
      <c r="H110" s="112"/>
      <c r="I110" s="112"/>
      <c r="J110" s="112"/>
      <c r="K110" s="112"/>
      <c r="L110" s="112"/>
      <c r="M110" s="112"/>
    </row>
    <row r="111" spans="1:13" x14ac:dyDescent="0.25">
      <c r="A111" s="115"/>
      <c r="B111" s="112"/>
      <c r="C111" s="112"/>
      <c r="D111" s="118" t="s">
        <v>455</v>
      </c>
      <c r="E111" s="112"/>
      <c r="F111" s="112"/>
      <c r="G111" s="112"/>
      <c r="H111" s="112"/>
      <c r="I111" s="112"/>
      <c r="J111" s="112"/>
      <c r="K111" s="112"/>
      <c r="L111" s="112"/>
      <c r="M111" s="112"/>
    </row>
    <row r="112" spans="1:13" x14ac:dyDescent="0.25">
      <c r="A112" s="115"/>
      <c r="B112" s="112"/>
      <c r="C112" s="112"/>
      <c r="D112" s="118" t="s">
        <v>456</v>
      </c>
      <c r="E112" s="112"/>
      <c r="F112" s="112"/>
      <c r="G112" s="112"/>
      <c r="H112" s="112"/>
      <c r="I112" s="112"/>
      <c r="J112" s="112"/>
      <c r="K112" s="112"/>
      <c r="L112" s="112"/>
      <c r="M112" s="112"/>
    </row>
    <row r="113" spans="1:13" x14ac:dyDescent="0.25">
      <c r="A113" s="115"/>
      <c r="B113" s="112"/>
      <c r="C113" s="112"/>
      <c r="D113" s="118" t="s">
        <v>457</v>
      </c>
      <c r="E113" s="112"/>
      <c r="F113" s="112"/>
      <c r="G113" s="112"/>
      <c r="H113" s="112"/>
      <c r="I113" s="112"/>
      <c r="J113" s="112"/>
      <c r="K113" s="112"/>
      <c r="L113" s="112"/>
      <c r="M113" s="112"/>
    </row>
    <row r="114" spans="1:13" x14ac:dyDescent="0.25">
      <c r="A114" s="115"/>
      <c r="B114" s="112"/>
      <c r="C114" s="112"/>
      <c r="D114" s="118" t="s">
        <v>458</v>
      </c>
      <c r="E114" s="112"/>
      <c r="F114" s="112"/>
      <c r="G114" s="112"/>
      <c r="H114" s="112"/>
      <c r="I114" s="112"/>
      <c r="J114" s="112"/>
      <c r="K114" s="112"/>
      <c r="L114" s="112"/>
      <c r="M114" s="112"/>
    </row>
    <row r="115" spans="1:13" x14ac:dyDescent="0.25">
      <c r="A115" s="115"/>
      <c r="B115" s="112"/>
      <c r="C115" s="112"/>
      <c r="D115" s="118" t="s">
        <v>459</v>
      </c>
      <c r="E115" s="112"/>
      <c r="F115" s="112"/>
      <c r="G115" s="112"/>
      <c r="H115" s="112"/>
      <c r="I115" s="112"/>
      <c r="J115" s="112"/>
      <c r="K115" s="112"/>
      <c r="L115" s="112"/>
      <c r="M115" s="112"/>
    </row>
    <row r="116" spans="1:13" x14ac:dyDescent="0.25">
      <c r="A116" s="115"/>
      <c r="B116" s="112"/>
      <c r="C116" s="112"/>
      <c r="D116" s="118" t="s">
        <v>289</v>
      </c>
      <c r="E116" s="112"/>
      <c r="F116" s="112"/>
      <c r="G116" s="112"/>
      <c r="H116" s="112"/>
      <c r="I116" s="112"/>
      <c r="J116" s="112"/>
      <c r="K116" s="112"/>
      <c r="L116" s="112"/>
      <c r="M116" s="112"/>
    </row>
    <row r="117" spans="1:13" x14ac:dyDescent="0.25">
      <c r="A117" s="115"/>
      <c r="B117" s="112"/>
      <c r="C117" s="112"/>
      <c r="D117" s="118" t="s">
        <v>460</v>
      </c>
      <c r="E117" s="112"/>
      <c r="F117" s="112"/>
      <c r="G117" s="112"/>
      <c r="H117" s="112"/>
      <c r="I117" s="112"/>
      <c r="J117" s="112"/>
      <c r="K117" s="112"/>
      <c r="L117" s="112"/>
      <c r="M117" s="112"/>
    </row>
    <row r="118" spans="1:13" x14ac:dyDescent="0.25">
      <c r="C118" s="112"/>
      <c r="D118" s="111" t="s">
        <v>775</v>
      </c>
      <c r="E118" s="112"/>
      <c r="H118" s="112"/>
      <c r="K118" s="112"/>
      <c r="M118" s="112"/>
    </row>
    <row r="119" spans="1:13" x14ac:dyDescent="0.25">
      <c r="C119" s="112"/>
      <c r="H119" s="112"/>
    </row>
    <row r="120" spans="1:13" x14ac:dyDescent="0.25">
      <c r="H120" s="112"/>
    </row>
  </sheetData>
  <sortState ref="A4:M117">
    <sortCondition ref="E4"/>
  </sortState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3:R41"/>
  <sheetViews>
    <sheetView topLeftCell="A3" workbookViewId="0">
      <selection activeCell="A41" sqref="A41"/>
    </sheetView>
  </sheetViews>
  <sheetFormatPr defaultColWidth="11" defaultRowHeight="15" x14ac:dyDescent="0.3"/>
  <cols>
    <col min="1" max="16384" width="11" style="88"/>
  </cols>
  <sheetData>
    <row r="3" spans="1:18" ht="22.5" x14ac:dyDescent="0.3">
      <c r="A3" s="97" t="s">
        <v>683</v>
      </c>
      <c r="B3" s="97" t="s">
        <v>555</v>
      </c>
    </row>
    <row r="4" spans="1:18" ht="22.5" x14ac:dyDescent="0.3">
      <c r="A4" s="97" t="s">
        <v>683</v>
      </c>
      <c r="B4" s="97" t="s">
        <v>684</v>
      </c>
    </row>
    <row r="5" spans="1:18" ht="22.5" x14ac:dyDescent="0.3">
      <c r="A5" s="97" t="s">
        <v>683</v>
      </c>
      <c r="B5" s="97" t="s">
        <v>685</v>
      </c>
    </row>
    <row r="6" spans="1:18" ht="22.5" x14ac:dyDescent="0.3">
      <c r="A6" s="97" t="s">
        <v>683</v>
      </c>
      <c r="B6" s="97" t="s">
        <v>686</v>
      </c>
    </row>
    <row r="7" spans="1:18" ht="22.5" x14ac:dyDescent="0.3">
      <c r="A7" s="97" t="s">
        <v>683</v>
      </c>
      <c r="B7" s="97" t="s">
        <v>687</v>
      </c>
    </row>
    <row r="8" spans="1:18" ht="22.5" x14ac:dyDescent="0.3">
      <c r="A8" s="97" t="s">
        <v>683</v>
      </c>
      <c r="B8" s="97" t="s">
        <v>46</v>
      </c>
    </row>
    <row r="9" spans="1:18" ht="22.5" x14ac:dyDescent="0.3">
      <c r="A9" s="97" t="s">
        <v>683</v>
      </c>
      <c r="B9" s="97" t="s">
        <v>47</v>
      </c>
    </row>
    <row r="10" spans="1:18" ht="22.5" x14ac:dyDescent="0.3">
      <c r="A10" s="97" t="s">
        <v>683</v>
      </c>
      <c r="B10" s="97" t="s">
        <v>551</v>
      </c>
      <c r="R10" s="88" t="s">
        <v>806</v>
      </c>
    </row>
    <row r="11" spans="1:18" ht="22.5" x14ac:dyDescent="0.3">
      <c r="A11" s="97" t="s">
        <v>683</v>
      </c>
      <c r="B11" s="97" t="s">
        <v>552</v>
      </c>
    </row>
    <row r="12" spans="1:18" ht="22.5" x14ac:dyDescent="0.3">
      <c r="A12" s="97" t="s">
        <v>683</v>
      </c>
      <c r="B12" s="97" t="s">
        <v>553</v>
      </c>
    </row>
    <row r="13" spans="1:18" ht="22.5" x14ac:dyDescent="0.3">
      <c r="A13" s="97" t="s">
        <v>683</v>
      </c>
      <c r="B13" s="97" t="s">
        <v>556</v>
      </c>
    </row>
    <row r="14" spans="1:18" ht="22.5" x14ac:dyDescent="0.3">
      <c r="A14" s="97" t="s">
        <v>683</v>
      </c>
      <c r="B14" s="97" t="s">
        <v>554</v>
      </c>
    </row>
    <row r="15" spans="1:18" ht="22.5" x14ac:dyDescent="0.3">
      <c r="A15" s="97" t="s">
        <v>683</v>
      </c>
      <c r="B15" s="97" t="s">
        <v>688</v>
      </c>
    </row>
    <row r="16" spans="1:18" ht="22.5" x14ac:dyDescent="0.3">
      <c r="A16" s="97" t="s">
        <v>683</v>
      </c>
      <c r="B16" s="97" t="s">
        <v>568</v>
      </c>
    </row>
    <row r="17" spans="1:2" ht="22.5" x14ac:dyDescent="0.3">
      <c r="A17" s="97" t="s">
        <v>683</v>
      </c>
      <c r="B17" s="97" t="s">
        <v>557</v>
      </c>
    </row>
    <row r="18" spans="1:2" ht="22.5" x14ac:dyDescent="0.3">
      <c r="A18" s="97" t="s">
        <v>683</v>
      </c>
      <c r="B18" s="97" t="s">
        <v>548</v>
      </c>
    </row>
    <row r="19" spans="1:2" ht="22.5" x14ac:dyDescent="0.3">
      <c r="A19" s="97" t="s">
        <v>683</v>
      </c>
      <c r="B19" s="97" t="s">
        <v>559</v>
      </c>
    </row>
    <row r="20" spans="1:2" ht="22.5" x14ac:dyDescent="0.3">
      <c r="A20" s="97" t="s">
        <v>683</v>
      </c>
      <c r="B20" s="97" t="s">
        <v>564</v>
      </c>
    </row>
    <row r="21" spans="1:2" ht="22.5" x14ac:dyDescent="0.3">
      <c r="A21" s="97" t="s">
        <v>683</v>
      </c>
      <c r="B21" s="97" t="s">
        <v>689</v>
      </c>
    </row>
    <row r="22" spans="1:2" ht="22.5" x14ac:dyDescent="0.3">
      <c r="A22" s="97" t="s">
        <v>683</v>
      </c>
      <c r="B22" s="97" t="s">
        <v>566</v>
      </c>
    </row>
    <row r="23" spans="1:2" ht="22.5" x14ac:dyDescent="0.3">
      <c r="A23" s="97" t="s">
        <v>683</v>
      </c>
      <c r="B23" s="97" t="s">
        <v>567</v>
      </c>
    </row>
    <row r="24" spans="1:2" ht="22.5" x14ac:dyDescent="0.3">
      <c r="A24" s="97" t="s">
        <v>683</v>
      </c>
      <c r="B24" s="97" t="s">
        <v>107</v>
      </c>
    </row>
    <row r="25" spans="1:2" ht="22.5" x14ac:dyDescent="0.3">
      <c r="A25" s="97" t="s">
        <v>683</v>
      </c>
      <c r="B25" s="98" t="s">
        <v>692</v>
      </c>
    </row>
    <row r="26" spans="1:2" ht="22.5" x14ac:dyDescent="0.3">
      <c r="A26" s="97" t="s">
        <v>683</v>
      </c>
      <c r="B26" s="98" t="s">
        <v>693</v>
      </c>
    </row>
    <row r="27" spans="1:2" ht="22.5" x14ac:dyDescent="0.3">
      <c r="A27" s="97" t="s">
        <v>683</v>
      </c>
      <c r="B27" s="98" t="s">
        <v>694</v>
      </c>
    </row>
    <row r="28" spans="1:2" ht="22.5" x14ac:dyDescent="0.3">
      <c r="A28" s="97" t="s">
        <v>683</v>
      </c>
      <c r="B28" s="98" t="s">
        <v>695</v>
      </c>
    </row>
    <row r="29" spans="1:2" ht="22.5" x14ac:dyDescent="0.3">
      <c r="A29" s="97" t="s">
        <v>683</v>
      </c>
      <c r="B29" s="98" t="s">
        <v>696</v>
      </c>
    </row>
    <row r="30" spans="1:2" ht="22.5" x14ac:dyDescent="0.3">
      <c r="A30" s="97" t="s">
        <v>683</v>
      </c>
      <c r="B30" s="98" t="s">
        <v>697</v>
      </c>
    </row>
    <row r="31" spans="1:2" ht="22.5" x14ac:dyDescent="0.3">
      <c r="A31" s="97" t="s">
        <v>683</v>
      </c>
      <c r="B31" s="98" t="s">
        <v>698</v>
      </c>
    </row>
    <row r="32" spans="1:2" ht="22.5" x14ac:dyDescent="0.3">
      <c r="A32" s="97" t="s">
        <v>683</v>
      </c>
      <c r="B32" s="98" t="s">
        <v>556</v>
      </c>
    </row>
    <row r="33" spans="1:2" ht="22.5" x14ac:dyDescent="0.3">
      <c r="A33" s="97" t="s">
        <v>683</v>
      </c>
      <c r="B33" s="98" t="s">
        <v>699</v>
      </c>
    </row>
    <row r="34" spans="1:2" ht="22.5" x14ac:dyDescent="0.3">
      <c r="A34" s="97" t="s">
        <v>683</v>
      </c>
      <c r="B34" s="98" t="s">
        <v>700</v>
      </c>
    </row>
    <row r="35" spans="1:2" ht="22.5" x14ac:dyDescent="0.3">
      <c r="A35" s="97" t="s">
        <v>683</v>
      </c>
      <c r="B35" s="98" t="s">
        <v>701</v>
      </c>
    </row>
    <row r="36" spans="1:2" ht="22.5" x14ac:dyDescent="0.3">
      <c r="A36" s="97" t="s">
        <v>683</v>
      </c>
      <c r="B36" s="98" t="s">
        <v>702</v>
      </c>
    </row>
    <row r="37" spans="1:2" ht="22.5" x14ac:dyDescent="0.3">
      <c r="A37" s="97" t="s">
        <v>683</v>
      </c>
      <c r="B37" s="98" t="s">
        <v>703</v>
      </c>
    </row>
    <row r="38" spans="1:2" ht="22.5" x14ac:dyDescent="0.3">
      <c r="A38" s="97" t="s">
        <v>683</v>
      </c>
      <c r="B38" s="98" t="s">
        <v>704</v>
      </c>
    </row>
    <row r="39" spans="1:2" ht="22.5" x14ac:dyDescent="0.3">
      <c r="A39" s="97" t="s">
        <v>683</v>
      </c>
      <c r="B39" s="98" t="s">
        <v>705</v>
      </c>
    </row>
    <row r="40" spans="1:2" ht="22.5" x14ac:dyDescent="0.3">
      <c r="A40" s="97" t="s">
        <v>683</v>
      </c>
      <c r="B40" s="98" t="s">
        <v>706</v>
      </c>
    </row>
    <row r="41" spans="1:2" ht="22.5" x14ac:dyDescent="0.3">
      <c r="A41" s="97" t="s">
        <v>683</v>
      </c>
      <c r="B41" s="98" t="s">
        <v>707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C2:R43"/>
  <sheetViews>
    <sheetView topLeftCell="A3" workbookViewId="0">
      <selection activeCell="C43" sqref="C43"/>
    </sheetView>
  </sheetViews>
  <sheetFormatPr defaultColWidth="11" defaultRowHeight="15" x14ac:dyDescent="0.3"/>
  <cols>
    <col min="1" max="16384" width="11" style="88"/>
  </cols>
  <sheetData>
    <row r="2" spans="3:18" x14ac:dyDescent="0.3">
      <c r="C2" s="89" t="s">
        <v>547</v>
      </c>
    </row>
    <row r="3" spans="3:18" x14ac:dyDescent="0.3">
      <c r="C3" s="90" t="s">
        <v>548</v>
      </c>
    </row>
    <row r="4" spans="3:18" x14ac:dyDescent="0.3">
      <c r="C4" s="90" t="s">
        <v>549</v>
      </c>
    </row>
    <row r="5" spans="3:18" x14ac:dyDescent="0.3">
      <c r="C5" s="90" t="s">
        <v>550</v>
      </c>
    </row>
    <row r="6" spans="3:18" x14ac:dyDescent="0.3">
      <c r="C6" s="90" t="s">
        <v>46</v>
      </c>
    </row>
    <row r="7" spans="3:18" x14ac:dyDescent="0.3">
      <c r="C7" s="90" t="s">
        <v>47</v>
      </c>
    </row>
    <row r="8" spans="3:18" x14ac:dyDescent="0.3">
      <c r="C8" s="90" t="s">
        <v>551</v>
      </c>
    </row>
    <row r="9" spans="3:18" x14ac:dyDescent="0.3">
      <c r="C9" s="90" t="s">
        <v>552</v>
      </c>
    </row>
    <row r="10" spans="3:18" x14ac:dyDescent="0.3">
      <c r="C10" s="90" t="s">
        <v>553</v>
      </c>
      <c r="R10" s="88" t="s">
        <v>806</v>
      </c>
    </row>
    <row r="11" spans="3:18" x14ac:dyDescent="0.3">
      <c r="C11" s="90" t="s">
        <v>554</v>
      </c>
    </row>
    <row r="12" spans="3:18" x14ac:dyDescent="0.3">
      <c r="C12" s="90" t="s">
        <v>555</v>
      </c>
    </row>
    <row r="13" spans="3:18" x14ac:dyDescent="0.3">
      <c r="C13" s="90" t="s">
        <v>556</v>
      </c>
    </row>
    <row r="14" spans="3:18" x14ac:dyDescent="0.3">
      <c r="C14" s="90" t="s">
        <v>557</v>
      </c>
    </row>
    <row r="15" spans="3:18" ht="24" x14ac:dyDescent="0.3">
      <c r="C15" s="90" t="s">
        <v>558</v>
      </c>
    </row>
    <row r="16" spans="3:18" x14ac:dyDescent="0.3">
      <c r="C16" s="90" t="s">
        <v>559</v>
      </c>
    </row>
    <row r="17" spans="3:3" x14ac:dyDescent="0.3">
      <c r="C17" s="90" t="s">
        <v>560</v>
      </c>
    </row>
    <row r="18" spans="3:3" x14ac:dyDescent="0.3">
      <c r="C18" s="90" t="s">
        <v>561</v>
      </c>
    </row>
    <row r="19" spans="3:3" x14ac:dyDescent="0.3">
      <c r="C19" s="90" t="s">
        <v>562</v>
      </c>
    </row>
    <row r="20" spans="3:3" x14ac:dyDescent="0.3">
      <c r="C20" s="90" t="s">
        <v>531</v>
      </c>
    </row>
    <row r="21" spans="3:3" x14ac:dyDescent="0.3">
      <c r="C21" s="90" t="s">
        <v>563</v>
      </c>
    </row>
    <row r="22" spans="3:3" ht="24" x14ac:dyDescent="0.3">
      <c r="C22" s="90" t="s">
        <v>564</v>
      </c>
    </row>
    <row r="23" spans="3:3" x14ac:dyDescent="0.3">
      <c r="C23" s="90" t="s">
        <v>565</v>
      </c>
    </row>
    <row r="24" spans="3:3" x14ac:dyDescent="0.3">
      <c r="C24" s="90" t="s">
        <v>566</v>
      </c>
    </row>
    <row r="25" spans="3:3" x14ac:dyDescent="0.3">
      <c r="C25" s="90" t="s">
        <v>567</v>
      </c>
    </row>
    <row r="26" spans="3:3" x14ac:dyDescent="0.3">
      <c r="C26" s="90" t="s">
        <v>568</v>
      </c>
    </row>
    <row r="27" spans="3:3" x14ac:dyDescent="0.3">
      <c r="C27" s="98" t="s">
        <v>692</v>
      </c>
    </row>
    <row r="28" spans="3:3" x14ac:dyDescent="0.3">
      <c r="C28" s="98" t="s">
        <v>693</v>
      </c>
    </row>
    <row r="29" spans="3:3" x14ac:dyDescent="0.3">
      <c r="C29" s="98" t="s">
        <v>694</v>
      </c>
    </row>
    <row r="30" spans="3:3" x14ac:dyDescent="0.3">
      <c r="C30" s="98" t="s">
        <v>695</v>
      </c>
    </row>
    <row r="31" spans="3:3" x14ac:dyDescent="0.3">
      <c r="C31" s="98" t="s">
        <v>696</v>
      </c>
    </row>
    <row r="32" spans="3:3" x14ac:dyDescent="0.3">
      <c r="C32" s="98" t="s">
        <v>697</v>
      </c>
    </row>
    <row r="33" spans="3:3" x14ac:dyDescent="0.3">
      <c r="C33" s="98" t="s">
        <v>698</v>
      </c>
    </row>
    <row r="34" spans="3:3" x14ac:dyDescent="0.3">
      <c r="C34" s="98" t="s">
        <v>556</v>
      </c>
    </row>
    <row r="35" spans="3:3" ht="22.5" x14ac:dyDescent="0.3">
      <c r="C35" s="98" t="s">
        <v>699</v>
      </c>
    </row>
    <row r="36" spans="3:3" x14ac:dyDescent="0.3">
      <c r="C36" s="98" t="s">
        <v>700</v>
      </c>
    </row>
    <row r="37" spans="3:3" x14ac:dyDescent="0.3">
      <c r="C37" s="98" t="s">
        <v>701</v>
      </c>
    </row>
    <row r="38" spans="3:3" x14ac:dyDescent="0.3">
      <c r="C38" s="98" t="s">
        <v>702</v>
      </c>
    </row>
    <row r="39" spans="3:3" x14ac:dyDescent="0.3">
      <c r="C39" s="98" t="s">
        <v>703</v>
      </c>
    </row>
    <row r="40" spans="3:3" x14ac:dyDescent="0.3">
      <c r="C40" s="98" t="s">
        <v>704</v>
      </c>
    </row>
    <row r="41" spans="3:3" x14ac:dyDescent="0.3">
      <c r="C41" s="98" t="s">
        <v>705</v>
      </c>
    </row>
    <row r="42" spans="3:3" x14ac:dyDescent="0.3">
      <c r="C42" s="98" t="s">
        <v>706</v>
      </c>
    </row>
    <row r="43" spans="3:3" x14ac:dyDescent="0.3">
      <c r="C43" s="98" t="s">
        <v>707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C2:R73"/>
  <sheetViews>
    <sheetView topLeftCell="A38" workbookViewId="0">
      <selection sqref="A1:XFD1048576"/>
    </sheetView>
  </sheetViews>
  <sheetFormatPr defaultColWidth="11" defaultRowHeight="15" x14ac:dyDescent="0.3"/>
  <cols>
    <col min="1" max="2" width="11" style="88"/>
    <col min="3" max="3" width="16.375" style="88" customWidth="1"/>
    <col min="4" max="16384" width="11" style="88"/>
  </cols>
  <sheetData>
    <row r="2" spans="3:18" x14ac:dyDescent="0.3">
      <c r="C2" s="91" t="s">
        <v>547</v>
      </c>
    </row>
    <row r="3" spans="3:18" x14ac:dyDescent="0.3">
      <c r="C3" s="92" t="s">
        <v>549</v>
      </c>
    </row>
    <row r="4" spans="3:18" x14ac:dyDescent="0.3">
      <c r="C4" s="92" t="s">
        <v>569</v>
      </c>
    </row>
    <row r="5" spans="3:18" x14ac:dyDescent="0.3">
      <c r="C5" s="92" t="s">
        <v>570</v>
      </c>
    </row>
    <row r="6" spans="3:18" x14ac:dyDescent="0.3">
      <c r="C6" s="92" t="s">
        <v>571</v>
      </c>
    </row>
    <row r="7" spans="3:18" x14ac:dyDescent="0.3">
      <c r="C7" s="92" t="s">
        <v>572</v>
      </c>
    </row>
    <row r="8" spans="3:18" x14ac:dyDescent="0.3">
      <c r="C8" s="92" t="s">
        <v>564</v>
      </c>
    </row>
    <row r="9" spans="3:18" x14ac:dyDescent="0.3">
      <c r="C9" s="92" t="s">
        <v>80</v>
      </c>
    </row>
    <row r="10" spans="3:18" x14ac:dyDescent="0.3">
      <c r="C10" s="92" t="s">
        <v>573</v>
      </c>
      <c r="R10" s="88" t="s">
        <v>806</v>
      </c>
    </row>
    <row r="11" spans="3:18" x14ac:dyDescent="0.3">
      <c r="C11" s="92" t="s">
        <v>574</v>
      </c>
    </row>
    <row r="12" spans="3:18" x14ac:dyDescent="0.3">
      <c r="C12" s="92" t="s">
        <v>556</v>
      </c>
    </row>
    <row r="13" spans="3:18" x14ac:dyDescent="0.3">
      <c r="C13" s="92" t="s">
        <v>575</v>
      </c>
    </row>
    <row r="14" spans="3:18" x14ac:dyDescent="0.3">
      <c r="C14" s="92" t="s">
        <v>576</v>
      </c>
    </row>
    <row r="15" spans="3:18" x14ac:dyDescent="0.3">
      <c r="C15" s="92" t="s">
        <v>577</v>
      </c>
    </row>
    <row r="16" spans="3:18" x14ac:dyDescent="0.3">
      <c r="C16" s="92" t="s">
        <v>578</v>
      </c>
    </row>
    <row r="17" spans="3:3" x14ac:dyDescent="0.3">
      <c r="C17" s="92" t="s">
        <v>579</v>
      </c>
    </row>
    <row r="18" spans="3:3" x14ac:dyDescent="0.3">
      <c r="C18" s="92" t="s">
        <v>580</v>
      </c>
    </row>
    <row r="19" spans="3:3" x14ac:dyDescent="0.3">
      <c r="C19" s="92" t="s">
        <v>581</v>
      </c>
    </row>
    <row r="20" spans="3:3" x14ac:dyDescent="0.3">
      <c r="C20" s="92" t="s">
        <v>582</v>
      </c>
    </row>
    <row r="21" spans="3:3" x14ac:dyDescent="0.3">
      <c r="C21" s="92" t="s">
        <v>583</v>
      </c>
    </row>
    <row r="22" spans="3:3" x14ac:dyDescent="0.3">
      <c r="C22" s="92" t="s">
        <v>584</v>
      </c>
    </row>
    <row r="23" spans="3:3" x14ac:dyDescent="0.3">
      <c r="C23" s="92" t="s">
        <v>48</v>
      </c>
    </row>
    <row r="24" spans="3:3" x14ac:dyDescent="0.3">
      <c r="C24" s="92" t="s">
        <v>585</v>
      </c>
    </row>
    <row r="25" spans="3:3" x14ac:dyDescent="0.3">
      <c r="C25" s="92" t="s">
        <v>546</v>
      </c>
    </row>
    <row r="26" spans="3:3" x14ac:dyDescent="0.3">
      <c r="C26" s="92" t="s">
        <v>586</v>
      </c>
    </row>
    <row r="27" spans="3:3" x14ac:dyDescent="0.3">
      <c r="C27" s="92" t="s">
        <v>567</v>
      </c>
    </row>
    <row r="28" spans="3:3" x14ac:dyDescent="0.3">
      <c r="C28" s="92" t="s">
        <v>566</v>
      </c>
    </row>
    <row r="29" spans="3:3" x14ac:dyDescent="0.3">
      <c r="C29" s="92" t="s">
        <v>587</v>
      </c>
    </row>
    <row r="30" spans="3:3" x14ac:dyDescent="0.3">
      <c r="C30" s="92" t="s">
        <v>588</v>
      </c>
    </row>
    <row r="31" spans="3:3" x14ac:dyDescent="0.3">
      <c r="C31" s="92" t="s">
        <v>589</v>
      </c>
    </row>
    <row r="32" spans="3:3" x14ac:dyDescent="0.3">
      <c r="C32" s="92" t="s">
        <v>590</v>
      </c>
    </row>
    <row r="33" spans="3:3" x14ac:dyDescent="0.3">
      <c r="C33" s="92" t="s">
        <v>49</v>
      </c>
    </row>
    <row r="34" spans="3:3" x14ac:dyDescent="0.3">
      <c r="C34" s="92" t="s">
        <v>591</v>
      </c>
    </row>
    <row r="35" spans="3:3" x14ac:dyDescent="0.3">
      <c r="C35" s="92" t="s">
        <v>592</v>
      </c>
    </row>
    <row r="36" spans="3:3" x14ac:dyDescent="0.3">
      <c r="C36" s="92" t="s">
        <v>593</v>
      </c>
    </row>
    <row r="37" spans="3:3" x14ac:dyDescent="0.3">
      <c r="C37" s="92" t="s">
        <v>552</v>
      </c>
    </row>
    <row r="38" spans="3:3" x14ac:dyDescent="0.3">
      <c r="C38" s="92" t="s">
        <v>551</v>
      </c>
    </row>
    <row r="39" spans="3:3" x14ac:dyDescent="0.3">
      <c r="C39" s="92" t="s">
        <v>47</v>
      </c>
    </row>
    <row r="40" spans="3:3" x14ac:dyDescent="0.3">
      <c r="C40" s="92" t="s">
        <v>46</v>
      </c>
    </row>
    <row r="41" spans="3:3" x14ac:dyDescent="0.3">
      <c r="C41" s="92" t="s">
        <v>594</v>
      </c>
    </row>
    <row r="42" spans="3:3" x14ac:dyDescent="0.3">
      <c r="C42" s="92" t="s">
        <v>595</v>
      </c>
    </row>
    <row r="43" spans="3:3" x14ac:dyDescent="0.3">
      <c r="C43" s="92" t="s">
        <v>556</v>
      </c>
    </row>
    <row r="44" spans="3:3" x14ac:dyDescent="0.3">
      <c r="C44" s="92" t="s">
        <v>596</v>
      </c>
    </row>
    <row r="45" spans="3:3" x14ac:dyDescent="0.3">
      <c r="C45" s="92" t="s">
        <v>597</v>
      </c>
    </row>
    <row r="46" spans="3:3" x14ac:dyDescent="0.3">
      <c r="C46" s="92" t="s">
        <v>598</v>
      </c>
    </row>
    <row r="47" spans="3:3" x14ac:dyDescent="0.3">
      <c r="C47" s="92" t="s">
        <v>599</v>
      </c>
    </row>
    <row r="48" spans="3:3" x14ac:dyDescent="0.3">
      <c r="C48" s="92" t="s">
        <v>600</v>
      </c>
    </row>
    <row r="49" spans="3:3" x14ac:dyDescent="0.3">
      <c r="C49" s="92" t="s">
        <v>601</v>
      </c>
    </row>
    <row r="50" spans="3:3" x14ac:dyDescent="0.3">
      <c r="C50" s="92" t="s">
        <v>602</v>
      </c>
    </row>
    <row r="51" spans="3:3" x14ac:dyDescent="0.3">
      <c r="C51" s="92" t="s">
        <v>603</v>
      </c>
    </row>
    <row r="52" spans="3:3" x14ac:dyDescent="0.3">
      <c r="C52" s="92" t="s">
        <v>604</v>
      </c>
    </row>
    <row r="53" spans="3:3" x14ac:dyDescent="0.3">
      <c r="C53" s="92" t="s">
        <v>605</v>
      </c>
    </row>
    <row r="54" spans="3:3" x14ac:dyDescent="0.3">
      <c r="C54" s="92" t="s">
        <v>606</v>
      </c>
    </row>
    <row r="55" spans="3:3" x14ac:dyDescent="0.3">
      <c r="C55" s="92" t="s">
        <v>607</v>
      </c>
    </row>
    <row r="56" spans="3:3" x14ac:dyDescent="0.3">
      <c r="C56" s="92" t="s">
        <v>608</v>
      </c>
    </row>
    <row r="57" spans="3:3" x14ac:dyDescent="0.3">
      <c r="C57" s="92" t="s">
        <v>609</v>
      </c>
    </row>
    <row r="58" spans="3:3" x14ac:dyDescent="0.3">
      <c r="C58" s="92" t="s">
        <v>610</v>
      </c>
    </row>
    <row r="59" spans="3:3" x14ac:dyDescent="0.3">
      <c r="C59" s="92" t="s">
        <v>611</v>
      </c>
    </row>
    <row r="60" spans="3:3" x14ac:dyDescent="0.3">
      <c r="C60" s="92" t="s">
        <v>612</v>
      </c>
    </row>
    <row r="61" spans="3:3" x14ac:dyDescent="0.3">
      <c r="C61" s="92" t="s">
        <v>613</v>
      </c>
    </row>
    <row r="62" spans="3:3" x14ac:dyDescent="0.3">
      <c r="C62" s="92" t="s">
        <v>614</v>
      </c>
    </row>
    <row r="63" spans="3:3" x14ac:dyDescent="0.3">
      <c r="C63" s="92" t="s">
        <v>615</v>
      </c>
    </row>
    <row r="64" spans="3:3" x14ac:dyDescent="0.3">
      <c r="C64" s="92" t="s">
        <v>616</v>
      </c>
    </row>
    <row r="65" spans="3:3" x14ac:dyDescent="0.3">
      <c r="C65" s="92" t="s">
        <v>617</v>
      </c>
    </row>
    <row r="66" spans="3:3" x14ac:dyDescent="0.3">
      <c r="C66" s="92" t="s">
        <v>618</v>
      </c>
    </row>
    <row r="67" spans="3:3" x14ac:dyDescent="0.3">
      <c r="C67" s="92" t="s">
        <v>619</v>
      </c>
    </row>
    <row r="68" spans="3:3" x14ac:dyDescent="0.3">
      <c r="C68" s="92" t="s">
        <v>620</v>
      </c>
    </row>
    <row r="69" spans="3:3" x14ac:dyDescent="0.3">
      <c r="C69" s="92" t="s">
        <v>621</v>
      </c>
    </row>
    <row r="70" spans="3:3" x14ac:dyDescent="0.3">
      <c r="C70" s="92" t="s">
        <v>622</v>
      </c>
    </row>
    <row r="71" spans="3:3" x14ac:dyDescent="0.3">
      <c r="C71" s="92" t="s">
        <v>623</v>
      </c>
    </row>
    <row r="72" spans="3:3" x14ac:dyDescent="0.3">
      <c r="C72" s="92" t="s">
        <v>624</v>
      </c>
    </row>
    <row r="73" spans="3:3" x14ac:dyDescent="0.3">
      <c r="C73" s="92" t="s">
        <v>625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C2:R74"/>
  <sheetViews>
    <sheetView topLeftCell="A30" workbookViewId="0">
      <selection sqref="A1:XFD1048576"/>
    </sheetView>
  </sheetViews>
  <sheetFormatPr defaultColWidth="11" defaultRowHeight="15" x14ac:dyDescent="0.3"/>
  <cols>
    <col min="1" max="2" width="11" style="88"/>
    <col min="3" max="3" width="17.125" style="88" customWidth="1"/>
    <col min="4" max="16384" width="11" style="88"/>
  </cols>
  <sheetData>
    <row r="2" spans="3:18" x14ac:dyDescent="0.3">
      <c r="C2" s="93" t="s">
        <v>547</v>
      </c>
    </row>
    <row r="3" spans="3:18" x14ac:dyDescent="0.3">
      <c r="C3" s="94" t="s">
        <v>626</v>
      </c>
    </row>
    <row r="4" spans="3:18" x14ac:dyDescent="0.3">
      <c r="C4" s="94" t="s">
        <v>627</v>
      </c>
    </row>
    <row r="5" spans="3:18" x14ac:dyDescent="0.3">
      <c r="C5" s="94" t="s">
        <v>628</v>
      </c>
    </row>
    <row r="6" spans="3:18" x14ac:dyDescent="0.3">
      <c r="C6" s="94" t="s">
        <v>629</v>
      </c>
    </row>
    <row r="7" spans="3:18" x14ac:dyDescent="0.3">
      <c r="C7" s="94" t="s">
        <v>630</v>
      </c>
    </row>
    <row r="8" spans="3:18" x14ac:dyDescent="0.3">
      <c r="C8" s="94" t="s">
        <v>564</v>
      </c>
    </row>
    <row r="9" spans="3:18" x14ac:dyDescent="0.3">
      <c r="C9" s="94" t="s">
        <v>79</v>
      </c>
    </row>
    <row r="10" spans="3:18" x14ac:dyDescent="0.3">
      <c r="C10" s="94" t="s">
        <v>631</v>
      </c>
      <c r="R10" s="88" t="s">
        <v>806</v>
      </c>
    </row>
    <row r="11" spans="3:18" x14ac:dyDescent="0.3">
      <c r="C11" s="94" t="s">
        <v>632</v>
      </c>
    </row>
    <row r="12" spans="3:18" x14ac:dyDescent="0.3">
      <c r="C12" s="94" t="s">
        <v>556</v>
      </c>
    </row>
    <row r="13" spans="3:18" x14ac:dyDescent="0.3">
      <c r="C13" s="94" t="s">
        <v>575</v>
      </c>
    </row>
    <row r="14" spans="3:18" x14ac:dyDescent="0.3">
      <c r="C14" s="94" t="s">
        <v>576</v>
      </c>
    </row>
    <row r="15" spans="3:18" x14ac:dyDescent="0.3">
      <c r="C15" s="94" t="s">
        <v>577</v>
      </c>
    </row>
    <row r="16" spans="3:18" x14ac:dyDescent="0.3">
      <c r="C16" s="94" t="s">
        <v>578</v>
      </c>
    </row>
    <row r="17" spans="3:3" x14ac:dyDescent="0.3">
      <c r="C17" s="94" t="s">
        <v>579</v>
      </c>
    </row>
    <row r="18" spans="3:3" x14ac:dyDescent="0.3">
      <c r="C18" s="94" t="s">
        <v>580</v>
      </c>
    </row>
    <row r="19" spans="3:3" x14ac:dyDescent="0.3">
      <c r="C19" s="94" t="s">
        <v>581</v>
      </c>
    </row>
    <row r="20" spans="3:3" x14ac:dyDescent="0.3">
      <c r="C20" s="94" t="s">
        <v>582</v>
      </c>
    </row>
    <row r="21" spans="3:3" x14ac:dyDescent="0.3">
      <c r="C21" s="94" t="s">
        <v>583</v>
      </c>
    </row>
    <row r="22" spans="3:3" x14ac:dyDescent="0.3">
      <c r="C22" s="94" t="s">
        <v>584</v>
      </c>
    </row>
    <row r="23" spans="3:3" x14ac:dyDescent="0.3">
      <c r="C23" s="94" t="s">
        <v>48</v>
      </c>
    </row>
    <row r="24" spans="3:3" x14ac:dyDescent="0.3">
      <c r="C24" s="94" t="s">
        <v>585</v>
      </c>
    </row>
    <row r="25" spans="3:3" x14ac:dyDescent="0.3">
      <c r="C25" s="94" t="s">
        <v>546</v>
      </c>
    </row>
    <row r="26" spans="3:3" x14ac:dyDescent="0.3">
      <c r="C26" s="94" t="s">
        <v>586</v>
      </c>
    </row>
    <row r="27" spans="3:3" x14ac:dyDescent="0.3">
      <c r="C27" s="94" t="s">
        <v>567</v>
      </c>
    </row>
    <row r="28" spans="3:3" x14ac:dyDescent="0.3">
      <c r="C28" s="94" t="s">
        <v>566</v>
      </c>
    </row>
    <row r="29" spans="3:3" x14ac:dyDescent="0.3">
      <c r="C29" s="94" t="s">
        <v>587</v>
      </c>
    </row>
    <row r="30" spans="3:3" x14ac:dyDescent="0.3">
      <c r="C30" s="94" t="s">
        <v>588</v>
      </c>
    </row>
    <row r="31" spans="3:3" x14ac:dyDescent="0.3">
      <c r="C31" s="94" t="s">
        <v>589</v>
      </c>
    </row>
    <row r="32" spans="3:3" x14ac:dyDescent="0.3">
      <c r="C32" s="94" t="s">
        <v>590</v>
      </c>
    </row>
    <row r="33" spans="3:3" x14ac:dyDescent="0.3">
      <c r="C33" s="94" t="s">
        <v>49</v>
      </c>
    </row>
    <row r="34" spans="3:3" x14ac:dyDescent="0.3">
      <c r="C34" s="94" t="s">
        <v>591</v>
      </c>
    </row>
    <row r="35" spans="3:3" x14ac:dyDescent="0.3">
      <c r="C35" s="94" t="s">
        <v>592</v>
      </c>
    </row>
    <row r="36" spans="3:3" x14ac:dyDescent="0.3">
      <c r="C36" s="94" t="s">
        <v>593</v>
      </c>
    </row>
    <row r="37" spans="3:3" x14ac:dyDescent="0.3">
      <c r="C37" s="94" t="s">
        <v>552</v>
      </c>
    </row>
    <row r="38" spans="3:3" x14ac:dyDescent="0.3">
      <c r="C38" s="94" t="s">
        <v>551</v>
      </c>
    </row>
    <row r="39" spans="3:3" x14ac:dyDescent="0.3">
      <c r="C39" s="94" t="s">
        <v>47</v>
      </c>
    </row>
    <row r="40" spans="3:3" x14ac:dyDescent="0.3">
      <c r="C40" s="94" t="s">
        <v>46</v>
      </c>
    </row>
    <row r="41" spans="3:3" x14ac:dyDescent="0.3">
      <c r="C41" s="94" t="s">
        <v>594</v>
      </c>
    </row>
    <row r="42" spans="3:3" x14ac:dyDescent="0.3">
      <c r="C42" s="94" t="s">
        <v>595</v>
      </c>
    </row>
    <row r="43" spans="3:3" x14ac:dyDescent="0.3">
      <c r="C43" s="94" t="s">
        <v>556</v>
      </c>
    </row>
    <row r="44" spans="3:3" x14ac:dyDescent="0.3">
      <c r="C44" s="94" t="s">
        <v>596</v>
      </c>
    </row>
    <row r="45" spans="3:3" x14ac:dyDescent="0.3">
      <c r="C45" s="94" t="s">
        <v>597</v>
      </c>
    </row>
    <row r="46" spans="3:3" x14ac:dyDescent="0.3">
      <c r="C46" s="94" t="s">
        <v>598</v>
      </c>
    </row>
    <row r="47" spans="3:3" x14ac:dyDescent="0.3">
      <c r="C47" s="94" t="s">
        <v>599</v>
      </c>
    </row>
    <row r="48" spans="3:3" x14ac:dyDescent="0.3">
      <c r="C48" s="94" t="s">
        <v>600</v>
      </c>
    </row>
    <row r="49" spans="3:3" x14ac:dyDescent="0.3">
      <c r="C49" s="94" t="s">
        <v>601</v>
      </c>
    </row>
    <row r="50" spans="3:3" x14ac:dyDescent="0.3">
      <c r="C50" s="94" t="s">
        <v>602</v>
      </c>
    </row>
    <row r="51" spans="3:3" x14ac:dyDescent="0.3">
      <c r="C51" s="94" t="s">
        <v>603</v>
      </c>
    </row>
    <row r="52" spans="3:3" x14ac:dyDescent="0.3">
      <c r="C52" s="94" t="s">
        <v>604</v>
      </c>
    </row>
    <row r="53" spans="3:3" x14ac:dyDescent="0.3">
      <c r="C53" s="94" t="s">
        <v>605</v>
      </c>
    </row>
    <row r="54" spans="3:3" x14ac:dyDescent="0.3">
      <c r="C54" s="94" t="s">
        <v>606</v>
      </c>
    </row>
    <row r="55" spans="3:3" x14ac:dyDescent="0.3">
      <c r="C55" s="94" t="s">
        <v>607</v>
      </c>
    </row>
    <row r="56" spans="3:3" x14ac:dyDescent="0.3">
      <c r="C56" s="94" t="s">
        <v>608</v>
      </c>
    </row>
    <row r="57" spans="3:3" x14ac:dyDescent="0.3">
      <c r="C57" s="94" t="s">
        <v>609</v>
      </c>
    </row>
    <row r="58" spans="3:3" x14ac:dyDescent="0.3">
      <c r="C58" s="94" t="s">
        <v>610</v>
      </c>
    </row>
    <row r="59" spans="3:3" x14ac:dyDescent="0.3">
      <c r="C59" s="94" t="s">
        <v>611</v>
      </c>
    </row>
    <row r="60" spans="3:3" x14ac:dyDescent="0.3">
      <c r="C60" s="94" t="s">
        <v>612</v>
      </c>
    </row>
    <row r="61" spans="3:3" x14ac:dyDescent="0.3">
      <c r="C61" s="94" t="s">
        <v>613</v>
      </c>
    </row>
    <row r="62" spans="3:3" x14ac:dyDescent="0.3">
      <c r="C62" s="94" t="s">
        <v>614</v>
      </c>
    </row>
    <row r="63" spans="3:3" x14ac:dyDescent="0.3">
      <c r="C63" s="94" t="s">
        <v>615</v>
      </c>
    </row>
    <row r="64" spans="3:3" x14ac:dyDescent="0.3">
      <c r="C64" s="94" t="s">
        <v>616</v>
      </c>
    </row>
    <row r="65" spans="3:3" x14ac:dyDescent="0.3">
      <c r="C65" s="94" t="s">
        <v>617</v>
      </c>
    </row>
    <row r="66" spans="3:3" x14ac:dyDescent="0.3">
      <c r="C66" s="94" t="s">
        <v>618</v>
      </c>
    </row>
    <row r="67" spans="3:3" x14ac:dyDescent="0.3">
      <c r="C67" s="94" t="s">
        <v>619</v>
      </c>
    </row>
    <row r="68" spans="3:3" x14ac:dyDescent="0.3">
      <c r="C68" s="94" t="s">
        <v>620</v>
      </c>
    </row>
    <row r="69" spans="3:3" x14ac:dyDescent="0.3">
      <c r="C69" s="94" t="s">
        <v>621</v>
      </c>
    </row>
    <row r="70" spans="3:3" x14ac:dyDescent="0.3">
      <c r="C70" s="94" t="s">
        <v>622</v>
      </c>
    </row>
    <row r="71" spans="3:3" x14ac:dyDescent="0.3">
      <c r="C71" s="94" t="s">
        <v>623</v>
      </c>
    </row>
    <row r="72" spans="3:3" x14ac:dyDescent="0.3">
      <c r="C72" s="94" t="s">
        <v>624</v>
      </c>
    </row>
    <row r="73" spans="3:3" x14ac:dyDescent="0.3">
      <c r="C73" s="94" t="s">
        <v>556</v>
      </c>
    </row>
    <row r="74" spans="3:3" x14ac:dyDescent="0.3">
      <c r="C74" s="94" t="s">
        <v>625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C2:R108"/>
  <sheetViews>
    <sheetView topLeftCell="A73" workbookViewId="0">
      <selection activeCell="C13" sqref="C13"/>
    </sheetView>
  </sheetViews>
  <sheetFormatPr defaultColWidth="11" defaultRowHeight="15" x14ac:dyDescent="0.3"/>
  <cols>
    <col min="1" max="2" width="11" style="88"/>
    <col min="3" max="3" width="28.875" style="88" customWidth="1"/>
    <col min="4" max="16384" width="11" style="88"/>
  </cols>
  <sheetData>
    <row r="2" spans="3:18" x14ac:dyDescent="0.3">
      <c r="C2" s="95" t="s">
        <v>547</v>
      </c>
    </row>
    <row r="3" spans="3:18" x14ac:dyDescent="0.3">
      <c r="C3" s="96" t="s">
        <v>633</v>
      </c>
    </row>
    <row r="4" spans="3:18" x14ac:dyDescent="0.3">
      <c r="C4" s="96" t="s">
        <v>556</v>
      </c>
    </row>
    <row r="5" spans="3:18" x14ac:dyDescent="0.3">
      <c r="C5" s="96" t="s">
        <v>634</v>
      </c>
    </row>
    <row r="6" spans="3:18" x14ac:dyDescent="0.3">
      <c r="C6" s="96" t="s">
        <v>635</v>
      </c>
    </row>
    <row r="7" spans="3:18" x14ac:dyDescent="0.3">
      <c r="C7" s="96" t="s">
        <v>636</v>
      </c>
    </row>
    <row r="8" spans="3:18" x14ac:dyDescent="0.3">
      <c r="C8" s="96" t="s">
        <v>537</v>
      </c>
    </row>
    <row r="9" spans="3:18" x14ac:dyDescent="0.3">
      <c r="C9" s="96" t="s">
        <v>553</v>
      </c>
    </row>
    <row r="10" spans="3:18" x14ac:dyDescent="0.3">
      <c r="C10" s="96" t="s">
        <v>564</v>
      </c>
      <c r="R10" s="88" t="s">
        <v>806</v>
      </c>
    </row>
    <row r="11" spans="3:18" x14ac:dyDescent="0.3">
      <c r="C11" s="96" t="s">
        <v>637</v>
      </c>
    </row>
    <row r="12" spans="3:18" x14ac:dyDescent="0.3">
      <c r="C12" s="96" t="s">
        <v>532</v>
      </c>
    </row>
    <row r="13" spans="3:18" x14ac:dyDescent="0.3">
      <c r="C13" s="96" t="s">
        <v>638</v>
      </c>
    </row>
    <row r="14" spans="3:18" x14ac:dyDescent="0.3">
      <c r="C14" s="96" t="s">
        <v>639</v>
      </c>
    </row>
    <row r="15" spans="3:18" x14ac:dyDescent="0.3">
      <c r="C15" s="96" t="s">
        <v>640</v>
      </c>
    </row>
    <row r="16" spans="3:18" x14ac:dyDescent="0.3">
      <c r="C16" s="96" t="s">
        <v>641</v>
      </c>
    </row>
    <row r="17" spans="3:3" x14ac:dyDescent="0.3">
      <c r="C17" s="96" t="s">
        <v>642</v>
      </c>
    </row>
    <row r="18" spans="3:3" x14ac:dyDescent="0.3">
      <c r="C18" s="96" t="s">
        <v>643</v>
      </c>
    </row>
    <row r="19" spans="3:3" x14ac:dyDescent="0.3">
      <c r="C19" s="96" t="s">
        <v>644</v>
      </c>
    </row>
    <row r="20" spans="3:3" x14ac:dyDescent="0.3">
      <c r="C20" s="96" t="s">
        <v>645</v>
      </c>
    </row>
    <row r="21" spans="3:3" x14ac:dyDescent="0.3">
      <c r="C21" s="96" t="s">
        <v>646</v>
      </c>
    </row>
    <row r="22" spans="3:3" x14ac:dyDescent="0.3">
      <c r="C22" s="96" t="s">
        <v>647</v>
      </c>
    </row>
    <row r="23" spans="3:3" x14ac:dyDescent="0.3">
      <c r="C23" s="96" t="s">
        <v>648</v>
      </c>
    </row>
    <row r="24" spans="3:3" x14ac:dyDescent="0.3">
      <c r="C24" s="96" t="s">
        <v>649</v>
      </c>
    </row>
    <row r="25" spans="3:3" x14ac:dyDescent="0.3">
      <c r="C25" s="96" t="s">
        <v>650</v>
      </c>
    </row>
    <row r="26" spans="3:3" x14ac:dyDescent="0.3">
      <c r="C26" s="96" t="s">
        <v>651</v>
      </c>
    </row>
    <row r="27" spans="3:3" x14ac:dyDescent="0.3">
      <c r="C27" s="96" t="s">
        <v>652</v>
      </c>
    </row>
    <row r="28" spans="3:3" x14ac:dyDescent="0.3">
      <c r="C28" s="96" t="s">
        <v>653</v>
      </c>
    </row>
    <row r="29" spans="3:3" x14ac:dyDescent="0.3">
      <c r="C29" s="96" t="s">
        <v>654</v>
      </c>
    </row>
    <row r="30" spans="3:3" x14ac:dyDescent="0.3">
      <c r="C30" s="96" t="s">
        <v>655</v>
      </c>
    </row>
    <row r="31" spans="3:3" x14ac:dyDescent="0.3">
      <c r="C31" s="96" t="s">
        <v>656</v>
      </c>
    </row>
    <row r="32" spans="3:3" x14ac:dyDescent="0.3">
      <c r="C32" s="96" t="s">
        <v>657</v>
      </c>
    </row>
    <row r="33" spans="3:3" x14ac:dyDescent="0.3">
      <c r="C33" s="96" t="s">
        <v>658</v>
      </c>
    </row>
    <row r="34" spans="3:3" x14ac:dyDescent="0.3">
      <c r="C34" s="96" t="s">
        <v>659</v>
      </c>
    </row>
    <row r="35" spans="3:3" x14ac:dyDescent="0.3">
      <c r="C35" s="96" t="s">
        <v>660</v>
      </c>
    </row>
    <row r="36" spans="3:3" x14ac:dyDescent="0.3">
      <c r="C36" s="96" t="s">
        <v>661</v>
      </c>
    </row>
    <row r="37" spans="3:3" x14ac:dyDescent="0.3">
      <c r="C37" s="96" t="s">
        <v>662</v>
      </c>
    </row>
    <row r="38" spans="3:3" x14ac:dyDescent="0.3">
      <c r="C38" s="96" t="s">
        <v>663</v>
      </c>
    </row>
    <row r="39" spans="3:3" x14ac:dyDescent="0.3">
      <c r="C39" s="96" t="s">
        <v>664</v>
      </c>
    </row>
    <row r="40" spans="3:3" x14ac:dyDescent="0.3">
      <c r="C40" s="96" t="s">
        <v>665</v>
      </c>
    </row>
    <row r="41" spans="3:3" x14ac:dyDescent="0.3">
      <c r="C41" s="96" t="s">
        <v>666</v>
      </c>
    </row>
    <row r="42" spans="3:3" x14ac:dyDescent="0.3">
      <c r="C42" s="96" t="s">
        <v>667</v>
      </c>
    </row>
    <row r="43" spans="3:3" x14ac:dyDescent="0.3">
      <c r="C43" s="96" t="s">
        <v>668</v>
      </c>
    </row>
    <row r="44" spans="3:3" x14ac:dyDescent="0.3">
      <c r="C44" s="96" t="s">
        <v>669</v>
      </c>
    </row>
    <row r="45" spans="3:3" x14ac:dyDescent="0.3">
      <c r="C45" s="96" t="s">
        <v>670</v>
      </c>
    </row>
    <row r="46" spans="3:3" x14ac:dyDescent="0.3">
      <c r="C46" s="96" t="s">
        <v>671</v>
      </c>
    </row>
    <row r="47" spans="3:3" x14ac:dyDescent="0.3">
      <c r="C47" s="96" t="s">
        <v>672</v>
      </c>
    </row>
    <row r="48" spans="3:3" x14ac:dyDescent="0.3">
      <c r="C48" s="96" t="s">
        <v>673</v>
      </c>
    </row>
    <row r="49" spans="3:3" x14ac:dyDescent="0.3">
      <c r="C49" s="96" t="s">
        <v>674</v>
      </c>
    </row>
    <row r="50" spans="3:3" x14ac:dyDescent="0.3">
      <c r="C50" s="96" t="s">
        <v>675</v>
      </c>
    </row>
    <row r="51" spans="3:3" x14ac:dyDescent="0.3">
      <c r="C51" s="96" t="s">
        <v>676</v>
      </c>
    </row>
    <row r="52" spans="3:3" x14ac:dyDescent="0.3">
      <c r="C52" s="96" t="s">
        <v>677</v>
      </c>
    </row>
    <row r="53" spans="3:3" x14ac:dyDescent="0.3">
      <c r="C53" s="96" t="s">
        <v>556</v>
      </c>
    </row>
    <row r="54" spans="3:3" x14ac:dyDescent="0.3">
      <c r="C54" s="96" t="s">
        <v>678</v>
      </c>
    </row>
    <row r="55" spans="3:3" x14ac:dyDescent="0.3">
      <c r="C55" s="96" t="s">
        <v>577</v>
      </c>
    </row>
    <row r="56" spans="3:3" x14ac:dyDescent="0.3">
      <c r="C56" s="96" t="s">
        <v>588</v>
      </c>
    </row>
    <row r="57" spans="3:3" x14ac:dyDescent="0.3">
      <c r="C57" s="96" t="s">
        <v>578</v>
      </c>
    </row>
    <row r="58" spans="3:3" x14ac:dyDescent="0.3">
      <c r="C58" s="96" t="s">
        <v>579</v>
      </c>
    </row>
    <row r="59" spans="3:3" x14ac:dyDescent="0.3">
      <c r="C59" s="96" t="s">
        <v>580</v>
      </c>
    </row>
    <row r="60" spans="3:3" x14ac:dyDescent="0.3">
      <c r="C60" s="96" t="s">
        <v>581</v>
      </c>
    </row>
    <row r="61" spans="3:3" x14ac:dyDescent="0.3">
      <c r="C61" s="96" t="s">
        <v>582</v>
      </c>
    </row>
    <row r="62" spans="3:3" x14ac:dyDescent="0.3">
      <c r="C62" s="96" t="s">
        <v>583</v>
      </c>
    </row>
    <row r="63" spans="3:3" x14ac:dyDescent="0.3">
      <c r="C63" s="96" t="s">
        <v>584</v>
      </c>
    </row>
    <row r="64" spans="3:3" x14ac:dyDescent="0.3">
      <c r="C64" s="96" t="s">
        <v>590</v>
      </c>
    </row>
    <row r="65" spans="3:3" x14ac:dyDescent="0.3">
      <c r="C65" s="96" t="s">
        <v>566</v>
      </c>
    </row>
    <row r="66" spans="3:3" x14ac:dyDescent="0.3">
      <c r="C66" s="96" t="s">
        <v>594</v>
      </c>
    </row>
    <row r="67" spans="3:3" x14ac:dyDescent="0.3">
      <c r="C67" s="96" t="s">
        <v>576</v>
      </c>
    </row>
    <row r="68" spans="3:3" x14ac:dyDescent="0.3">
      <c r="C68" s="96" t="s">
        <v>585</v>
      </c>
    </row>
    <row r="69" spans="3:3" x14ac:dyDescent="0.3">
      <c r="C69" s="96" t="s">
        <v>546</v>
      </c>
    </row>
    <row r="70" spans="3:3" x14ac:dyDescent="0.3">
      <c r="C70" s="96" t="s">
        <v>567</v>
      </c>
    </row>
    <row r="71" spans="3:3" x14ac:dyDescent="0.3">
      <c r="C71" s="96" t="s">
        <v>575</v>
      </c>
    </row>
    <row r="72" spans="3:3" x14ac:dyDescent="0.3">
      <c r="C72" s="96" t="s">
        <v>587</v>
      </c>
    </row>
    <row r="73" spans="3:3" x14ac:dyDescent="0.3">
      <c r="C73" s="96" t="s">
        <v>589</v>
      </c>
    </row>
    <row r="74" spans="3:3" x14ac:dyDescent="0.3">
      <c r="C74" s="96" t="s">
        <v>551</v>
      </c>
    </row>
    <row r="75" spans="3:3" x14ac:dyDescent="0.3">
      <c r="C75" s="96" t="s">
        <v>46</v>
      </c>
    </row>
    <row r="76" spans="3:3" x14ac:dyDescent="0.3">
      <c r="C76" s="96" t="s">
        <v>586</v>
      </c>
    </row>
    <row r="77" spans="3:3" x14ac:dyDescent="0.3">
      <c r="C77" s="96" t="s">
        <v>47</v>
      </c>
    </row>
    <row r="78" spans="3:3" x14ac:dyDescent="0.3">
      <c r="C78" s="96" t="s">
        <v>49</v>
      </c>
    </row>
    <row r="79" spans="3:3" x14ac:dyDescent="0.3">
      <c r="C79" s="96" t="s">
        <v>552</v>
      </c>
    </row>
    <row r="80" spans="3:3" x14ac:dyDescent="0.3">
      <c r="C80" s="96" t="s">
        <v>593</v>
      </c>
    </row>
    <row r="81" spans="3:3" x14ac:dyDescent="0.3">
      <c r="C81" s="96" t="s">
        <v>592</v>
      </c>
    </row>
    <row r="82" spans="3:3" x14ac:dyDescent="0.3">
      <c r="C82" s="96" t="s">
        <v>591</v>
      </c>
    </row>
    <row r="83" spans="3:3" x14ac:dyDescent="0.3">
      <c r="C83" s="96" t="s">
        <v>48</v>
      </c>
    </row>
    <row r="84" spans="3:3" x14ac:dyDescent="0.3">
      <c r="C84" s="96" t="s">
        <v>617</v>
      </c>
    </row>
    <row r="85" spans="3:3" x14ac:dyDescent="0.3">
      <c r="C85" s="96" t="s">
        <v>608</v>
      </c>
    </row>
    <row r="86" spans="3:3" x14ac:dyDescent="0.3">
      <c r="C86" s="96" t="s">
        <v>612</v>
      </c>
    </row>
    <row r="87" spans="3:3" x14ac:dyDescent="0.3">
      <c r="C87" s="96" t="s">
        <v>613</v>
      </c>
    </row>
    <row r="88" spans="3:3" x14ac:dyDescent="0.3">
      <c r="C88" s="96" t="s">
        <v>614</v>
      </c>
    </row>
    <row r="89" spans="3:3" x14ac:dyDescent="0.3">
      <c r="C89" s="96" t="s">
        <v>615</v>
      </c>
    </row>
    <row r="90" spans="3:3" x14ac:dyDescent="0.3">
      <c r="C90" s="96" t="s">
        <v>616</v>
      </c>
    </row>
    <row r="91" spans="3:3" x14ac:dyDescent="0.3">
      <c r="C91" s="96" t="s">
        <v>610</v>
      </c>
    </row>
    <row r="92" spans="3:3" x14ac:dyDescent="0.3">
      <c r="C92" s="96" t="s">
        <v>611</v>
      </c>
    </row>
    <row r="93" spans="3:3" x14ac:dyDescent="0.3">
      <c r="C93" s="96" t="s">
        <v>618</v>
      </c>
    </row>
    <row r="94" spans="3:3" x14ac:dyDescent="0.3">
      <c r="C94" s="96" t="s">
        <v>619</v>
      </c>
    </row>
    <row r="95" spans="3:3" x14ac:dyDescent="0.3">
      <c r="C95" s="96" t="s">
        <v>620</v>
      </c>
    </row>
    <row r="96" spans="3:3" x14ac:dyDescent="0.3">
      <c r="C96" s="96" t="s">
        <v>621</v>
      </c>
    </row>
    <row r="97" spans="3:3" x14ac:dyDescent="0.3">
      <c r="C97" s="96" t="s">
        <v>625</v>
      </c>
    </row>
    <row r="98" spans="3:3" x14ac:dyDescent="0.3">
      <c r="C98" s="96" t="s">
        <v>622</v>
      </c>
    </row>
    <row r="99" spans="3:3" x14ac:dyDescent="0.3">
      <c r="C99" s="96" t="s">
        <v>609</v>
      </c>
    </row>
    <row r="100" spans="3:3" x14ac:dyDescent="0.3">
      <c r="C100" s="96" t="s">
        <v>624</v>
      </c>
    </row>
    <row r="101" spans="3:3" x14ac:dyDescent="0.3">
      <c r="C101" s="96" t="s">
        <v>623</v>
      </c>
    </row>
    <row r="102" spans="3:3" x14ac:dyDescent="0.3">
      <c r="C102" s="96" t="s">
        <v>679</v>
      </c>
    </row>
    <row r="103" spans="3:3" x14ac:dyDescent="0.3">
      <c r="C103" s="96" t="s">
        <v>680</v>
      </c>
    </row>
    <row r="104" spans="3:3" x14ac:dyDescent="0.3">
      <c r="C104" s="96" t="s">
        <v>681</v>
      </c>
    </row>
    <row r="105" spans="3:3" x14ac:dyDescent="0.3">
      <c r="C105" s="96" t="s">
        <v>50</v>
      </c>
    </row>
    <row r="106" spans="3:3" x14ac:dyDescent="0.3">
      <c r="C106" s="96" t="s">
        <v>537</v>
      </c>
    </row>
    <row r="107" spans="3:3" x14ac:dyDescent="0.3">
      <c r="C107" s="96" t="s">
        <v>682</v>
      </c>
    </row>
    <row r="108" spans="3:3" x14ac:dyDescent="0.3">
      <c r="C108" s="96" t="s">
        <v>556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/>
  <dimension ref="C2:R108"/>
  <sheetViews>
    <sheetView topLeftCell="A72" workbookViewId="0">
      <selection sqref="A1:XFD1048576"/>
    </sheetView>
  </sheetViews>
  <sheetFormatPr defaultColWidth="11" defaultRowHeight="15" x14ac:dyDescent="0.3"/>
  <cols>
    <col min="1" max="2" width="11" style="88"/>
    <col min="3" max="3" width="28.875" style="88" customWidth="1"/>
    <col min="4" max="16384" width="11" style="88"/>
  </cols>
  <sheetData>
    <row r="2" spans="3:18" x14ac:dyDescent="0.3">
      <c r="C2" s="95" t="s">
        <v>547</v>
      </c>
    </row>
    <row r="3" spans="3:18" x14ac:dyDescent="0.3">
      <c r="C3" s="96" t="s">
        <v>633</v>
      </c>
    </row>
    <row r="4" spans="3:18" x14ac:dyDescent="0.3">
      <c r="C4" s="96" t="s">
        <v>556</v>
      </c>
    </row>
    <row r="5" spans="3:18" x14ac:dyDescent="0.3">
      <c r="C5" s="96" t="s">
        <v>634</v>
      </c>
    </row>
    <row r="6" spans="3:18" x14ac:dyDescent="0.3">
      <c r="C6" s="96" t="s">
        <v>635</v>
      </c>
    </row>
    <row r="7" spans="3:18" x14ac:dyDescent="0.3">
      <c r="C7" s="96" t="s">
        <v>636</v>
      </c>
    </row>
    <row r="8" spans="3:18" x14ac:dyDescent="0.3">
      <c r="C8" s="96" t="s">
        <v>537</v>
      </c>
    </row>
    <row r="9" spans="3:18" x14ac:dyDescent="0.3">
      <c r="C9" s="96" t="s">
        <v>553</v>
      </c>
    </row>
    <row r="10" spans="3:18" x14ac:dyDescent="0.3">
      <c r="C10" s="96" t="s">
        <v>564</v>
      </c>
      <c r="R10" s="88" t="s">
        <v>806</v>
      </c>
    </row>
    <row r="11" spans="3:18" x14ac:dyDescent="0.3">
      <c r="C11" s="96" t="s">
        <v>637</v>
      </c>
    </row>
    <row r="12" spans="3:18" x14ac:dyDescent="0.3">
      <c r="C12" s="96" t="s">
        <v>532</v>
      </c>
    </row>
    <row r="13" spans="3:18" x14ac:dyDescent="0.3">
      <c r="C13" s="96" t="s">
        <v>638</v>
      </c>
    </row>
    <row r="14" spans="3:18" x14ac:dyDescent="0.3">
      <c r="C14" s="96" t="s">
        <v>639</v>
      </c>
    </row>
    <row r="15" spans="3:18" x14ac:dyDescent="0.3">
      <c r="C15" s="96" t="s">
        <v>640</v>
      </c>
    </row>
    <row r="16" spans="3:18" x14ac:dyDescent="0.3">
      <c r="C16" s="96" t="s">
        <v>641</v>
      </c>
    </row>
    <row r="17" spans="3:3" x14ac:dyDescent="0.3">
      <c r="C17" s="96" t="s">
        <v>642</v>
      </c>
    </row>
    <row r="18" spans="3:3" x14ac:dyDescent="0.3">
      <c r="C18" s="96" t="s">
        <v>643</v>
      </c>
    </row>
    <row r="19" spans="3:3" x14ac:dyDescent="0.3">
      <c r="C19" s="96" t="s">
        <v>644</v>
      </c>
    </row>
    <row r="20" spans="3:3" x14ac:dyDescent="0.3">
      <c r="C20" s="96" t="s">
        <v>645</v>
      </c>
    </row>
    <row r="21" spans="3:3" x14ac:dyDescent="0.3">
      <c r="C21" s="96" t="s">
        <v>646</v>
      </c>
    </row>
    <row r="22" spans="3:3" x14ac:dyDescent="0.3">
      <c r="C22" s="96" t="s">
        <v>647</v>
      </c>
    </row>
    <row r="23" spans="3:3" x14ac:dyDescent="0.3">
      <c r="C23" s="96" t="s">
        <v>648</v>
      </c>
    </row>
    <row r="24" spans="3:3" x14ac:dyDescent="0.3">
      <c r="C24" s="96" t="s">
        <v>649</v>
      </c>
    </row>
    <row r="25" spans="3:3" x14ac:dyDescent="0.3">
      <c r="C25" s="96" t="s">
        <v>650</v>
      </c>
    </row>
    <row r="26" spans="3:3" x14ac:dyDescent="0.3">
      <c r="C26" s="96" t="s">
        <v>651</v>
      </c>
    </row>
    <row r="27" spans="3:3" x14ac:dyDescent="0.3">
      <c r="C27" s="96" t="s">
        <v>652</v>
      </c>
    </row>
    <row r="28" spans="3:3" x14ac:dyDescent="0.3">
      <c r="C28" s="96" t="s">
        <v>653</v>
      </c>
    </row>
    <row r="29" spans="3:3" x14ac:dyDescent="0.3">
      <c r="C29" s="96" t="s">
        <v>654</v>
      </c>
    </row>
    <row r="30" spans="3:3" x14ac:dyDescent="0.3">
      <c r="C30" s="96" t="s">
        <v>655</v>
      </c>
    </row>
    <row r="31" spans="3:3" x14ac:dyDescent="0.3">
      <c r="C31" s="96" t="s">
        <v>656</v>
      </c>
    </row>
    <row r="32" spans="3:3" x14ac:dyDescent="0.3">
      <c r="C32" s="96" t="s">
        <v>657</v>
      </c>
    </row>
    <row r="33" spans="3:3" x14ac:dyDescent="0.3">
      <c r="C33" s="96" t="s">
        <v>658</v>
      </c>
    </row>
    <row r="34" spans="3:3" x14ac:dyDescent="0.3">
      <c r="C34" s="96" t="s">
        <v>659</v>
      </c>
    </row>
    <row r="35" spans="3:3" x14ac:dyDescent="0.3">
      <c r="C35" s="96" t="s">
        <v>660</v>
      </c>
    </row>
    <row r="36" spans="3:3" x14ac:dyDescent="0.3">
      <c r="C36" s="96" t="s">
        <v>661</v>
      </c>
    </row>
    <row r="37" spans="3:3" x14ac:dyDescent="0.3">
      <c r="C37" s="96" t="s">
        <v>662</v>
      </c>
    </row>
    <row r="38" spans="3:3" x14ac:dyDescent="0.3">
      <c r="C38" s="96" t="s">
        <v>663</v>
      </c>
    </row>
    <row r="39" spans="3:3" x14ac:dyDescent="0.3">
      <c r="C39" s="96" t="s">
        <v>664</v>
      </c>
    </row>
    <row r="40" spans="3:3" x14ac:dyDescent="0.3">
      <c r="C40" s="96" t="s">
        <v>665</v>
      </c>
    </row>
    <row r="41" spans="3:3" x14ac:dyDescent="0.3">
      <c r="C41" s="96" t="s">
        <v>666</v>
      </c>
    </row>
    <row r="42" spans="3:3" x14ac:dyDescent="0.3">
      <c r="C42" s="96" t="s">
        <v>667</v>
      </c>
    </row>
    <row r="43" spans="3:3" x14ac:dyDescent="0.3">
      <c r="C43" s="96" t="s">
        <v>668</v>
      </c>
    </row>
    <row r="44" spans="3:3" x14ac:dyDescent="0.3">
      <c r="C44" s="96" t="s">
        <v>669</v>
      </c>
    </row>
    <row r="45" spans="3:3" x14ac:dyDescent="0.3">
      <c r="C45" s="96" t="s">
        <v>670</v>
      </c>
    </row>
    <row r="46" spans="3:3" x14ac:dyDescent="0.3">
      <c r="C46" s="96" t="s">
        <v>671</v>
      </c>
    </row>
    <row r="47" spans="3:3" x14ac:dyDescent="0.3">
      <c r="C47" s="96" t="s">
        <v>672</v>
      </c>
    </row>
    <row r="48" spans="3:3" x14ac:dyDescent="0.3">
      <c r="C48" s="96" t="s">
        <v>673</v>
      </c>
    </row>
    <row r="49" spans="3:3" x14ac:dyDescent="0.3">
      <c r="C49" s="96" t="s">
        <v>674</v>
      </c>
    </row>
    <row r="50" spans="3:3" x14ac:dyDescent="0.3">
      <c r="C50" s="96" t="s">
        <v>675</v>
      </c>
    </row>
    <row r="51" spans="3:3" x14ac:dyDescent="0.3">
      <c r="C51" s="96" t="s">
        <v>676</v>
      </c>
    </row>
    <row r="52" spans="3:3" x14ac:dyDescent="0.3">
      <c r="C52" s="96" t="s">
        <v>677</v>
      </c>
    </row>
    <row r="53" spans="3:3" x14ac:dyDescent="0.3">
      <c r="C53" s="96" t="s">
        <v>556</v>
      </c>
    </row>
    <row r="54" spans="3:3" x14ac:dyDescent="0.3">
      <c r="C54" s="96" t="s">
        <v>678</v>
      </c>
    </row>
    <row r="55" spans="3:3" x14ac:dyDescent="0.3">
      <c r="C55" s="96" t="s">
        <v>577</v>
      </c>
    </row>
    <row r="56" spans="3:3" x14ac:dyDescent="0.3">
      <c r="C56" s="96" t="s">
        <v>588</v>
      </c>
    </row>
    <row r="57" spans="3:3" x14ac:dyDescent="0.3">
      <c r="C57" s="96" t="s">
        <v>578</v>
      </c>
    </row>
    <row r="58" spans="3:3" x14ac:dyDescent="0.3">
      <c r="C58" s="96" t="s">
        <v>579</v>
      </c>
    </row>
    <row r="59" spans="3:3" x14ac:dyDescent="0.3">
      <c r="C59" s="96" t="s">
        <v>580</v>
      </c>
    </row>
    <row r="60" spans="3:3" x14ac:dyDescent="0.3">
      <c r="C60" s="96" t="s">
        <v>581</v>
      </c>
    </row>
    <row r="61" spans="3:3" x14ac:dyDescent="0.3">
      <c r="C61" s="96" t="s">
        <v>582</v>
      </c>
    </row>
    <row r="62" spans="3:3" x14ac:dyDescent="0.3">
      <c r="C62" s="96" t="s">
        <v>583</v>
      </c>
    </row>
    <row r="63" spans="3:3" x14ac:dyDescent="0.3">
      <c r="C63" s="96" t="s">
        <v>584</v>
      </c>
    </row>
    <row r="64" spans="3:3" x14ac:dyDescent="0.3">
      <c r="C64" s="96" t="s">
        <v>590</v>
      </c>
    </row>
    <row r="65" spans="3:3" x14ac:dyDescent="0.3">
      <c r="C65" s="96" t="s">
        <v>566</v>
      </c>
    </row>
    <row r="66" spans="3:3" x14ac:dyDescent="0.3">
      <c r="C66" s="96" t="s">
        <v>594</v>
      </c>
    </row>
    <row r="67" spans="3:3" x14ac:dyDescent="0.3">
      <c r="C67" s="96" t="s">
        <v>576</v>
      </c>
    </row>
    <row r="68" spans="3:3" x14ac:dyDescent="0.3">
      <c r="C68" s="96" t="s">
        <v>585</v>
      </c>
    </row>
    <row r="69" spans="3:3" x14ac:dyDescent="0.3">
      <c r="C69" s="96" t="s">
        <v>546</v>
      </c>
    </row>
    <row r="70" spans="3:3" x14ac:dyDescent="0.3">
      <c r="C70" s="96" t="s">
        <v>567</v>
      </c>
    </row>
    <row r="71" spans="3:3" x14ac:dyDescent="0.3">
      <c r="C71" s="96" t="s">
        <v>575</v>
      </c>
    </row>
    <row r="72" spans="3:3" x14ac:dyDescent="0.3">
      <c r="C72" s="96" t="s">
        <v>587</v>
      </c>
    </row>
    <row r="73" spans="3:3" x14ac:dyDescent="0.3">
      <c r="C73" s="96" t="s">
        <v>589</v>
      </c>
    </row>
    <row r="74" spans="3:3" x14ac:dyDescent="0.3">
      <c r="C74" s="96" t="s">
        <v>551</v>
      </c>
    </row>
    <row r="75" spans="3:3" x14ac:dyDescent="0.3">
      <c r="C75" s="96" t="s">
        <v>46</v>
      </c>
    </row>
    <row r="76" spans="3:3" x14ac:dyDescent="0.3">
      <c r="C76" s="96" t="s">
        <v>586</v>
      </c>
    </row>
    <row r="77" spans="3:3" x14ac:dyDescent="0.3">
      <c r="C77" s="96" t="s">
        <v>47</v>
      </c>
    </row>
    <row r="78" spans="3:3" x14ac:dyDescent="0.3">
      <c r="C78" s="96" t="s">
        <v>49</v>
      </c>
    </row>
    <row r="79" spans="3:3" x14ac:dyDescent="0.3">
      <c r="C79" s="96" t="s">
        <v>552</v>
      </c>
    </row>
    <row r="80" spans="3:3" x14ac:dyDescent="0.3">
      <c r="C80" s="96" t="s">
        <v>593</v>
      </c>
    </row>
    <row r="81" spans="3:3" x14ac:dyDescent="0.3">
      <c r="C81" s="96" t="s">
        <v>592</v>
      </c>
    </row>
    <row r="82" spans="3:3" x14ac:dyDescent="0.3">
      <c r="C82" s="96" t="s">
        <v>591</v>
      </c>
    </row>
    <row r="83" spans="3:3" x14ac:dyDescent="0.3">
      <c r="C83" s="96" t="s">
        <v>48</v>
      </c>
    </row>
    <row r="84" spans="3:3" x14ac:dyDescent="0.3">
      <c r="C84" s="96" t="s">
        <v>617</v>
      </c>
    </row>
    <row r="85" spans="3:3" x14ac:dyDescent="0.3">
      <c r="C85" s="96" t="s">
        <v>608</v>
      </c>
    </row>
    <row r="86" spans="3:3" x14ac:dyDescent="0.3">
      <c r="C86" s="96" t="s">
        <v>612</v>
      </c>
    </row>
    <row r="87" spans="3:3" x14ac:dyDescent="0.3">
      <c r="C87" s="96" t="s">
        <v>613</v>
      </c>
    </row>
    <row r="88" spans="3:3" x14ac:dyDescent="0.3">
      <c r="C88" s="96" t="s">
        <v>614</v>
      </c>
    </row>
    <row r="89" spans="3:3" x14ac:dyDescent="0.3">
      <c r="C89" s="96" t="s">
        <v>615</v>
      </c>
    </row>
    <row r="90" spans="3:3" x14ac:dyDescent="0.3">
      <c r="C90" s="96" t="s">
        <v>616</v>
      </c>
    </row>
    <row r="91" spans="3:3" x14ac:dyDescent="0.3">
      <c r="C91" s="96" t="s">
        <v>610</v>
      </c>
    </row>
    <row r="92" spans="3:3" x14ac:dyDescent="0.3">
      <c r="C92" s="96" t="s">
        <v>611</v>
      </c>
    </row>
    <row r="93" spans="3:3" x14ac:dyDescent="0.3">
      <c r="C93" s="96" t="s">
        <v>618</v>
      </c>
    </row>
    <row r="94" spans="3:3" x14ac:dyDescent="0.3">
      <c r="C94" s="96" t="s">
        <v>619</v>
      </c>
    </row>
    <row r="95" spans="3:3" x14ac:dyDescent="0.3">
      <c r="C95" s="96" t="s">
        <v>620</v>
      </c>
    </row>
    <row r="96" spans="3:3" x14ac:dyDescent="0.3">
      <c r="C96" s="96" t="s">
        <v>621</v>
      </c>
    </row>
    <row r="97" spans="3:3" x14ac:dyDescent="0.3">
      <c r="C97" s="96" t="s">
        <v>625</v>
      </c>
    </row>
    <row r="98" spans="3:3" x14ac:dyDescent="0.3">
      <c r="C98" s="96" t="s">
        <v>622</v>
      </c>
    </row>
    <row r="99" spans="3:3" x14ac:dyDescent="0.3">
      <c r="C99" s="96" t="s">
        <v>609</v>
      </c>
    </row>
    <row r="100" spans="3:3" x14ac:dyDescent="0.3">
      <c r="C100" s="96" t="s">
        <v>624</v>
      </c>
    </row>
    <row r="101" spans="3:3" x14ac:dyDescent="0.3">
      <c r="C101" s="96" t="s">
        <v>623</v>
      </c>
    </row>
    <row r="102" spans="3:3" x14ac:dyDescent="0.3">
      <c r="C102" s="96" t="s">
        <v>679</v>
      </c>
    </row>
    <row r="103" spans="3:3" x14ac:dyDescent="0.3">
      <c r="C103" s="96" t="s">
        <v>680</v>
      </c>
    </row>
    <row r="104" spans="3:3" x14ac:dyDescent="0.3">
      <c r="C104" s="96" t="s">
        <v>681</v>
      </c>
    </row>
    <row r="105" spans="3:3" x14ac:dyDescent="0.3">
      <c r="C105" s="96" t="s">
        <v>50</v>
      </c>
    </row>
    <row r="106" spans="3:3" x14ac:dyDescent="0.3">
      <c r="C106" s="96" t="s">
        <v>537</v>
      </c>
    </row>
    <row r="107" spans="3:3" x14ac:dyDescent="0.3">
      <c r="C107" s="96" t="s">
        <v>682</v>
      </c>
    </row>
    <row r="108" spans="3:3" x14ac:dyDescent="0.3">
      <c r="C108" s="96" t="s">
        <v>556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B2:R10"/>
  <sheetViews>
    <sheetView workbookViewId="0">
      <selection activeCell="H3" sqref="H3"/>
    </sheetView>
  </sheetViews>
  <sheetFormatPr defaultColWidth="11" defaultRowHeight="15" x14ac:dyDescent="0.3"/>
  <sheetData>
    <row r="2" spans="2:18" x14ac:dyDescent="0.3">
      <c r="B2" s="1" t="s">
        <v>103</v>
      </c>
      <c r="C2" s="1" t="s">
        <v>106</v>
      </c>
    </row>
    <row r="3" spans="2:18" x14ac:dyDescent="0.3">
      <c r="B3" s="1" t="s">
        <v>25</v>
      </c>
      <c r="C3" s="1" t="s">
        <v>46</v>
      </c>
      <c r="E3" s="1" t="s">
        <v>25</v>
      </c>
      <c r="F3" s="1" t="s">
        <v>48</v>
      </c>
      <c r="H3" s="1" t="s">
        <v>536</v>
      </c>
      <c r="I3" s="1" t="s">
        <v>532</v>
      </c>
    </row>
    <row r="4" spans="2:18" x14ac:dyDescent="0.3">
      <c r="B4" s="1" t="s">
        <v>104</v>
      </c>
      <c r="C4" s="1" t="s">
        <v>47</v>
      </c>
      <c r="E4" s="44" t="s">
        <v>25</v>
      </c>
      <c r="F4" s="1" t="s">
        <v>49</v>
      </c>
      <c r="H4" s="1" t="s">
        <v>537</v>
      </c>
      <c r="I4" s="1" t="s">
        <v>50</v>
      </c>
    </row>
    <row r="5" spans="2:18" x14ac:dyDescent="0.3">
      <c r="B5" s="1" t="s">
        <v>105</v>
      </c>
      <c r="C5" s="1" t="s">
        <v>107</v>
      </c>
      <c r="E5" s="1" t="s">
        <v>25</v>
      </c>
      <c r="F5" s="1" t="s">
        <v>47</v>
      </c>
    </row>
    <row r="6" spans="2:18" x14ac:dyDescent="0.3">
      <c r="B6" s="1" t="s">
        <v>21</v>
      </c>
      <c r="C6" s="1" t="s">
        <v>531</v>
      </c>
    </row>
    <row r="9" spans="2:18" x14ac:dyDescent="0.3">
      <c r="I9" s="129"/>
    </row>
    <row r="10" spans="2:18" x14ac:dyDescent="0.3">
      <c r="R10" t="s">
        <v>806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3:AT26"/>
  <sheetViews>
    <sheetView workbookViewId="0">
      <selection activeCell="I15" sqref="I15"/>
    </sheetView>
  </sheetViews>
  <sheetFormatPr defaultColWidth="11" defaultRowHeight="15" x14ac:dyDescent="0.3"/>
  <sheetData>
    <row r="3" spans="1:46" ht="24" thickBot="1" x14ac:dyDescent="0.35">
      <c r="B3" s="2" t="s">
        <v>18</v>
      </c>
      <c r="D3" s="2" t="s">
        <v>13</v>
      </c>
      <c r="F3" s="2" t="s">
        <v>19</v>
      </c>
      <c r="H3" s="2" t="s">
        <v>20</v>
      </c>
      <c r="J3" s="2" t="s">
        <v>45</v>
      </c>
      <c r="L3" s="2" t="s">
        <v>51</v>
      </c>
      <c r="N3" s="2" t="s">
        <v>78</v>
      </c>
      <c r="P3" s="1" t="s">
        <v>84</v>
      </c>
      <c r="Q3">
        <v>1</v>
      </c>
      <c r="S3" t="s">
        <v>45</v>
      </c>
    </row>
    <row r="4" spans="1:46" ht="21" x14ac:dyDescent="0.4">
      <c r="A4" s="3"/>
      <c r="B4" s="3" t="s">
        <v>21</v>
      </c>
      <c r="C4" s="3"/>
      <c r="D4" s="3" t="s">
        <v>22</v>
      </c>
      <c r="E4" s="3"/>
      <c r="F4" s="3" t="s">
        <v>23</v>
      </c>
      <c r="G4" s="3"/>
      <c r="H4" s="3" t="s">
        <v>24</v>
      </c>
      <c r="I4" s="3"/>
      <c r="J4" s="3" t="s">
        <v>46</v>
      </c>
      <c r="K4" s="3"/>
      <c r="L4" s="3" t="s">
        <v>52</v>
      </c>
      <c r="M4" s="3"/>
      <c r="N4" s="3" t="s">
        <v>79</v>
      </c>
      <c r="O4" s="3"/>
      <c r="P4" s="3" t="s">
        <v>85</v>
      </c>
      <c r="Q4" s="3">
        <v>1.2</v>
      </c>
      <c r="R4" s="3"/>
      <c r="S4" s="3" t="s">
        <v>48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21" x14ac:dyDescent="0.4">
      <c r="A5" s="3"/>
      <c r="B5" s="3" t="s">
        <v>25</v>
      </c>
      <c r="C5" s="3"/>
      <c r="D5" s="3" t="s">
        <v>26</v>
      </c>
      <c r="E5" s="3"/>
      <c r="F5" s="3" t="s">
        <v>27</v>
      </c>
      <c r="G5" s="3"/>
      <c r="H5" s="3" t="s">
        <v>28</v>
      </c>
      <c r="I5" s="3"/>
      <c r="J5" s="3" t="s">
        <v>47</v>
      </c>
      <c r="K5" s="3"/>
      <c r="L5" s="3" t="s">
        <v>53</v>
      </c>
      <c r="M5" s="3"/>
      <c r="N5" s="3" t="s">
        <v>80</v>
      </c>
      <c r="O5" s="3"/>
      <c r="P5" s="3" t="s">
        <v>86</v>
      </c>
      <c r="Q5" s="3">
        <v>2.2999999999999998</v>
      </c>
      <c r="R5" s="3"/>
      <c r="S5" s="3" t="s">
        <v>49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21" x14ac:dyDescent="0.4">
      <c r="A6" s="3"/>
      <c r="B6" s="3" t="s">
        <v>29</v>
      </c>
      <c r="C6" s="3"/>
      <c r="D6" s="3" t="s">
        <v>30</v>
      </c>
      <c r="E6" s="3"/>
      <c r="F6" s="3"/>
      <c r="G6" s="3"/>
      <c r="H6" s="3" t="s">
        <v>31</v>
      </c>
      <c r="I6" s="3"/>
      <c r="J6" s="3"/>
      <c r="K6" s="3"/>
      <c r="L6" s="3" t="s">
        <v>54</v>
      </c>
      <c r="M6" s="3"/>
      <c r="N6" s="3" t="s">
        <v>81</v>
      </c>
      <c r="O6" s="3"/>
      <c r="P6" s="3" t="s">
        <v>87</v>
      </c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21" x14ac:dyDescent="0.4">
      <c r="A7" s="3"/>
      <c r="B7" s="3" t="s">
        <v>32</v>
      </c>
      <c r="C7" s="3"/>
      <c r="D7" s="3" t="s">
        <v>33</v>
      </c>
      <c r="E7" s="3"/>
      <c r="F7" s="3"/>
      <c r="G7" s="3"/>
      <c r="H7" s="3"/>
      <c r="I7" s="3"/>
      <c r="J7" s="3"/>
      <c r="K7" s="3"/>
      <c r="L7" s="3" t="s">
        <v>55</v>
      </c>
      <c r="M7" s="3"/>
      <c r="N7" s="3" t="s">
        <v>81</v>
      </c>
      <c r="O7" s="3"/>
      <c r="P7" s="3" t="s">
        <v>88</v>
      </c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</row>
    <row r="8" spans="1:46" ht="21" x14ac:dyDescent="0.4">
      <c r="A8" s="3"/>
      <c r="B8" s="3"/>
      <c r="C8" s="3"/>
      <c r="D8" s="3" t="s">
        <v>34</v>
      </c>
      <c r="E8" s="3"/>
      <c r="F8" s="3"/>
      <c r="G8" s="3"/>
      <c r="H8" s="3"/>
      <c r="I8" s="3"/>
      <c r="J8" s="3"/>
      <c r="K8" s="3"/>
      <c r="L8" s="3"/>
      <c r="M8" s="3"/>
      <c r="N8" s="3" t="s">
        <v>82</v>
      </c>
      <c r="O8" s="3"/>
      <c r="P8" s="3" t="s">
        <v>89</v>
      </c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</row>
    <row r="9" spans="1:46" ht="21" x14ac:dyDescent="0.4">
      <c r="A9" s="3"/>
      <c r="B9" s="3"/>
      <c r="C9" s="3"/>
      <c r="D9" s="3" t="s">
        <v>35</v>
      </c>
      <c r="E9" s="3"/>
      <c r="F9" s="3"/>
      <c r="G9" s="3"/>
      <c r="H9" s="3"/>
      <c r="I9" s="3"/>
      <c r="J9" s="3"/>
      <c r="K9" s="3"/>
      <c r="L9" s="3"/>
      <c r="M9" s="3"/>
      <c r="N9" s="3" t="s">
        <v>50</v>
      </c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</row>
    <row r="10" spans="1:46" ht="21" x14ac:dyDescent="0.4">
      <c r="A10" s="3"/>
      <c r="B10" s="3"/>
      <c r="C10" s="3"/>
      <c r="D10" s="3" t="s">
        <v>36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 t="s">
        <v>806</v>
      </c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</row>
    <row r="11" spans="1:46" ht="21" x14ac:dyDescent="0.4">
      <c r="A11" s="3"/>
      <c r="B11" s="3"/>
      <c r="C11" s="3"/>
      <c r="D11" s="3" t="s">
        <v>56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</row>
    <row r="12" spans="1:46" ht="21" x14ac:dyDescent="0.4">
      <c r="A12" s="3"/>
      <c r="B12" s="3"/>
      <c r="C12" s="3"/>
      <c r="D12" s="3" t="s">
        <v>37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</row>
    <row r="13" spans="1:46" ht="21" x14ac:dyDescent="0.4">
      <c r="A13" s="3"/>
      <c r="B13" s="3"/>
      <c r="C13" s="3"/>
      <c r="D13" s="3" t="s">
        <v>38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</row>
    <row r="14" spans="1:46" ht="21" x14ac:dyDescent="0.4">
      <c r="A14" s="3"/>
      <c r="B14" s="3"/>
      <c r="C14" s="3"/>
      <c r="D14" s="3" t="s">
        <v>39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</row>
    <row r="15" spans="1:46" ht="21" x14ac:dyDescent="0.4">
      <c r="A15" s="3"/>
      <c r="B15" s="3"/>
      <c r="C15" s="3"/>
      <c r="D15" s="3" t="s">
        <v>40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</row>
    <row r="16" spans="1:46" ht="21" x14ac:dyDescent="0.4">
      <c r="A16" s="3"/>
      <c r="B16" s="3"/>
      <c r="C16" s="3"/>
      <c r="D16" s="3" t="s">
        <v>41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</row>
    <row r="17" spans="1:46" ht="21" x14ac:dyDescent="0.4">
      <c r="A17" s="3"/>
      <c r="B17" s="3"/>
      <c r="C17" s="3"/>
      <c r="D17" s="3" t="s">
        <v>42</v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</row>
    <row r="18" spans="1:46" ht="21" x14ac:dyDescent="0.4">
      <c r="A18" s="3"/>
      <c r="B18" s="3"/>
      <c r="C18" s="3"/>
      <c r="D18" s="3" t="s">
        <v>43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</row>
    <row r="19" spans="1:46" ht="21" x14ac:dyDescent="0.4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</row>
    <row r="20" spans="1:46" ht="21" x14ac:dyDescent="0.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</row>
    <row r="21" spans="1:46" ht="21" x14ac:dyDescent="0.4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</row>
    <row r="22" spans="1:46" ht="21" x14ac:dyDescent="0.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</row>
    <row r="23" spans="1:46" ht="21" x14ac:dyDescent="0.4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</row>
    <row r="24" spans="1:46" ht="21" x14ac:dyDescent="0.4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</row>
    <row r="25" spans="1:46" ht="21" x14ac:dyDescent="0.4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</row>
    <row r="26" spans="1:46" ht="21" x14ac:dyDescent="0.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9" tint="0.39997558519241921"/>
  </sheetPr>
  <dimension ref="A1:R18"/>
  <sheetViews>
    <sheetView workbookViewId="0">
      <selection activeCell="F20" sqref="F20"/>
    </sheetView>
  </sheetViews>
  <sheetFormatPr defaultColWidth="11" defaultRowHeight="15" x14ac:dyDescent="0.3"/>
  <sheetData>
    <row r="1" spans="1:18" x14ac:dyDescent="0.3">
      <c r="A1" s="1" t="s">
        <v>108</v>
      </c>
    </row>
    <row r="2" spans="1:18" x14ac:dyDescent="0.3">
      <c r="A2" s="52" t="s">
        <v>34</v>
      </c>
      <c r="D2" s="52" t="s">
        <v>34</v>
      </c>
      <c r="E2" s="52" t="s">
        <v>35</v>
      </c>
    </row>
    <row r="3" spans="1:18" x14ac:dyDescent="0.3">
      <c r="A3" s="52" t="s">
        <v>35</v>
      </c>
      <c r="D3" s="52" t="s">
        <v>35</v>
      </c>
      <c r="E3" s="52" t="s">
        <v>109</v>
      </c>
    </row>
    <row r="4" spans="1:18" x14ac:dyDescent="0.3">
      <c r="A4" s="52" t="s">
        <v>26</v>
      </c>
      <c r="D4" s="52" t="s">
        <v>26</v>
      </c>
    </row>
    <row r="5" spans="1:18" x14ac:dyDescent="0.3">
      <c r="A5" s="52" t="s">
        <v>30</v>
      </c>
      <c r="D5" s="52" t="s">
        <v>30</v>
      </c>
    </row>
    <row r="6" spans="1:18" x14ac:dyDescent="0.3">
      <c r="A6" s="52" t="s">
        <v>33</v>
      </c>
      <c r="D6" s="52" t="s">
        <v>33</v>
      </c>
    </row>
    <row r="7" spans="1:18" x14ac:dyDescent="0.3">
      <c r="A7" s="52" t="s">
        <v>36</v>
      </c>
      <c r="D7" s="52" t="s">
        <v>36</v>
      </c>
    </row>
    <row r="8" spans="1:18" x14ac:dyDescent="0.3">
      <c r="A8" s="52" t="s">
        <v>22</v>
      </c>
      <c r="D8" s="52" t="s">
        <v>22</v>
      </c>
    </row>
    <row r="9" spans="1:18" x14ac:dyDescent="0.3">
      <c r="A9" s="52" t="s">
        <v>109</v>
      </c>
    </row>
    <row r="10" spans="1:18" x14ac:dyDescent="0.3">
      <c r="A10" s="52" t="s">
        <v>110</v>
      </c>
      <c r="R10" t="s">
        <v>806</v>
      </c>
    </row>
    <row r="11" spans="1:18" x14ac:dyDescent="0.3">
      <c r="A11" s="52" t="s">
        <v>543</v>
      </c>
    </row>
    <row r="12" spans="1:18" x14ac:dyDescent="0.3">
      <c r="A12" s="52" t="s">
        <v>111</v>
      </c>
    </row>
    <row r="13" spans="1:18" x14ac:dyDescent="0.3">
      <c r="A13" s="52" t="s">
        <v>789</v>
      </c>
    </row>
    <row r="14" spans="1:18" x14ac:dyDescent="0.3">
      <c r="A14" s="52" t="s">
        <v>544</v>
      </c>
    </row>
    <row r="15" spans="1:18" x14ac:dyDescent="0.3">
      <c r="A15" s="52" t="s">
        <v>112</v>
      </c>
    </row>
    <row r="16" spans="1:18" x14ac:dyDescent="0.3">
      <c r="A16" s="52" t="s">
        <v>113</v>
      </c>
    </row>
    <row r="17" spans="1:1" x14ac:dyDescent="0.3">
      <c r="A17" s="52" t="s">
        <v>127</v>
      </c>
    </row>
    <row r="18" spans="1:1" x14ac:dyDescent="0.3">
      <c r="A18" s="52" t="s">
        <v>129</v>
      </c>
    </row>
  </sheetData>
  <dataValidations count="1">
    <dataValidation type="list" allowBlank="1" showInputMessage="1" showErrorMessage="1" sqref="D3:D8">
      <formula1>$D$2:$D$8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9" tint="0.39997558519241921"/>
  </sheetPr>
  <dimension ref="A1:R17"/>
  <sheetViews>
    <sheetView workbookViewId="0">
      <selection activeCell="A6" sqref="A6"/>
    </sheetView>
  </sheetViews>
  <sheetFormatPr defaultColWidth="11" defaultRowHeight="15" x14ac:dyDescent="0.3"/>
  <cols>
    <col min="1" max="1" width="13.25" customWidth="1"/>
  </cols>
  <sheetData>
    <row r="1" spans="1:18" x14ac:dyDescent="0.3">
      <c r="A1" s="1" t="s">
        <v>115</v>
      </c>
    </row>
    <row r="2" spans="1:18" ht="21" x14ac:dyDescent="0.4">
      <c r="A2" s="3" t="s">
        <v>116</v>
      </c>
      <c r="B2" s="1"/>
    </row>
    <row r="3" spans="1:18" ht="21" x14ac:dyDescent="0.4">
      <c r="A3" s="3" t="s">
        <v>117</v>
      </c>
    </row>
    <row r="4" spans="1:18" ht="21" x14ac:dyDescent="0.4">
      <c r="A4" s="3" t="s">
        <v>118</v>
      </c>
    </row>
    <row r="5" spans="1:18" ht="21" x14ac:dyDescent="0.4">
      <c r="A5" s="3" t="s">
        <v>119</v>
      </c>
    </row>
    <row r="6" spans="1:18" ht="21" x14ac:dyDescent="0.4">
      <c r="A6" s="3" t="s">
        <v>545</v>
      </c>
    </row>
    <row r="7" spans="1:18" ht="21" x14ac:dyDescent="0.4">
      <c r="A7" s="3" t="s">
        <v>757</v>
      </c>
    </row>
    <row r="8" spans="1:18" ht="21" x14ac:dyDescent="0.4">
      <c r="A8" s="3" t="s">
        <v>690</v>
      </c>
    </row>
    <row r="9" spans="1:18" ht="21" x14ac:dyDescent="0.4">
      <c r="A9" s="3" t="s">
        <v>120</v>
      </c>
    </row>
    <row r="10" spans="1:18" ht="21" x14ac:dyDescent="0.4">
      <c r="A10" s="3" t="s">
        <v>121</v>
      </c>
      <c r="R10" t="s">
        <v>806</v>
      </c>
    </row>
    <row r="11" spans="1:18" x14ac:dyDescent="0.3">
      <c r="A11" s="1"/>
    </row>
    <row r="12" spans="1:18" x14ac:dyDescent="0.3">
      <c r="A12" s="1"/>
    </row>
    <row r="13" spans="1:18" x14ac:dyDescent="0.3">
      <c r="A13" s="1"/>
    </row>
    <row r="14" spans="1:18" x14ac:dyDescent="0.3">
      <c r="A14" s="1"/>
    </row>
    <row r="15" spans="1:18" x14ac:dyDescent="0.3">
      <c r="A15" s="1"/>
    </row>
    <row r="16" spans="1:18" x14ac:dyDescent="0.3">
      <c r="A16" s="1"/>
    </row>
    <row r="17" spans="1:1" x14ac:dyDescent="0.3">
      <c r="A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36</vt:i4>
      </vt:variant>
    </vt:vector>
  </HeadingPairs>
  <TitlesOfParts>
    <vt:vector size="60" baseType="lpstr">
      <vt:lpstr>RPT1</vt:lpstr>
      <vt:lpstr>RPT2 </vt:lpstr>
      <vt:lpstr>RP3 </vt:lpstr>
      <vt:lpstr>RP5 </vt:lpstr>
      <vt:lpstr>RPTS </vt:lpstr>
      <vt:lpstr>CRIBLAGE </vt:lpstr>
      <vt:lpstr>Arrêt RPT1</vt:lpstr>
      <vt:lpstr>Arrêt RPT2</vt:lpstr>
      <vt:lpstr>Arrêt RP3</vt:lpstr>
      <vt:lpstr>Arrêt RP5</vt:lpstr>
      <vt:lpstr>Arrêt RPTS</vt:lpstr>
      <vt:lpstr>Arrêt CRIBLAGE</vt:lpstr>
      <vt:lpstr>organges</vt:lpstr>
      <vt:lpstr>arrêts</vt:lpstr>
      <vt:lpstr>RPSC1</vt:lpstr>
      <vt:lpstr>RPSC2</vt:lpstr>
      <vt:lpstr>RP3</vt:lpstr>
      <vt:lpstr>RP5</vt:lpstr>
      <vt:lpstr>RPTS</vt:lpstr>
      <vt:lpstr>CRIBLAGE</vt:lpstr>
      <vt:lpstr>Parametre</vt:lpstr>
      <vt:lpstr>base</vt:lpstr>
      <vt:lpstr>QUALITE</vt:lpstr>
      <vt:lpstr>destination</vt:lpstr>
      <vt:lpstr>AXE_BENI_AMIR</vt:lpstr>
      <vt:lpstr>AXE_CRIBLAGE</vt:lpstr>
      <vt:lpstr>AXE_Laverie_UD</vt:lpstr>
      <vt:lpstr>AXE_RP3</vt:lpstr>
      <vt:lpstr>AXE_RP5</vt:lpstr>
      <vt:lpstr>AXE_UBI</vt:lpstr>
      <vt:lpstr>bascules</vt:lpstr>
      <vt:lpstr>déstinataire</vt:lpstr>
      <vt:lpstr>E_LAV</vt:lpstr>
      <vt:lpstr>E_MAN</vt:lpstr>
      <vt:lpstr>M_BDM</vt:lpstr>
      <vt:lpstr>M_ELE</vt:lpstr>
      <vt:lpstr>M_ELEC</vt:lpstr>
      <vt:lpstr>M_INS</vt:lpstr>
      <vt:lpstr>M_MEC</vt:lpstr>
      <vt:lpstr>M_REG</vt:lpstr>
      <vt:lpstr>'Arrêt CRIBLAGE'!Print_Area</vt:lpstr>
      <vt:lpstr>'Arrêt RP3'!Print_Area</vt:lpstr>
      <vt:lpstr>'Arrêt RP5'!Print_Area</vt:lpstr>
      <vt:lpstr>'Arrêt RPT1'!Print_Area</vt:lpstr>
      <vt:lpstr>'Arrêt RPT2'!Print_Area</vt:lpstr>
      <vt:lpstr>'Arrêt RPTS'!Print_Area</vt:lpstr>
      <vt:lpstr>'CRIBLAGE '!Print_Area</vt:lpstr>
      <vt:lpstr>'RP3 '!Print_Area</vt:lpstr>
      <vt:lpstr>'RP5 '!Print_Area</vt:lpstr>
      <vt:lpstr>'RPT1'!Print_Area</vt:lpstr>
      <vt:lpstr>'RPT2 '!Print_Area</vt:lpstr>
      <vt:lpstr>'RPTS '!Print_Area</vt:lpstr>
      <vt:lpstr>RPSC1_LIAISON</vt:lpstr>
      <vt:lpstr>RPSC2_LIAISON</vt:lpstr>
      <vt:lpstr>RPTS_LIAISON</vt:lpstr>
      <vt:lpstr>SERVICE</vt:lpstr>
      <vt:lpstr>X_EXT</vt:lpstr>
      <vt:lpstr>x_LBA</vt:lpstr>
      <vt:lpstr>X_LME</vt:lpstr>
      <vt:lpstr>X_UBI</vt:lpstr>
    </vt:vector>
  </TitlesOfParts>
  <Company>OCPGroup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machi</dc:creator>
  <cp:lastModifiedBy>Yasser Mimouni</cp:lastModifiedBy>
  <cp:lastPrinted>2021-08-28T07:52:18Z</cp:lastPrinted>
  <dcterms:created xsi:type="dcterms:W3CDTF">2015-05-07T11:49:12Z</dcterms:created>
  <dcterms:modified xsi:type="dcterms:W3CDTF">2023-08-20T17:29:52Z</dcterms:modified>
</cp:coreProperties>
</file>